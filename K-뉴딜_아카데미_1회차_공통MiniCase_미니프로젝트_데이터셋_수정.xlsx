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ed1b20f8f745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안내" sheetId="1" r:id="Rbedcb1fe9d324540"/>
    <x:sheet xmlns:r="http://schemas.openxmlformats.org/officeDocument/2006/relationships" name="Baseline_계산" sheetId="2" r:id="Ra556c4731734435a"/>
    <x:sheet xmlns:r="http://schemas.openxmlformats.org/officeDocument/2006/relationships" name="MiniCase_Data" sheetId="3" r:id="Rbe8f542542c44d4e"/>
    <x:sheet xmlns:r="http://schemas.openxmlformats.org/officeDocument/2006/relationships" name="센서로그" sheetId="4" r:id="Rb0ea1e10ef504b5f"/>
    <x:sheet xmlns:r="http://schemas.openxmlformats.org/officeDocument/2006/relationships" name="변수설명서" sheetId="5" r:id="Rdc223a16a74e4a02"/>
    <x:sheet xmlns:r="http://schemas.openxmlformats.org/officeDocument/2006/relationships" name="검산표" sheetId="6" r:id="Rf80e2d07f0f846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:ss"/>
    <x:numFmt numFmtId="201" formatCode="0.00"/>
    <x:numFmt numFmtId="202" formatCode="0.000"/>
    <x:numFmt numFmtId="203" formatCode="0.0%"/>
  </x:numFmts>
  <x:fonts count="3">
    <x:font>
      <x:sz val="11"/>
      <x:name val="Carlito"/>
    </x:font>
    <x:font>
      <x:sz val="1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</x:cellXfs>
  <x:cellStyles count="1">
    <x:cellStyle name="Normal" xfId="0"/>
  </x:cellStyles>
  <x:dxfs count="1">
    <x:dxf>
      <x:font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780d0c88aa4b11" /><Relationship Type="http://schemas.openxmlformats.org/officeDocument/2006/relationships/theme" Target="/xl/theme/theme1.xml" Id="R7444d74bc06f4e17" /><Relationship Type="http://schemas.openxmlformats.org/officeDocument/2006/relationships/sharedStrings" Target="/xl/sharedStrings.xml" Id="R0c437f779eec40a6" /><Relationship Type="http://schemas.openxmlformats.org/officeDocument/2006/relationships/worksheet" Target="/xl/worksheets/sheet1.xml" Id="Rbedcb1fe9d324540" /><Relationship Type="http://schemas.openxmlformats.org/officeDocument/2006/relationships/worksheet" Target="/xl/worksheets/sheet2.xml" Id="Ra556c4731734435a" /><Relationship Type="http://schemas.openxmlformats.org/officeDocument/2006/relationships/worksheet" Target="/xl/worksheets/sheet3.xml" Id="Rbe8f542542c44d4e" /><Relationship Type="http://schemas.openxmlformats.org/officeDocument/2006/relationships/worksheet" Target="/xl/worksheets/sheet4.xml" Id="Rb0ea1e10ef504b5f" /><Relationship Type="http://schemas.openxmlformats.org/officeDocument/2006/relationships/worksheet" Target="/xl/worksheets/sheet5.xml" Id="Rdc223a16a74e4a02" /><Relationship Type="http://schemas.openxmlformats.org/officeDocument/2006/relationships/worksheet" Target="/xl/worksheets/sheet6.xml" Id="Rf80e2d07f0f84605" /></Relationships>
</file>

<file path=xl/tables/table1.xml><?xml version="1.0" encoding="utf-8"?>
<x:table xmlns:x="http://schemas.openxmlformats.org/spreadsheetml/2006/main" id="1" name="MiniCaseRecords" displayName="MiniCaseRecords" ref="A1:T1201" headerRowCount="1" totalsRowCount="0" totalsRowShown="0">
  <x:tableColumns count="20">
    <x:tableColumn id="1" name="record_id"/>
    <x:tableColumn id="2" name="timestamp"/>
    <x:tableColumn id="3" name="shift"/>
    <x:tableColumn id="4" name="line_id"/>
    <x:tableColumn id="5" name="product_model"/>
    <x:tableColumn id="6" name="equipment_id"/>
    <x:tableColumn id="7" name="operator_group"/>
    <x:tableColumn id="8" name="torque_nm"/>
    <x:tableColumn id="9" name="pressure_bar"/>
    <x:tableColumn id="10" name="cycle_time_sec"/>
    <x:tableColumn id="11" name="temperature_c"/>
    <x:tableColumn id="12" name="vibration_mm_s"/>
    <x:tableColumn id="13" name="downtime_min"/>
    <x:tableColumn id="14" name="energy_kwh"/>
    <x:tableColumn id="15" name="inspection_result"/>
    <x:tableColumn id="16" name="defect_type"/>
    <x:tableColumn id="17" name="inspection_time_sec"/>
    <x:tableColumn id="18" name="rework_flag"/>
    <x:tableColumn id="19" name="rework_time_min"/>
    <x:tableColumn id="20" name="final_dispos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c41f0bfa98f40e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05" hidden="0" customWidth="1"/>
  </x:cols>
  <x:sheetData>
    <x:row r="1" ht="30" customHeight="1">
      <x:c r="A1" s="3" t="str">
        <x:v>항목</x:v>
      </x:c>
      <x:c r="B1" s="3" t="str">
        <x:v>내용</x:v>
      </x:c>
    </x:row>
    <x:row r="2" ht="22" customHeight="1">
      <x:c r="A2" s="1" t="str">
        <x:v>데이터 버전</x:v>
      </x:c>
      <x:c r="B2" s="1" t="str">
        <x:v>2026-10-03 정합성 수정본</x:v>
      </x:c>
    </x:row>
    <x:row r="3" ht="22" customHeight="1">
      <x:c r="A3" s="1" t="str">
        <x:v>성격</x:v>
      </x:c>
      <x:c r="B3" s="1" t="str">
        <x:v>교육용 합성 제조데이터; 강의 예시 수치를 재현하도록 설계</x:v>
      </x:c>
    </x:row>
    <x:row r="4" ht="22" customHeight="1">
      <x:c r="A4" s="1" t="str">
        <x:v>수업 운영</x:v>
      </x:c>
      <x:c r="B4" s="1" t="str">
        <x:v>1~2회차 네 팀은 같은 품질문제를 분석하고 활용 역할만 다르게 토론</x:v>
      </x:c>
    </x:row>
    <x:row r="5" ht="22" customHeight="1">
      <x:c r="A5" s="1" t="str">
        <x:v>분석단위</x:v>
      </x:c>
      <x:c r="B5" s="1" t="str">
        <x:v>제품 1대의 조립 및 최종검사 기록; 1,200행·20열</x:v>
      </x:c>
    </x:row>
    <x:row r="6" ht="22" customHeight="1">
      <x:c r="A6" s="1" t="str">
        <x:v>기간</x:v>
      </x:c>
      <x:c r="B6" s="1" t="str">
        <x:v>2026-07-01~2026-07-31; 모든 timestamp가 7월</x:v>
      </x:c>
    </x:row>
    <x:row r="7" ht="22" customHeight="1">
      <x:c r="A7" s="1" t="str">
        <x:v>유지 수치</x:v>
      </x:c>
      <x:c r="B7" s="1" t="str">
        <x:v>전체·근무조·제품 교차표·설비·야간 M03·토크·v0 집계</x:v>
      </x:c>
    </x:row>
    <x:row r="8" ht="22" customHeight="1">
      <x:c r="A8" s="1" t="str">
        <x:v>v0 규칙</x:v>
      </x:c>
      <x:c r="B8" s="1" t="str">
        <x:v>토크 &lt;27 또는 &gt;33; 결측 12건은 교육용 통과 처리</x:v>
      </x:c>
    </x:row>
    <x:row r="9" ht="22" customHeight="1">
      <x:c r="A9" s="1" t="str">
        <x:v>결측 복원</x:v>
      </x:c>
      <x:c r="B9" s="1" t="str">
        <x:v>원자료 결측 유지; 센서로그는 실제 현장로그가 아닌 교육용 합성 복원자료</x:v>
      </x:c>
    </x:row>
    <x:row r="10" ht="22" customHeight="1">
      <x:c r="A10" s="1" t="str">
        <x:v>v1 규칙</x:v>
      </x:c>
      <x:c r="B10" s="1" t="str">
        <x:v>토크 기준 밖 또는 (야간 AND M03)</x:v>
      </x:c>
    </x:row>
    <x:row r="11" ht="22" customHeight="1">
      <x:c r="A11" s="1" t="str">
        <x:v>v1 수정 결과</x:v>
      </x:c>
      <x:c r="B11" s="1" t="str">
        <x:v>TP 35, FN 13, FP 125, TN 1,027; 경보 160건</x:v>
      </x:c>
    </x:row>
    <x:row r="12" ht="22" customHeight="1">
      <x:c r="A12" s="1" t="str">
        <x:v>v1 지표</x:v>
      </x:c>
      <x:c r="B12" s="1" t="str">
        <x:v>Recall 72.9%, Precision 21.9%, Accuracy 88.5%</x:v>
      </x:c>
    </x:row>
    <x:row r="13" ht="22" customHeight="1">
      <x:c r="A13" s="1" t="str">
        <x:v>검사시간 가정</x:v>
      </x:c>
      <x:c r="B13" s="1" t="str">
        <x:v>추가확인 건당 3분; 원자료 inspection_time_sec와 별도 가정</x:v>
      </x:c>
    </x:row>
    <x:row r="14" ht="22" customHeight="1">
      <x:c r="A14" s="1" t="str">
        <x:v>PPT 수정 위치</x:v>
      </x:c>
      <x:c r="B14" s="1" t="str">
        <x:v>2회차 28~31·36쪽: v1 결과와 변화량·경보·검사시간</x:v>
      </x:c>
    </x:row>
    <x:row r="15" ht="22" customHeight="1">
      <x:c r="A15" s="1" t="str">
        <x:v>설계 중첩</x:v>
      </x:c>
      <x:c r="B15" s="1" t="str">
        <x:v>토크 이탈 합격 80건은 야간 M03에 포함; 이탈 불합격 20건은 그 외</x:v>
      </x:c>
    </x:row>
    <x:row r="16" ht="22" customHeight="1">
      <x:c r="A16" s="1" t="str">
        <x:v>한계</x:v>
      </x:c>
      <x:c r="B16" s="1" t="str">
        <x:v>교육용 집계 재현 데이터이며 인과관계·현장 예측성능을 입증하지 않음</x:v>
      </x:c>
    </x:row>
    <x:row r="17" ht="22" customHeight="1">
      <x:c r="A17" s="1" t="str">
        <x:v>원본 기준</x:v>
      </x:c>
      <x:c r="B17" s="1" t="str">
        <x:v>첨부 1~2회차 PDF 및 기존 MiniCase_Data; v1 충돌 수치만 조정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4" customHeight="1">
      <x:c r="A1" s="7" t="str">
        <x:v>record_id</x:v>
      </x:c>
      <x:c r="B1" s="7" t="str">
        <x:v>실제불합격_1</x:v>
      </x:c>
      <x:c r="C1" s="7" t="str">
        <x:v>토크원자료</x:v>
      </x:c>
      <x:c r="D1" s="7" t="str">
        <x:v>토크복원분석</x:v>
      </x:c>
      <x:c r="E1" s="7" t="str">
        <x:v>야간M03_1</x:v>
      </x:c>
      <x:c r="F1" s="7" t="str">
        <x:v>v0추가확인_1</x:v>
      </x:c>
      <x:c r="G1" s="7" t="str">
        <x:v>v1추가확인_1</x:v>
      </x:c>
      <x:c r="H1" s="7" t="str">
        <x:v>v0분류</x:v>
      </x:c>
      <x:c r="I1" s="7" t="str">
        <x:v>v1분류</x:v>
      </x:c>
    </x:row>
    <x:row r="2">
      <x:c r="A2" t="str">
        <x:f>MiniCase_Data!A2</x:f>
        <x:v>R00001</x:v>
      </x:c>
      <x:c r="B2" t="n">
        <x:f>IF(MiniCase_Data!O2="불합격",1,0)</x:f>
        <x:v>0</x:v>
      </x:c>
      <x:c r="C2" t="str">
        <x:f>IF(ISBLANK(MiniCase_Data!H2),"missing",IF(OR(MiniCase_Data!H2&lt;27,MiniCase_Data!H2&gt;33),"밖","안"))</x:f>
        <x:v>안</x:v>
      </x:c>
      <x:c r="D2" t="n">
        <x:f>IF(ISBLANK(MiniCase_Data!H2),VLOOKUP(A2,센서로그!$A$2:$C$13,3,FALSE),MiniCase_Data!H2)</x:f>
        <x:v>31.46</x:v>
      </x:c>
      <x:c r="E2" t="n">
        <x:f>IF(AND(MiniCase_Data!C2="야간",MiniCase_Data!F2="M03"),1,0)</x:f>
        <x:v>0</x:v>
      </x:c>
      <x:c r="F2" t="n">
        <x:f>IF(C2="밖",1,0)</x:f>
        <x:v>0</x:v>
      </x:c>
      <x:c r="G2" t="n">
        <x:f>IF(OR(F2=1,E2=1),1,0)</x:f>
        <x:v>0</x:v>
      </x:c>
      <x:c r="H2" t="str">
        <x:f>IF(B2=1,IF(F2=1,"TP","FN"),IF(F2=1,"FP","TN"))</x:f>
        <x:v>TN</x:v>
      </x:c>
      <x:c r="I2" t="str">
        <x:f>IF(B2=1,IF(G2=1,"TP","FN"),IF(G2=1,"FP","TN"))</x:f>
        <x:v>TN</x:v>
      </x:c>
    </x:row>
    <x:row r="3">
      <x:c r="A3" t="str">
        <x:f>MiniCase_Data!A3</x:f>
        <x:v>R00002</x:v>
      </x:c>
      <x:c r="B3" t="n">
        <x:f>IF(MiniCase_Data!O3="불합격",1,0)</x:f>
        <x:v>0</x:v>
      </x:c>
      <x:c r="C3" t="str">
        <x:f>IF(ISBLANK(MiniCase_Data!H3),"missing",IF(OR(MiniCase_Data!H3&lt;27,MiniCase_Data!H3&gt;33),"밖","안"))</x:f>
        <x:v>안</x:v>
      </x:c>
      <x:c r="D3" t="n">
        <x:f>IF(ISBLANK(MiniCase_Data!H3),VLOOKUP(A3,센서로그!$A$2:$C$13,3,FALSE),MiniCase_Data!H3)</x:f>
        <x:v>32.37</x:v>
      </x:c>
      <x:c r="E3" t="n">
        <x:f>IF(AND(MiniCase_Data!C3="야간",MiniCase_Data!F3="M03"),1,0)</x:f>
        <x:v>0</x:v>
      </x:c>
      <x:c r="F3" t="n">
        <x:f>IF(C3="밖",1,0)</x:f>
        <x:v>0</x:v>
      </x:c>
      <x:c r="G3" t="n">
        <x:f>IF(OR(F3=1,E3=1),1,0)</x:f>
        <x:v>0</x:v>
      </x:c>
      <x:c r="H3" t="str">
        <x:f>IF(B3=1,IF(F3=1,"TP","FN"),IF(F3=1,"FP","TN"))</x:f>
        <x:v>TN</x:v>
      </x:c>
      <x:c r="I3" t="str">
        <x:f>IF(B3=1,IF(G3=1,"TP","FN"),IF(G3=1,"FP","TN"))</x:f>
        <x:v>TN</x:v>
      </x:c>
    </x:row>
    <x:row r="4">
      <x:c r="A4" t="str">
        <x:f>MiniCase_Data!A4</x:f>
        <x:v>R00003</x:v>
      </x:c>
      <x:c r="B4" t="n">
        <x:f>IF(MiniCase_Data!O4="불합격",1,0)</x:f>
        <x:v>0</x:v>
      </x:c>
      <x:c r="C4" t="str">
        <x:f>IF(ISBLANK(MiniCase_Data!H4),"missing",IF(OR(MiniCase_Data!H4&lt;27,MiniCase_Data!H4&gt;33),"밖","안"))</x:f>
        <x:v>안</x:v>
      </x:c>
      <x:c r="D4" t="n">
        <x:f>IF(ISBLANK(MiniCase_Data!H4),VLOOKUP(A4,센서로그!$A$2:$C$13,3,FALSE),MiniCase_Data!H4)</x:f>
        <x:v>30.26</x:v>
      </x:c>
      <x:c r="E4" t="n">
        <x:f>IF(AND(MiniCase_Data!C4="야간",MiniCase_Data!F4="M03"),1,0)</x:f>
        <x:v>0</x:v>
      </x:c>
      <x:c r="F4" t="n">
        <x:f>IF(C4="밖",1,0)</x:f>
        <x:v>0</x:v>
      </x:c>
      <x:c r="G4" t="n">
        <x:f>IF(OR(F4=1,E4=1),1,0)</x:f>
        <x:v>0</x:v>
      </x:c>
      <x:c r="H4" t="str">
        <x:f>IF(B4=1,IF(F4=1,"TP","FN"),IF(F4=1,"FP","TN"))</x:f>
        <x:v>TN</x:v>
      </x:c>
      <x:c r="I4" t="str">
        <x:f>IF(B4=1,IF(G4=1,"TP","FN"),IF(G4=1,"FP","TN"))</x:f>
        <x:v>TN</x:v>
      </x:c>
    </x:row>
    <x:row r="5">
      <x:c r="A5" t="str">
        <x:f>MiniCase_Data!A5</x:f>
        <x:v>R00004</x:v>
      </x:c>
      <x:c r="B5" t="n">
        <x:f>IF(MiniCase_Data!O5="불합격",1,0)</x:f>
        <x:v>0</x:v>
      </x:c>
      <x:c r="C5" t="str">
        <x:f>IF(ISBLANK(MiniCase_Data!H5),"missing",IF(OR(MiniCase_Data!H5&lt;27,MiniCase_Data!H5&gt;33),"밖","안"))</x:f>
        <x:v>안</x:v>
      </x:c>
      <x:c r="D5" t="n">
        <x:f>IF(ISBLANK(MiniCase_Data!H5),VLOOKUP(A5,센서로그!$A$2:$C$13,3,FALSE),MiniCase_Data!H5)</x:f>
        <x:v>29.61</x:v>
      </x:c>
      <x:c r="E5" t="n">
        <x:f>IF(AND(MiniCase_Data!C5="야간",MiniCase_Data!F5="M03"),1,0)</x:f>
        <x:v>0</x:v>
      </x:c>
      <x:c r="F5" t="n">
        <x:f>IF(C5="밖",1,0)</x:f>
        <x:v>0</x:v>
      </x:c>
      <x:c r="G5" t="n">
        <x:f>IF(OR(F5=1,E5=1),1,0)</x:f>
        <x:v>0</x:v>
      </x:c>
      <x:c r="H5" t="str">
        <x:f>IF(B5=1,IF(F5=1,"TP","FN"),IF(F5=1,"FP","TN"))</x:f>
        <x:v>TN</x:v>
      </x:c>
      <x:c r="I5" t="str">
        <x:f>IF(B5=1,IF(G5=1,"TP","FN"),IF(G5=1,"FP","TN"))</x:f>
        <x:v>TN</x:v>
      </x:c>
    </x:row>
    <x:row r="6">
      <x:c r="A6" t="str">
        <x:f>MiniCase_Data!A6</x:f>
        <x:v>R00005</x:v>
      </x:c>
      <x:c r="B6" t="n">
        <x:f>IF(MiniCase_Data!O6="불합격",1,0)</x:f>
        <x:v>0</x:v>
      </x:c>
      <x:c r="C6" t="str">
        <x:f>IF(ISBLANK(MiniCase_Data!H6),"missing",IF(OR(MiniCase_Data!H6&lt;27,MiniCase_Data!H6&gt;33),"밖","안"))</x:f>
        <x:v>안</x:v>
      </x:c>
      <x:c r="D6" t="n">
        <x:f>IF(ISBLANK(MiniCase_Data!H6),VLOOKUP(A6,센서로그!$A$2:$C$13,3,FALSE),MiniCase_Data!H6)</x:f>
        <x:v>31.48</x:v>
      </x:c>
      <x:c r="E6" t="n">
        <x:f>IF(AND(MiniCase_Data!C6="야간",MiniCase_Data!F6="M03"),1,0)</x:f>
        <x:v>0</x:v>
      </x:c>
      <x:c r="F6" t="n">
        <x:f>IF(C6="밖",1,0)</x:f>
        <x:v>0</x:v>
      </x:c>
      <x:c r="G6" t="n">
        <x:f>IF(OR(F6=1,E6=1),1,0)</x:f>
        <x:v>0</x:v>
      </x:c>
      <x:c r="H6" t="str">
        <x:f>IF(B6=1,IF(F6=1,"TP","FN"),IF(F6=1,"FP","TN"))</x:f>
        <x:v>TN</x:v>
      </x:c>
      <x:c r="I6" t="str">
        <x:f>IF(B6=1,IF(G6=1,"TP","FN"),IF(G6=1,"FP","TN"))</x:f>
        <x:v>TN</x:v>
      </x:c>
    </x:row>
    <x:row r="7">
      <x:c r="A7" t="str">
        <x:f>MiniCase_Data!A7</x:f>
        <x:v>R00006</x:v>
      </x:c>
      <x:c r="B7" t="n">
        <x:f>IF(MiniCase_Data!O7="불합격",1,0)</x:f>
        <x:v>0</x:v>
      </x:c>
      <x:c r="C7" t="str">
        <x:f>IF(ISBLANK(MiniCase_Data!H7),"missing",IF(OR(MiniCase_Data!H7&lt;27,MiniCase_Data!H7&gt;33),"밖","안"))</x:f>
        <x:v>안</x:v>
      </x:c>
      <x:c r="D7" t="n">
        <x:f>IF(ISBLANK(MiniCase_Data!H7),VLOOKUP(A7,센서로그!$A$2:$C$13,3,FALSE),MiniCase_Data!H7)</x:f>
        <x:v>31.19</x:v>
      </x:c>
      <x:c r="E7" t="n">
        <x:f>IF(AND(MiniCase_Data!C7="야간",MiniCase_Data!F7="M03"),1,0)</x:f>
        <x:v>0</x:v>
      </x:c>
      <x:c r="F7" t="n">
        <x:f>IF(C7="밖",1,0)</x:f>
        <x:v>0</x:v>
      </x:c>
      <x:c r="G7" t="n">
        <x:f>IF(OR(F7=1,E7=1),1,0)</x:f>
        <x:v>0</x:v>
      </x:c>
      <x:c r="H7" t="str">
        <x:f>IF(B7=1,IF(F7=1,"TP","FN"),IF(F7=1,"FP","TN"))</x:f>
        <x:v>TN</x:v>
      </x:c>
      <x:c r="I7" t="str">
        <x:f>IF(B7=1,IF(G7=1,"TP","FN"),IF(G7=1,"FP","TN"))</x:f>
        <x:v>TN</x:v>
      </x:c>
    </x:row>
    <x:row r="8">
      <x:c r="A8" t="str">
        <x:f>MiniCase_Data!A8</x:f>
        <x:v>R00007</x:v>
      </x:c>
      <x:c r="B8" t="n">
        <x:f>IF(MiniCase_Data!O8="불합격",1,0)</x:f>
        <x:v>0</x:v>
      </x:c>
      <x:c r="C8" t="str">
        <x:f>IF(ISBLANK(MiniCase_Data!H8),"missing",IF(OR(MiniCase_Data!H8&lt;27,MiniCase_Data!H8&gt;33),"밖","안"))</x:f>
        <x:v>안</x:v>
      </x:c>
      <x:c r="D8" t="n">
        <x:f>IF(ISBLANK(MiniCase_Data!H8),VLOOKUP(A8,센서로그!$A$2:$C$13,3,FALSE),MiniCase_Data!H8)</x:f>
        <x:v>32.47</x:v>
      </x:c>
      <x:c r="E8" t="n">
        <x:f>IF(AND(MiniCase_Data!C8="야간",MiniCase_Data!F8="M03"),1,0)</x:f>
        <x:v>0</x:v>
      </x:c>
      <x:c r="F8" t="n">
        <x:f>IF(C8="밖",1,0)</x:f>
        <x:v>0</x:v>
      </x:c>
      <x:c r="G8" t="n">
        <x:f>IF(OR(F8=1,E8=1),1,0)</x:f>
        <x:v>0</x:v>
      </x:c>
      <x:c r="H8" t="str">
        <x:f>IF(B8=1,IF(F8=1,"TP","FN"),IF(F8=1,"FP","TN"))</x:f>
        <x:v>TN</x:v>
      </x:c>
      <x:c r="I8" t="str">
        <x:f>IF(B8=1,IF(G8=1,"TP","FN"),IF(G8=1,"FP","TN"))</x:f>
        <x:v>TN</x:v>
      </x:c>
    </x:row>
    <x:row r="9">
      <x:c r="A9" t="str">
        <x:f>MiniCase_Data!A9</x:f>
        <x:v>R00008</x:v>
      </x:c>
      <x:c r="B9" t="n">
        <x:f>IF(MiniCase_Data!O9="불합격",1,0)</x:f>
        <x:v>0</x:v>
      </x:c>
      <x:c r="C9" t="str">
        <x:f>IF(ISBLANK(MiniCase_Data!H9),"missing",IF(OR(MiniCase_Data!H9&lt;27,MiniCase_Data!H9&gt;33),"밖","안"))</x:f>
        <x:v>안</x:v>
      </x:c>
      <x:c r="D9" t="n">
        <x:f>IF(ISBLANK(MiniCase_Data!H9),VLOOKUP(A9,센서로그!$A$2:$C$13,3,FALSE),MiniCase_Data!H9)</x:f>
        <x:v>30.76</x:v>
      </x:c>
      <x:c r="E9" t="n">
        <x:f>IF(AND(MiniCase_Data!C9="야간",MiniCase_Data!F9="M03"),1,0)</x:f>
        <x:v>1</x:v>
      </x:c>
      <x:c r="F9" t="n">
        <x:f>IF(C9="밖",1,0)</x:f>
        <x:v>0</x:v>
      </x:c>
      <x:c r="G9" t="n">
        <x:f>IF(OR(F9=1,E9=1),1,0)</x:f>
        <x:v>1</x:v>
      </x:c>
      <x:c r="H9" t="str">
        <x:f>IF(B9=1,IF(F9=1,"TP","FN"),IF(F9=1,"FP","TN"))</x:f>
        <x:v>TN</x:v>
      </x:c>
      <x:c r="I9" t="str">
        <x:f>IF(B9=1,IF(G9=1,"TP","FN"),IF(G9=1,"FP","TN"))</x:f>
        <x:v>FP</x:v>
      </x:c>
    </x:row>
    <x:row r="10">
      <x:c r="A10" t="str">
        <x:f>MiniCase_Data!A10</x:f>
        <x:v>R00009</x:v>
      </x:c>
      <x:c r="B10" t="n">
        <x:f>IF(MiniCase_Data!O10="불합격",1,0)</x:f>
        <x:v>0</x:v>
      </x:c>
      <x:c r="C10" t="str">
        <x:f>IF(ISBLANK(MiniCase_Data!H10),"missing",IF(OR(MiniCase_Data!H10&lt;27,MiniCase_Data!H10&gt;33),"밖","안"))</x:f>
        <x:v>밖</x:v>
      </x:c>
      <x:c r="D10" t="n">
        <x:f>IF(ISBLANK(MiniCase_Data!H10),VLOOKUP(A10,센서로그!$A$2:$C$13,3,FALSE),MiniCase_Data!H10)</x:f>
        <x:v>33.58</x:v>
      </x:c>
      <x:c r="E10" t="n">
        <x:f>IF(AND(MiniCase_Data!C10="야간",MiniCase_Data!F10="M03"),1,0)</x:f>
        <x:v>1</x:v>
      </x:c>
      <x:c r="F10" t="n">
        <x:f>IF(C10="밖",1,0)</x:f>
        <x:v>1</x:v>
      </x:c>
      <x:c r="G10" t="n">
        <x:f>IF(OR(F10=1,E10=1),1,0)</x:f>
        <x:v>1</x:v>
      </x:c>
      <x:c r="H10" t="str">
        <x:f>IF(B10=1,IF(F10=1,"TP","FN"),IF(F10=1,"FP","TN"))</x:f>
        <x:v>FP</x:v>
      </x:c>
      <x:c r="I10" t="str">
        <x:f>IF(B10=1,IF(G10=1,"TP","FN"),IF(G10=1,"FP","TN"))</x:f>
        <x:v>FP</x:v>
      </x:c>
    </x:row>
    <x:row r="11">
      <x:c r="A11" t="str">
        <x:f>MiniCase_Data!A11</x:f>
        <x:v>R00010</x:v>
      </x:c>
      <x:c r="B11" t="n">
        <x:f>IF(MiniCase_Data!O11="불합격",1,0)</x:f>
        <x:v>0</x:v>
      </x:c>
      <x:c r="C11" t="str">
        <x:f>IF(ISBLANK(MiniCase_Data!H11),"missing",IF(OR(MiniCase_Data!H11&lt;27,MiniCase_Data!H11&gt;33),"밖","안"))</x:f>
        <x:v>안</x:v>
      </x:c>
      <x:c r="D11" t="n">
        <x:f>IF(ISBLANK(MiniCase_Data!H11),VLOOKUP(A11,센서로그!$A$2:$C$13,3,FALSE),MiniCase_Data!H11)</x:f>
        <x:v>32.39</x:v>
      </x:c>
      <x:c r="E11" t="n">
        <x:f>IF(AND(MiniCase_Data!C11="야간",MiniCase_Data!F11="M03"),1,0)</x:f>
        <x:v>0</x:v>
      </x:c>
      <x:c r="F11" t="n">
        <x:f>IF(C11="밖",1,0)</x:f>
        <x:v>0</x:v>
      </x:c>
      <x:c r="G11" t="n">
        <x:f>IF(OR(F11=1,E11=1),1,0)</x:f>
        <x:v>0</x:v>
      </x:c>
      <x:c r="H11" t="str">
        <x:f>IF(B11=1,IF(F11=1,"TP","FN"),IF(F11=1,"FP","TN"))</x:f>
        <x:v>TN</x:v>
      </x:c>
      <x:c r="I11" t="str">
        <x:f>IF(B11=1,IF(G11=1,"TP","FN"),IF(G11=1,"FP","TN"))</x:f>
        <x:v>TN</x:v>
      </x:c>
    </x:row>
    <x:row r="12">
      <x:c r="A12" t="str">
        <x:f>MiniCase_Data!A12</x:f>
        <x:v>R00011</x:v>
      </x:c>
      <x:c r="B12" t="n">
        <x:f>IF(MiniCase_Data!O12="불합격",1,0)</x:f>
        <x:v>0</x:v>
      </x:c>
      <x:c r="C12" t="str">
        <x:f>IF(ISBLANK(MiniCase_Data!H12),"missing",IF(OR(MiniCase_Data!H12&lt;27,MiniCase_Data!H12&gt;33),"밖","안"))</x:f>
        <x:v>안</x:v>
      </x:c>
      <x:c r="D12" t="n">
        <x:f>IF(ISBLANK(MiniCase_Data!H12),VLOOKUP(A12,센서로그!$A$2:$C$13,3,FALSE),MiniCase_Data!H12)</x:f>
        <x:v>28.98</x:v>
      </x:c>
      <x:c r="E12" t="n">
        <x:f>IF(AND(MiniCase_Data!C12="야간",MiniCase_Data!F12="M03"),1,0)</x:f>
        <x:v>0</x:v>
      </x:c>
      <x:c r="F12" t="n">
        <x:f>IF(C12="밖",1,0)</x:f>
        <x:v>0</x:v>
      </x:c>
      <x:c r="G12" t="n">
        <x:f>IF(OR(F12=1,E12=1),1,0)</x:f>
        <x:v>0</x:v>
      </x:c>
      <x:c r="H12" t="str">
        <x:f>IF(B12=1,IF(F12=1,"TP","FN"),IF(F12=1,"FP","TN"))</x:f>
        <x:v>TN</x:v>
      </x:c>
      <x:c r="I12" t="str">
        <x:f>IF(B12=1,IF(G12=1,"TP","FN"),IF(G12=1,"FP","TN"))</x:f>
        <x:v>TN</x:v>
      </x:c>
    </x:row>
    <x:row r="13">
      <x:c r="A13" t="str">
        <x:f>MiniCase_Data!A13</x:f>
        <x:v>R00012</x:v>
      </x:c>
      <x:c r="B13" t="n">
        <x:f>IF(MiniCase_Data!O13="불합격",1,0)</x:f>
        <x:v>0</x:v>
      </x:c>
      <x:c r="C13" t="str">
        <x:f>IF(ISBLANK(MiniCase_Data!H13),"missing",IF(OR(MiniCase_Data!H13&lt;27,MiniCase_Data!H13&gt;33),"밖","안"))</x:f>
        <x:v>안</x:v>
      </x:c>
      <x:c r="D13" t="n">
        <x:f>IF(ISBLANK(MiniCase_Data!H13),VLOOKUP(A13,센서로그!$A$2:$C$13,3,FALSE),MiniCase_Data!H13)</x:f>
        <x:v>27.56</x:v>
      </x:c>
      <x:c r="E13" t="n">
        <x:f>IF(AND(MiniCase_Data!C13="야간",MiniCase_Data!F13="M03"),1,0)</x:f>
        <x:v>0</x:v>
      </x:c>
      <x:c r="F13" t="n">
        <x:f>IF(C13="밖",1,0)</x:f>
        <x:v>0</x:v>
      </x:c>
      <x:c r="G13" t="n">
        <x:f>IF(OR(F13=1,E13=1),1,0)</x:f>
        <x:v>0</x:v>
      </x:c>
      <x:c r="H13" t="str">
        <x:f>IF(B13=1,IF(F13=1,"TP","FN"),IF(F13=1,"FP","TN"))</x:f>
        <x:v>TN</x:v>
      </x:c>
      <x:c r="I13" t="str">
        <x:f>IF(B13=1,IF(G13=1,"TP","FN"),IF(G13=1,"FP","TN"))</x:f>
        <x:v>TN</x:v>
      </x:c>
    </x:row>
    <x:row r="14">
      <x:c r="A14" t="str">
        <x:f>MiniCase_Data!A14</x:f>
        <x:v>R00013</x:v>
      </x:c>
      <x:c r="B14" t="n">
        <x:f>IF(MiniCase_Data!O14="불합격",1,0)</x:f>
        <x:v>1</x:v>
      </x:c>
      <x:c r="C14" t="str">
        <x:f>IF(ISBLANK(MiniCase_Data!H14),"missing",IF(OR(MiniCase_Data!H14&lt;27,MiniCase_Data!H14&gt;33),"밖","안"))</x:f>
        <x:v>밖</x:v>
      </x:c>
      <x:c r="D14" t="n">
        <x:f>IF(ISBLANK(MiniCase_Data!H14),VLOOKUP(A14,센서로그!$A$2:$C$13,3,FALSE),MiniCase_Data!H14)</x:f>
        <x:v>33.62</x:v>
      </x:c>
      <x:c r="E14" t="n">
        <x:f>IF(AND(MiniCase_Data!C14="야간",MiniCase_Data!F14="M03"),1,0)</x:f>
        <x:v>0</x:v>
      </x:c>
      <x:c r="F14" t="n">
        <x:f>IF(C14="밖",1,0)</x:f>
        <x:v>1</x:v>
      </x:c>
      <x:c r="G14" t="n">
        <x:f>IF(OR(F14=1,E14=1),1,0)</x:f>
        <x:v>1</x:v>
      </x:c>
      <x:c r="H14" t="str">
        <x:f>IF(B14=1,IF(F14=1,"TP","FN"),IF(F14=1,"FP","TN"))</x:f>
        <x:v>TP</x:v>
      </x:c>
      <x:c r="I14" t="str">
        <x:f>IF(B14=1,IF(G14=1,"TP","FN"),IF(G14=1,"FP","TN"))</x:f>
        <x:v>TP</x:v>
      </x:c>
    </x:row>
    <x:row r="15">
      <x:c r="A15" t="str">
        <x:f>MiniCase_Data!A15</x:f>
        <x:v>R00014</x:v>
      </x:c>
      <x:c r="B15" t="n">
        <x:f>IF(MiniCase_Data!O15="불합격",1,0)</x:f>
        <x:v>0</x:v>
      </x:c>
      <x:c r="C15" t="str">
        <x:f>IF(ISBLANK(MiniCase_Data!H15),"missing",IF(OR(MiniCase_Data!H15&lt;27,MiniCase_Data!H15&gt;33),"밖","안"))</x:f>
        <x:v>안</x:v>
      </x:c>
      <x:c r="D15" t="n">
        <x:f>IF(ISBLANK(MiniCase_Data!H15),VLOOKUP(A15,센서로그!$A$2:$C$13,3,FALSE),MiniCase_Data!H15)</x:f>
        <x:v>27.45</x:v>
      </x:c>
      <x:c r="E15" t="n">
        <x:f>IF(AND(MiniCase_Data!C15="야간",MiniCase_Data!F15="M03"),1,0)</x:f>
        <x:v>0</x:v>
      </x:c>
      <x:c r="F15" t="n">
        <x:f>IF(C15="밖",1,0)</x:f>
        <x:v>0</x:v>
      </x:c>
      <x:c r="G15" t="n">
        <x:f>IF(OR(F15=1,E15=1),1,0)</x:f>
        <x:v>0</x:v>
      </x:c>
      <x:c r="H15" t="str">
        <x:f>IF(B15=1,IF(F15=1,"TP","FN"),IF(F15=1,"FP","TN"))</x:f>
        <x:v>TN</x:v>
      </x:c>
      <x:c r="I15" t="str">
        <x:f>IF(B15=1,IF(G15=1,"TP","FN"),IF(G15=1,"FP","TN"))</x:f>
        <x:v>TN</x:v>
      </x:c>
    </x:row>
    <x:row r="16">
      <x:c r="A16" t="str">
        <x:f>MiniCase_Data!A16</x:f>
        <x:v>R00015</x:v>
      </x:c>
      <x:c r="B16" t="n">
        <x:f>IF(MiniCase_Data!O16="불합격",1,0)</x:f>
        <x:v>0</x:v>
      </x:c>
      <x:c r="C16" t="str">
        <x:f>IF(ISBLANK(MiniCase_Data!H16),"missing",IF(OR(MiniCase_Data!H16&lt;27,MiniCase_Data!H16&gt;33),"밖","안"))</x:f>
        <x:v>안</x:v>
      </x:c>
      <x:c r="D16" t="n">
        <x:f>IF(ISBLANK(MiniCase_Data!H16),VLOOKUP(A16,센서로그!$A$2:$C$13,3,FALSE),MiniCase_Data!H16)</x:f>
        <x:v>28.65</x:v>
      </x:c>
      <x:c r="E16" t="n">
        <x:f>IF(AND(MiniCase_Data!C16="야간",MiniCase_Data!F16="M03"),1,0)</x:f>
        <x:v>0</x:v>
      </x:c>
      <x:c r="F16" t="n">
        <x:f>IF(C16="밖",1,0)</x:f>
        <x:v>0</x:v>
      </x:c>
      <x:c r="G16" t="n">
        <x:f>IF(OR(F16=1,E16=1),1,0)</x:f>
        <x:v>0</x:v>
      </x:c>
      <x:c r="H16" t="str">
        <x:f>IF(B16=1,IF(F16=1,"TP","FN"),IF(F16=1,"FP","TN"))</x:f>
        <x:v>TN</x:v>
      </x:c>
      <x:c r="I16" t="str">
        <x:f>IF(B16=1,IF(G16=1,"TP","FN"),IF(G16=1,"FP","TN"))</x:f>
        <x:v>TN</x:v>
      </x:c>
    </x:row>
    <x:row r="17">
      <x:c r="A17" t="str">
        <x:f>MiniCase_Data!A17</x:f>
        <x:v>R00016</x:v>
      </x:c>
      <x:c r="B17" t="n">
        <x:f>IF(MiniCase_Data!O17="불합격",1,0)</x:f>
        <x:v>0</x:v>
      </x:c>
      <x:c r="C17" t="str">
        <x:f>IF(ISBLANK(MiniCase_Data!H17),"missing",IF(OR(MiniCase_Data!H17&lt;27,MiniCase_Data!H17&gt;33),"밖","안"))</x:f>
        <x:v>밖</x:v>
      </x:c>
      <x:c r="D17" t="n">
        <x:f>IF(ISBLANK(MiniCase_Data!H17),VLOOKUP(A17,센서로그!$A$2:$C$13,3,FALSE),MiniCase_Data!H17)</x:f>
        <x:v>26.71</x:v>
      </x:c>
      <x:c r="E17" t="n">
        <x:f>IF(AND(MiniCase_Data!C17="야간",MiniCase_Data!F17="M03"),1,0)</x:f>
        <x:v>1</x:v>
      </x:c>
      <x:c r="F17" t="n">
        <x:f>IF(C17="밖",1,0)</x:f>
        <x:v>1</x:v>
      </x:c>
      <x:c r="G17" t="n">
        <x:f>IF(OR(F17=1,E17=1),1,0)</x:f>
        <x:v>1</x:v>
      </x:c>
      <x:c r="H17" t="str">
        <x:f>IF(B17=1,IF(F17=1,"TP","FN"),IF(F17=1,"FP","TN"))</x:f>
        <x:v>FP</x:v>
      </x:c>
      <x:c r="I17" t="str">
        <x:f>IF(B17=1,IF(G17=1,"TP","FN"),IF(G17=1,"FP","TN"))</x:f>
        <x:v>FP</x:v>
      </x:c>
    </x:row>
    <x:row r="18">
      <x:c r="A18" t="str">
        <x:f>MiniCase_Data!A18</x:f>
        <x:v>R00017</x:v>
      </x:c>
      <x:c r="B18" t="n">
        <x:f>IF(MiniCase_Data!O18="불합격",1,0)</x:f>
        <x:v>0</x:v>
      </x:c>
      <x:c r="C18" t="str">
        <x:f>IF(ISBLANK(MiniCase_Data!H18),"missing",IF(OR(MiniCase_Data!H18&lt;27,MiniCase_Data!H18&gt;33),"밖","안"))</x:f>
        <x:v>안</x:v>
      </x:c>
      <x:c r="D18" t="n">
        <x:f>IF(ISBLANK(MiniCase_Data!H18),VLOOKUP(A18,센서로그!$A$2:$C$13,3,FALSE),MiniCase_Data!H18)</x:f>
        <x:v>32.21</x:v>
      </x:c>
      <x:c r="E18" t="n">
        <x:f>IF(AND(MiniCase_Data!C18="야간",MiniCase_Data!F18="M03"),1,0)</x:f>
        <x:v>0</x:v>
      </x:c>
      <x:c r="F18" t="n">
        <x:f>IF(C18="밖",1,0)</x:f>
        <x:v>0</x:v>
      </x:c>
      <x:c r="G18" t="n">
        <x:f>IF(OR(F18=1,E18=1),1,0)</x:f>
        <x:v>0</x:v>
      </x:c>
      <x:c r="H18" t="str">
        <x:f>IF(B18=1,IF(F18=1,"TP","FN"),IF(F18=1,"FP","TN"))</x:f>
        <x:v>TN</x:v>
      </x:c>
      <x:c r="I18" t="str">
        <x:f>IF(B18=1,IF(G18=1,"TP","FN"),IF(G18=1,"FP","TN"))</x:f>
        <x:v>TN</x:v>
      </x:c>
    </x:row>
    <x:row r="19">
      <x:c r="A19" t="str">
        <x:f>MiniCase_Data!A19</x:f>
        <x:v>R00018</x:v>
      </x:c>
      <x:c r="B19" t="n">
        <x:f>IF(MiniCase_Data!O19="불합격",1,0)</x:f>
        <x:v>0</x:v>
      </x:c>
      <x:c r="C19" t="str">
        <x:f>IF(ISBLANK(MiniCase_Data!H19),"missing",IF(OR(MiniCase_Data!H19&lt;27,MiniCase_Data!H19&gt;33),"밖","안"))</x:f>
        <x:v>안</x:v>
      </x:c>
      <x:c r="D19" t="n">
        <x:f>IF(ISBLANK(MiniCase_Data!H19),VLOOKUP(A19,센서로그!$A$2:$C$13,3,FALSE),MiniCase_Data!H19)</x:f>
        <x:v>31.8</x:v>
      </x:c>
      <x:c r="E19" t="n">
        <x:f>IF(AND(MiniCase_Data!C19="야간",MiniCase_Data!F19="M03"),1,0)</x:f>
        <x:v>0</x:v>
      </x:c>
      <x:c r="F19" t="n">
        <x:f>IF(C19="밖",1,0)</x:f>
        <x:v>0</x:v>
      </x:c>
      <x:c r="G19" t="n">
        <x:f>IF(OR(F19=1,E19=1),1,0)</x:f>
        <x:v>0</x:v>
      </x:c>
      <x:c r="H19" t="str">
        <x:f>IF(B19=1,IF(F19=1,"TP","FN"),IF(F19=1,"FP","TN"))</x:f>
        <x:v>TN</x:v>
      </x:c>
      <x:c r="I19" t="str">
        <x:f>IF(B19=1,IF(G19=1,"TP","FN"),IF(G19=1,"FP","TN"))</x:f>
        <x:v>TN</x:v>
      </x:c>
    </x:row>
    <x:row r="20">
      <x:c r="A20" t="str">
        <x:f>MiniCase_Data!A20</x:f>
        <x:v>R00019</x:v>
      </x:c>
      <x:c r="B20" t="n">
        <x:f>IF(MiniCase_Data!O20="불합격",1,0)</x:f>
        <x:v>0</x:v>
      </x:c>
      <x:c r="C20" t="str">
        <x:f>IF(ISBLANK(MiniCase_Data!H20),"missing",IF(OR(MiniCase_Data!H20&lt;27,MiniCase_Data!H20&gt;33),"밖","안"))</x:f>
        <x:v>안</x:v>
      </x:c>
      <x:c r="D20" t="n">
        <x:f>IF(ISBLANK(MiniCase_Data!H20),VLOOKUP(A20,센서로그!$A$2:$C$13,3,FALSE),MiniCase_Data!H20)</x:f>
        <x:v>28.55</x:v>
      </x:c>
      <x:c r="E20" t="n">
        <x:f>IF(AND(MiniCase_Data!C20="야간",MiniCase_Data!F20="M03"),1,0)</x:f>
        <x:v>0</x:v>
      </x:c>
      <x:c r="F20" t="n">
        <x:f>IF(C20="밖",1,0)</x:f>
        <x:v>0</x:v>
      </x:c>
      <x:c r="G20" t="n">
        <x:f>IF(OR(F20=1,E20=1),1,0)</x:f>
        <x:v>0</x:v>
      </x:c>
      <x:c r="H20" t="str">
        <x:f>IF(B20=1,IF(F20=1,"TP","FN"),IF(F20=1,"FP","TN"))</x:f>
        <x:v>TN</x:v>
      </x:c>
      <x:c r="I20" t="str">
        <x:f>IF(B20=1,IF(G20=1,"TP","FN"),IF(G20=1,"FP","TN"))</x:f>
        <x:v>TN</x:v>
      </x:c>
    </x:row>
    <x:row r="21">
      <x:c r="A21" t="str">
        <x:f>MiniCase_Data!A21</x:f>
        <x:v>R00020</x:v>
      </x:c>
      <x:c r="B21" t="n">
        <x:f>IF(MiniCase_Data!O21="불합격",1,0)</x:f>
        <x:v>0</x:v>
      </x:c>
      <x:c r="C21" t="str">
        <x:f>IF(ISBLANK(MiniCase_Data!H21),"missing",IF(OR(MiniCase_Data!H21&lt;27,MiniCase_Data!H21&gt;33),"밖","안"))</x:f>
        <x:v>안</x:v>
      </x:c>
      <x:c r="D21" t="n">
        <x:f>IF(ISBLANK(MiniCase_Data!H21),VLOOKUP(A21,센서로그!$A$2:$C$13,3,FALSE),MiniCase_Data!H21)</x:f>
        <x:v>28.81</x:v>
      </x:c>
      <x:c r="E21" t="n">
        <x:f>IF(AND(MiniCase_Data!C21="야간",MiniCase_Data!F21="M03"),1,0)</x:f>
        <x:v>0</x:v>
      </x:c>
      <x:c r="F21" t="n">
        <x:f>IF(C21="밖",1,0)</x:f>
        <x:v>0</x:v>
      </x:c>
      <x:c r="G21" t="n">
        <x:f>IF(OR(F21=1,E21=1),1,0)</x:f>
        <x:v>0</x:v>
      </x:c>
      <x:c r="H21" t="str">
        <x:f>IF(B21=1,IF(F21=1,"TP","FN"),IF(F21=1,"FP","TN"))</x:f>
        <x:v>TN</x:v>
      </x:c>
      <x:c r="I21" t="str">
        <x:f>IF(B21=1,IF(G21=1,"TP","FN"),IF(G21=1,"FP","TN"))</x:f>
        <x:v>TN</x:v>
      </x:c>
    </x:row>
    <x:row r="22">
      <x:c r="A22" t="str">
        <x:f>MiniCase_Data!A22</x:f>
        <x:v>R00021</x:v>
      </x:c>
      <x:c r="B22" t="n">
        <x:f>IF(MiniCase_Data!O22="불합격",1,0)</x:f>
        <x:v>0</x:v>
      </x:c>
      <x:c r="C22" t="str">
        <x:f>IF(ISBLANK(MiniCase_Data!H22),"missing",IF(OR(MiniCase_Data!H22&lt;27,MiniCase_Data!H22&gt;33),"밖","안"))</x:f>
        <x:v>안</x:v>
      </x:c>
      <x:c r="D22" t="n">
        <x:f>IF(ISBLANK(MiniCase_Data!H22),VLOOKUP(A22,센서로그!$A$2:$C$13,3,FALSE),MiniCase_Data!H22)</x:f>
        <x:v>30.15</x:v>
      </x:c>
      <x:c r="E22" t="n">
        <x:f>IF(AND(MiniCase_Data!C22="야간",MiniCase_Data!F22="M03"),1,0)</x:f>
        <x:v>0</x:v>
      </x:c>
      <x:c r="F22" t="n">
        <x:f>IF(C22="밖",1,0)</x:f>
        <x:v>0</x:v>
      </x:c>
      <x:c r="G22" t="n">
        <x:f>IF(OR(F22=1,E22=1),1,0)</x:f>
        <x:v>0</x:v>
      </x:c>
      <x:c r="H22" t="str">
        <x:f>IF(B22=1,IF(F22=1,"TP","FN"),IF(F22=1,"FP","TN"))</x:f>
        <x:v>TN</x:v>
      </x:c>
      <x:c r="I22" t="str">
        <x:f>IF(B22=1,IF(G22=1,"TP","FN"),IF(G22=1,"FP","TN"))</x:f>
        <x:v>TN</x:v>
      </x:c>
    </x:row>
    <x:row r="23">
      <x:c r="A23" t="str">
        <x:f>MiniCase_Data!A23</x:f>
        <x:v>R00022</x:v>
      </x:c>
      <x:c r="B23" t="n">
        <x:f>IF(MiniCase_Data!O23="불합격",1,0)</x:f>
        <x:v>0</x:v>
      </x:c>
      <x:c r="C23" t="str">
        <x:f>IF(ISBLANK(MiniCase_Data!H23),"missing",IF(OR(MiniCase_Data!H23&lt;27,MiniCase_Data!H23&gt;33),"밖","안"))</x:f>
        <x:v>안</x:v>
      </x:c>
      <x:c r="D23" t="n">
        <x:f>IF(ISBLANK(MiniCase_Data!H23),VLOOKUP(A23,센서로그!$A$2:$C$13,3,FALSE),MiniCase_Data!H23)</x:f>
        <x:v>29.51</x:v>
      </x:c>
      <x:c r="E23" t="n">
        <x:f>IF(AND(MiniCase_Data!C23="야간",MiniCase_Data!F23="M03"),1,0)</x:f>
        <x:v>0</x:v>
      </x:c>
      <x:c r="F23" t="n">
        <x:f>IF(C23="밖",1,0)</x:f>
        <x:v>0</x:v>
      </x:c>
      <x:c r="G23" t="n">
        <x:f>IF(OR(F23=1,E23=1),1,0)</x:f>
        <x:v>0</x:v>
      </x:c>
      <x:c r="H23" t="str">
        <x:f>IF(B23=1,IF(F23=1,"TP","FN"),IF(F23=1,"FP","TN"))</x:f>
        <x:v>TN</x:v>
      </x:c>
      <x:c r="I23" t="str">
        <x:f>IF(B23=1,IF(G23=1,"TP","FN"),IF(G23=1,"FP","TN"))</x:f>
        <x:v>TN</x:v>
      </x:c>
    </x:row>
    <x:row r="24">
      <x:c r="A24" t="str">
        <x:f>MiniCase_Data!A24</x:f>
        <x:v>R00023</x:v>
      </x:c>
      <x:c r="B24" t="n">
        <x:f>IF(MiniCase_Data!O24="불합격",1,0)</x:f>
        <x:v>0</x:v>
      </x:c>
      <x:c r="C24" t="str">
        <x:f>IF(ISBLANK(MiniCase_Data!H24),"missing",IF(OR(MiniCase_Data!H24&lt;27,MiniCase_Data!H24&gt;33),"밖","안"))</x:f>
        <x:v>안</x:v>
      </x:c>
      <x:c r="D24" t="n">
        <x:f>IF(ISBLANK(MiniCase_Data!H24),VLOOKUP(A24,센서로그!$A$2:$C$13,3,FALSE),MiniCase_Data!H24)</x:f>
        <x:v>30.45</x:v>
      </x:c>
      <x:c r="E24" t="n">
        <x:f>IF(AND(MiniCase_Data!C24="야간",MiniCase_Data!F24="M03"),1,0)</x:f>
        <x:v>0</x:v>
      </x:c>
      <x:c r="F24" t="n">
        <x:f>IF(C24="밖",1,0)</x:f>
        <x:v>0</x:v>
      </x:c>
      <x:c r="G24" t="n">
        <x:f>IF(OR(F24=1,E24=1),1,0)</x:f>
        <x:v>0</x:v>
      </x:c>
      <x:c r="H24" t="str">
        <x:f>IF(B24=1,IF(F24=1,"TP","FN"),IF(F24=1,"FP","TN"))</x:f>
        <x:v>TN</x:v>
      </x:c>
      <x:c r="I24" t="str">
        <x:f>IF(B24=1,IF(G24=1,"TP","FN"),IF(G24=1,"FP","TN"))</x:f>
        <x:v>TN</x:v>
      </x:c>
    </x:row>
    <x:row r="25">
      <x:c r="A25" t="str">
        <x:f>MiniCase_Data!A25</x:f>
        <x:v>R00024</x:v>
      </x:c>
      <x:c r="B25" t="n">
        <x:f>IF(MiniCase_Data!O25="불합격",1,0)</x:f>
        <x:v>0</x:v>
      </x:c>
      <x:c r="C25" t="str">
        <x:f>IF(ISBLANK(MiniCase_Data!H25),"missing",IF(OR(MiniCase_Data!H25&lt;27,MiniCase_Data!H25&gt;33),"밖","안"))</x:f>
        <x:v>안</x:v>
      </x:c>
      <x:c r="D25" t="n">
        <x:f>IF(ISBLANK(MiniCase_Data!H25),VLOOKUP(A25,센서로그!$A$2:$C$13,3,FALSE),MiniCase_Data!H25)</x:f>
        <x:v>27.85</x:v>
      </x:c>
      <x:c r="E25" t="n">
        <x:f>IF(AND(MiniCase_Data!C25="야간",MiniCase_Data!F25="M03"),1,0)</x:f>
        <x:v>0</x:v>
      </x:c>
      <x:c r="F25" t="n">
        <x:f>IF(C25="밖",1,0)</x:f>
        <x:v>0</x:v>
      </x:c>
      <x:c r="G25" t="n">
        <x:f>IF(OR(F25=1,E25=1),1,0)</x:f>
        <x:v>0</x:v>
      </x:c>
      <x:c r="H25" t="str">
        <x:f>IF(B25=1,IF(F25=1,"TP","FN"),IF(F25=1,"FP","TN"))</x:f>
        <x:v>TN</x:v>
      </x:c>
      <x:c r="I25" t="str">
        <x:f>IF(B25=1,IF(G25=1,"TP","FN"),IF(G25=1,"FP","TN"))</x:f>
        <x:v>TN</x:v>
      </x:c>
    </x:row>
    <x:row r="26">
      <x:c r="A26" t="str">
        <x:f>MiniCase_Data!A26</x:f>
        <x:v>R00025</x:v>
      </x:c>
      <x:c r="B26" t="n">
        <x:f>IF(MiniCase_Data!O26="불합격",1,0)</x:f>
        <x:v>0</x:v>
      </x:c>
      <x:c r="C26" t="str">
        <x:f>IF(ISBLANK(MiniCase_Data!H26),"missing",IF(OR(MiniCase_Data!H26&lt;27,MiniCase_Data!H26&gt;33),"밖","안"))</x:f>
        <x:v>안</x:v>
      </x:c>
      <x:c r="D26" t="n">
        <x:f>IF(ISBLANK(MiniCase_Data!H26),VLOOKUP(A26,센서로그!$A$2:$C$13,3,FALSE),MiniCase_Data!H26)</x:f>
        <x:v>29.59</x:v>
      </x:c>
      <x:c r="E26" t="n">
        <x:f>IF(AND(MiniCase_Data!C26="야간",MiniCase_Data!F26="M03"),1,0)</x:f>
        <x:v>0</x:v>
      </x:c>
      <x:c r="F26" t="n">
        <x:f>IF(C26="밖",1,0)</x:f>
        <x:v>0</x:v>
      </x:c>
      <x:c r="G26" t="n">
        <x:f>IF(OR(F26=1,E26=1),1,0)</x:f>
        <x:v>0</x:v>
      </x:c>
      <x:c r="H26" t="str">
        <x:f>IF(B26=1,IF(F26=1,"TP","FN"),IF(F26=1,"FP","TN"))</x:f>
        <x:v>TN</x:v>
      </x:c>
      <x:c r="I26" t="str">
        <x:f>IF(B26=1,IF(G26=1,"TP","FN"),IF(G26=1,"FP","TN"))</x:f>
        <x:v>TN</x:v>
      </x:c>
    </x:row>
    <x:row r="27">
      <x:c r="A27" t="str">
        <x:f>MiniCase_Data!A27</x:f>
        <x:v>R00026</x:v>
      </x:c>
      <x:c r="B27" t="n">
        <x:f>IF(MiniCase_Data!O27="불합격",1,0)</x:f>
        <x:v>0</x:v>
      </x:c>
      <x:c r="C27" t="str">
        <x:f>IF(ISBLANK(MiniCase_Data!H27),"missing",IF(OR(MiniCase_Data!H27&lt;27,MiniCase_Data!H27&gt;33),"밖","안"))</x:f>
        <x:v>안</x:v>
      </x:c>
      <x:c r="D27" t="n">
        <x:f>IF(ISBLANK(MiniCase_Data!H27),VLOOKUP(A27,센서로그!$A$2:$C$13,3,FALSE),MiniCase_Data!H27)</x:f>
        <x:v>28</x:v>
      </x:c>
      <x:c r="E27" t="n">
        <x:f>IF(AND(MiniCase_Data!C27="야간",MiniCase_Data!F27="M03"),1,0)</x:f>
        <x:v>0</x:v>
      </x:c>
      <x:c r="F27" t="n">
        <x:f>IF(C27="밖",1,0)</x:f>
        <x:v>0</x:v>
      </x:c>
      <x:c r="G27" t="n">
        <x:f>IF(OR(F27=1,E27=1),1,0)</x:f>
        <x:v>0</x:v>
      </x:c>
      <x:c r="H27" t="str">
        <x:f>IF(B27=1,IF(F27=1,"TP","FN"),IF(F27=1,"FP","TN"))</x:f>
        <x:v>TN</x:v>
      </x:c>
      <x:c r="I27" t="str">
        <x:f>IF(B27=1,IF(G27=1,"TP","FN"),IF(G27=1,"FP","TN"))</x:f>
        <x:v>TN</x:v>
      </x:c>
    </x:row>
    <x:row r="28">
      <x:c r="A28" t="str">
        <x:f>MiniCase_Data!A28</x:f>
        <x:v>R00027</x:v>
      </x:c>
      <x:c r="B28" t="n">
        <x:f>IF(MiniCase_Data!O28="불합격",1,0)</x:f>
        <x:v>0</x:v>
      </x:c>
      <x:c r="C28" t="str">
        <x:f>IF(ISBLANK(MiniCase_Data!H28),"missing",IF(OR(MiniCase_Data!H28&lt;27,MiniCase_Data!H28&gt;33),"밖","안"))</x:f>
        <x:v>안</x:v>
      </x:c>
      <x:c r="D28" t="n">
        <x:f>IF(ISBLANK(MiniCase_Data!H28),VLOOKUP(A28,센서로그!$A$2:$C$13,3,FALSE),MiniCase_Data!H28)</x:f>
        <x:v>31.62</x:v>
      </x:c>
      <x:c r="E28" t="n">
        <x:f>IF(AND(MiniCase_Data!C28="야간",MiniCase_Data!F28="M03"),1,0)</x:f>
        <x:v>0</x:v>
      </x:c>
      <x:c r="F28" t="n">
        <x:f>IF(C28="밖",1,0)</x:f>
        <x:v>0</x:v>
      </x:c>
      <x:c r="G28" t="n">
        <x:f>IF(OR(F28=1,E28=1),1,0)</x:f>
        <x:v>0</x:v>
      </x:c>
      <x:c r="H28" t="str">
        <x:f>IF(B28=1,IF(F28=1,"TP","FN"),IF(F28=1,"FP","TN"))</x:f>
        <x:v>TN</x:v>
      </x:c>
      <x:c r="I28" t="str">
        <x:f>IF(B28=1,IF(G28=1,"TP","FN"),IF(G28=1,"FP","TN"))</x:f>
        <x:v>TN</x:v>
      </x:c>
    </x:row>
    <x:row r="29">
      <x:c r="A29" t="str">
        <x:f>MiniCase_Data!A29</x:f>
        <x:v>R00028</x:v>
      </x:c>
      <x:c r="B29" t="n">
        <x:f>IF(MiniCase_Data!O29="불합격",1,0)</x:f>
        <x:v>0</x:v>
      </x:c>
      <x:c r="C29" t="str">
        <x:f>IF(ISBLANK(MiniCase_Data!H29),"missing",IF(OR(MiniCase_Data!H29&lt;27,MiniCase_Data!H29&gt;33),"밖","안"))</x:f>
        <x:v>안</x:v>
      </x:c>
      <x:c r="D29" t="n">
        <x:f>IF(ISBLANK(MiniCase_Data!H29),VLOOKUP(A29,센서로그!$A$2:$C$13,3,FALSE),MiniCase_Data!H29)</x:f>
        <x:v>30.88</x:v>
      </x:c>
      <x:c r="E29" t="n">
        <x:f>IF(AND(MiniCase_Data!C29="야간",MiniCase_Data!F29="M03"),1,0)</x:f>
        <x:v>0</x:v>
      </x:c>
      <x:c r="F29" t="n">
        <x:f>IF(C29="밖",1,0)</x:f>
        <x:v>0</x:v>
      </x:c>
      <x:c r="G29" t="n">
        <x:f>IF(OR(F29=1,E29=1),1,0)</x:f>
        <x:v>0</x:v>
      </x:c>
      <x:c r="H29" t="str">
        <x:f>IF(B29=1,IF(F29=1,"TP","FN"),IF(F29=1,"FP","TN"))</x:f>
        <x:v>TN</x:v>
      </x:c>
      <x:c r="I29" t="str">
        <x:f>IF(B29=1,IF(G29=1,"TP","FN"),IF(G29=1,"FP","TN"))</x:f>
        <x:v>TN</x:v>
      </x:c>
    </x:row>
    <x:row r="30">
      <x:c r="A30" t="str">
        <x:f>MiniCase_Data!A30</x:f>
        <x:v>R00029</x:v>
      </x:c>
      <x:c r="B30" t="n">
        <x:f>IF(MiniCase_Data!O30="불합격",1,0)</x:f>
        <x:v>0</x:v>
      </x:c>
      <x:c r="C30" t="str">
        <x:f>IF(ISBLANK(MiniCase_Data!H30),"missing",IF(OR(MiniCase_Data!H30&lt;27,MiniCase_Data!H30&gt;33),"밖","안"))</x:f>
        <x:v>안</x:v>
      </x:c>
      <x:c r="D30" t="n">
        <x:f>IF(ISBLANK(MiniCase_Data!H30),VLOOKUP(A30,센서로그!$A$2:$C$13,3,FALSE),MiniCase_Data!H30)</x:f>
        <x:v>28.46</x:v>
      </x:c>
      <x:c r="E30" t="n">
        <x:f>IF(AND(MiniCase_Data!C30="야간",MiniCase_Data!F30="M03"),1,0)</x:f>
        <x:v>0</x:v>
      </x:c>
      <x:c r="F30" t="n">
        <x:f>IF(C30="밖",1,0)</x:f>
        <x:v>0</x:v>
      </x:c>
      <x:c r="G30" t="n">
        <x:f>IF(OR(F30=1,E30=1),1,0)</x:f>
        <x:v>0</x:v>
      </x:c>
      <x:c r="H30" t="str">
        <x:f>IF(B30=1,IF(F30=1,"TP","FN"),IF(F30=1,"FP","TN"))</x:f>
        <x:v>TN</x:v>
      </x:c>
      <x:c r="I30" t="str">
        <x:f>IF(B30=1,IF(G30=1,"TP","FN"),IF(G30=1,"FP","TN"))</x:f>
        <x:v>TN</x:v>
      </x:c>
    </x:row>
    <x:row r="31">
      <x:c r="A31" t="str">
        <x:f>MiniCase_Data!A31</x:f>
        <x:v>R00030</x:v>
      </x:c>
      <x:c r="B31" t="n">
        <x:f>IF(MiniCase_Data!O31="불합격",1,0)</x:f>
        <x:v>0</x:v>
      </x:c>
      <x:c r="C31" t="str">
        <x:f>IF(ISBLANK(MiniCase_Data!H31),"missing",IF(OR(MiniCase_Data!H31&lt;27,MiniCase_Data!H31&gt;33),"밖","안"))</x:f>
        <x:v>안</x:v>
      </x:c>
      <x:c r="D31" t="n">
        <x:f>IF(ISBLANK(MiniCase_Data!H31),VLOOKUP(A31,센서로그!$A$2:$C$13,3,FALSE),MiniCase_Data!H31)</x:f>
        <x:v>31.01</x:v>
      </x:c>
      <x:c r="E31" t="n">
        <x:f>IF(AND(MiniCase_Data!C31="야간",MiniCase_Data!F31="M03"),1,0)</x:f>
        <x:v>0</x:v>
      </x:c>
      <x:c r="F31" t="n">
        <x:f>IF(C31="밖",1,0)</x:f>
        <x:v>0</x:v>
      </x:c>
      <x:c r="G31" t="n">
        <x:f>IF(OR(F31=1,E31=1),1,0)</x:f>
        <x:v>0</x:v>
      </x:c>
      <x:c r="H31" t="str">
        <x:f>IF(B31=1,IF(F31=1,"TP","FN"),IF(F31=1,"FP","TN"))</x:f>
        <x:v>TN</x:v>
      </x:c>
      <x:c r="I31" t="str">
        <x:f>IF(B31=1,IF(G31=1,"TP","FN"),IF(G31=1,"FP","TN"))</x:f>
        <x:v>TN</x:v>
      </x:c>
    </x:row>
    <x:row r="32">
      <x:c r="A32" t="str">
        <x:f>MiniCase_Data!A32</x:f>
        <x:v>R00031</x:v>
      </x:c>
      <x:c r="B32" t="n">
        <x:f>IF(MiniCase_Data!O32="불합격",1,0)</x:f>
        <x:v>0</x:v>
      </x:c>
      <x:c r="C32" t="str">
        <x:f>IF(ISBLANK(MiniCase_Data!H32),"missing",IF(OR(MiniCase_Data!H32&lt;27,MiniCase_Data!H32&gt;33),"밖","안"))</x:f>
        <x:v>안</x:v>
      </x:c>
      <x:c r="D32" t="n">
        <x:f>IF(ISBLANK(MiniCase_Data!H32),VLOOKUP(A32,센서로그!$A$2:$C$13,3,FALSE),MiniCase_Data!H32)</x:f>
        <x:v>28.48</x:v>
      </x:c>
      <x:c r="E32" t="n">
        <x:f>IF(AND(MiniCase_Data!C32="야간",MiniCase_Data!F32="M03"),1,0)</x:f>
        <x:v>0</x:v>
      </x:c>
      <x:c r="F32" t="n">
        <x:f>IF(C32="밖",1,0)</x:f>
        <x:v>0</x:v>
      </x:c>
      <x:c r="G32" t="n">
        <x:f>IF(OR(F32=1,E32=1),1,0)</x:f>
        <x:v>0</x:v>
      </x:c>
      <x:c r="H32" t="str">
        <x:f>IF(B32=1,IF(F32=1,"TP","FN"),IF(F32=1,"FP","TN"))</x:f>
        <x:v>TN</x:v>
      </x:c>
      <x:c r="I32" t="str">
        <x:f>IF(B32=1,IF(G32=1,"TP","FN"),IF(G32=1,"FP","TN"))</x:f>
        <x:v>TN</x:v>
      </x:c>
    </x:row>
    <x:row r="33">
      <x:c r="A33" t="str">
        <x:f>MiniCase_Data!A33</x:f>
        <x:v>R00032</x:v>
      </x:c>
      <x:c r="B33" t="n">
        <x:f>IF(MiniCase_Data!O33="불합격",1,0)</x:f>
        <x:v>0</x:v>
      </x:c>
      <x:c r="C33" t="str">
        <x:f>IF(ISBLANK(MiniCase_Data!H33),"missing",IF(OR(MiniCase_Data!H33&lt;27,MiniCase_Data!H33&gt;33),"밖","안"))</x:f>
        <x:v>안</x:v>
      </x:c>
      <x:c r="D33" t="n">
        <x:f>IF(ISBLANK(MiniCase_Data!H33),VLOOKUP(A33,센서로그!$A$2:$C$13,3,FALSE),MiniCase_Data!H33)</x:f>
        <x:v>28.3</x:v>
      </x:c>
      <x:c r="E33" t="n">
        <x:f>IF(AND(MiniCase_Data!C33="야간",MiniCase_Data!F33="M03"),1,0)</x:f>
        <x:v>0</x:v>
      </x:c>
      <x:c r="F33" t="n">
        <x:f>IF(C33="밖",1,0)</x:f>
        <x:v>0</x:v>
      </x:c>
      <x:c r="G33" t="n">
        <x:f>IF(OR(F33=1,E33=1),1,0)</x:f>
        <x:v>0</x:v>
      </x:c>
      <x:c r="H33" t="str">
        <x:f>IF(B33=1,IF(F33=1,"TP","FN"),IF(F33=1,"FP","TN"))</x:f>
        <x:v>TN</x:v>
      </x:c>
      <x:c r="I33" t="str">
        <x:f>IF(B33=1,IF(G33=1,"TP","FN"),IF(G33=1,"FP","TN"))</x:f>
        <x:v>TN</x:v>
      </x:c>
    </x:row>
    <x:row r="34">
      <x:c r="A34" t="str">
        <x:f>MiniCase_Data!A34</x:f>
        <x:v>R00033</x:v>
      </x:c>
      <x:c r="B34" t="n">
        <x:f>IF(MiniCase_Data!O34="불합격",1,0)</x:f>
        <x:v>0</x:v>
      </x:c>
      <x:c r="C34" t="str">
        <x:f>IF(ISBLANK(MiniCase_Data!H34),"missing",IF(OR(MiniCase_Data!H34&lt;27,MiniCase_Data!H34&gt;33),"밖","안"))</x:f>
        <x:v>안</x:v>
      </x:c>
      <x:c r="D34" t="n">
        <x:f>IF(ISBLANK(MiniCase_Data!H34),VLOOKUP(A34,센서로그!$A$2:$C$13,3,FALSE),MiniCase_Data!H34)</x:f>
        <x:v>28.31</x:v>
      </x:c>
      <x:c r="E34" t="n">
        <x:f>IF(AND(MiniCase_Data!C34="야간",MiniCase_Data!F34="M03"),1,0)</x:f>
        <x:v>0</x:v>
      </x:c>
      <x:c r="F34" t="n">
        <x:f>IF(C34="밖",1,0)</x:f>
        <x:v>0</x:v>
      </x:c>
      <x:c r="G34" t="n">
        <x:f>IF(OR(F34=1,E34=1),1,0)</x:f>
        <x:v>0</x:v>
      </x:c>
      <x:c r="H34" t="str">
        <x:f>IF(B34=1,IF(F34=1,"TP","FN"),IF(F34=1,"FP","TN"))</x:f>
        <x:v>TN</x:v>
      </x:c>
      <x:c r="I34" t="str">
        <x:f>IF(B34=1,IF(G34=1,"TP","FN"),IF(G34=1,"FP","TN"))</x:f>
        <x:v>TN</x:v>
      </x:c>
    </x:row>
    <x:row r="35">
      <x:c r="A35" t="str">
        <x:f>MiniCase_Data!A35</x:f>
        <x:v>R00034</x:v>
      </x:c>
      <x:c r="B35" t="n">
        <x:f>IF(MiniCase_Data!O35="불합격",1,0)</x:f>
        <x:v>0</x:v>
      </x:c>
      <x:c r="C35" t="str">
        <x:f>IF(ISBLANK(MiniCase_Data!H35),"missing",IF(OR(MiniCase_Data!H35&lt;27,MiniCase_Data!H35&gt;33),"밖","안"))</x:f>
        <x:v>안</x:v>
      </x:c>
      <x:c r="D35" t="n">
        <x:f>IF(ISBLANK(MiniCase_Data!H35),VLOOKUP(A35,센서로그!$A$2:$C$13,3,FALSE),MiniCase_Data!H35)</x:f>
        <x:v>30.56</x:v>
      </x:c>
      <x:c r="E35" t="n">
        <x:f>IF(AND(MiniCase_Data!C35="야간",MiniCase_Data!F35="M03"),1,0)</x:f>
        <x:v>0</x:v>
      </x:c>
      <x:c r="F35" t="n">
        <x:f>IF(C35="밖",1,0)</x:f>
        <x:v>0</x:v>
      </x:c>
      <x:c r="G35" t="n">
        <x:f>IF(OR(F35=1,E35=1),1,0)</x:f>
        <x:v>0</x:v>
      </x:c>
      <x:c r="H35" t="str">
        <x:f>IF(B35=1,IF(F35=1,"TP","FN"),IF(F35=1,"FP","TN"))</x:f>
        <x:v>TN</x:v>
      </x:c>
      <x:c r="I35" t="str">
        <x:f>IF(B35=1,IF(G35=1,"TP","FN"),IF(G35=1,"FP","TN"))</x:f>
        <x:v>TN</x:v>
      </x:c>
    </x:row>
    <x:row r="36">
      <x:c r="A36" t="str">
        <x:f>MiniCase_Data!A36</x:f>
        <x:v>R00035</x:v>
      </x:c>
      <x:c r="B36" t="n">
        <x:f>IF(MiniCase_Data!O36="불합격",1,0)</x:f>
        <x:v>0</x:v>
      </x:c>
      <x:c r="C36" t="str">
        <x:f>IF(ISBLANK(MiniCase_Data!H36),"missing",IF(OR(MiniCase_Data!H36&lt;27,MiniCase_Data!H36&gt;33),"밖","안"))</x:f>
        <x:v>안</x:v>
      </x:c>
      <x:c r="D36" t="n">
        <x:f>IF(ISBLANK(MiniCase_Data!H36),VLOOKUP(A36,센서로그!$A$2:$C$13,3,FALSE),MiniCase_Data!H36)</x:f>
        <x:v>30.28</x:v>
      </x:c>
      <x:c r="E36" t="n">
        <x:f>IF(AND(MiniCase_Data!C36="야간",MiniCase_Data!F36="M03"),1,0)</x:f>
        <x:v>0</x:v>
      </x:c>
      <x:c r="F36" t="n">
        <x:f>IF(C36="밖",1,0)</x:f>
        <x:v>0</x:v>
      </x:c>
      <x:c r="G36" t="n">
        <x:f>IF(OR(F36=1,E36=1),1,0)</x:f>
        <x:v>0</x:v>
      </x:c>
      <x:c r="H36" t="str">
        <x:f>IF(B36=1,IF(F36=1,"TP","FN"),IF(F36=1,"FP","TN"))</x:f>
        <x:v>TN</x:v>
      </x:c>
      <x:c r="I36" t="str">
        <x:f>IF(B36=1,IF(G36=1,"TP","FN"),IF(G36=1,"FP","TN"))</x:f>
        <x:v>TN</x:v>
      </x:c>
    </x:row>
    <x:row r="37">
      <x:c r="A37" t="str">
        <x:f>MiniCase_Data!A37</x:f>
        <x:v>R00036</x:v>
      </x:c>
      <x:c r="B37" t="n">
        <x:f>IF(MiniCase_Data!O37="불합격",1,0)</x:f>
        <x:v>0</x:v>
      </x:c>
      <x:c r="C37" t="str">
        <x:f>IF(ISBLANK(MiniCase_Data!H37),"missing",IF(OR(MiniCase_Data!H37&lt;27,MiniCase_Data!H37&gt;33),"밖","안"))</x:f>
        <x:v>안</x:v>
      </x:c>
      <x:c r="D37" t="n">
        <x:f>IF(ISBLANK(MiniCase_Data!H37),VLOOKUP(A37,센서로그!$A$2:$C$13,3,FALSE),MiniCase_Data!H37)</x:f>
        <x:v>30.71</x:v>
      </x:c>
      <x:c r="E37" t="n">
        <x:f>IF(AND(MiniCase_Data!C37="야간",MiniCase_Data!F37="M03"),1,0)</x:f>
        <x:v>0</x:v>
      </x:c>
      <x:c r="F37" t="n">
        <x:f>IF(C37="밖",1,0)</x:f>
        <x:v>0</x:v>
      </x:c>
      <x:c r="G37" t="n">
        <x:f>IF(OR(F37=1,E37=1),1,0)</x:f>
        <x:v>0</x:v>
      </x:c>
      <x:c r="H37" t="str">
        <x:f>IF(B37=1,IF(F37=1,"TP","FN"),IF(F37=1,"FP","TN"))</x:f>
        <x:v>TN</x:v>
      </x:c>
      <x:c r="I37" t="str">
        <x:f>IF(B37=1,IF(G37=1,"TP","FN"),IF(G37=1,"FP","TN"))</x:f>
        <x:v>TN</x:v>
      </x:c>
    </x:row>
    <x:row r="38">
      <x:c r="A38" t="str">
        <x:f>MiniCase_Data!A38</x:f>
        <x:v>R00037</x:v>
      </x:c>
      <x:c r="B38" t="n">
        <x:f>IF(MiniCase_Data!O38="불합격",1,0)</x:f>
        <x:v>0</x:v>
      </x:c>
      <x:c r="C38" t="str">
        <x:f>IF(ISBLANK(MiniCase_Data!H38),"missing",IF(OR(MiniCase_Data!H38&lt;27,MiniCase_Data!H38&gt;33),"밖","안"))</x:f>
        <x:v>안</x:v>
      </x:c>
      <x:c r="D38" t="n">
        <x:f>IF(ISBLANK(MiniCase_Data!H38),VLOOKUP(A38,센서로그!$A$2:$C$13,3,FALSE),MiniCase_Data!H38)</x:f>
        <x:v>32.33</x:v>
      </x:c>
      <x:c r="E38" t="n">
        <x:f>IF(AND(MiniCase_Data!C38="야간",MiniCase_Data!F38="M03"),1,0)</x:f>
        <x:v>0</x:v>
      </x:c>
      <x:c r="F38" t="n">
        <x:f>IF(C38="밖",1,0)</x:f>
        <x:v>0</x:v>
      </x:c>
      <x:c r="G38" t="n">
        <x:f>IF(OR(F38=1,E38=1),1,0)</x:f>
        <x:v>0</x:v>
      </x:c>
      <x:c r="H38" t="str">
        <x:f>IF(B38=1,IF(F38=1,"TP","FN"),IF(F38=1,"FP","TN"))</x:f>
        <x:v>TN</x:v>
      </x:c>
      <x:c r="I38" t="str">
        <x:f>IF(B38=1,IF(G38=1,"TP","FN"),IF(G38=1,"FP","TN"))</x:f>
        <x:v>TN</x:v>
      </x:c>
    </x:row>
    <x:row r="39">
      <x:c r="A39" t="str">
        <x:f>MiniCase_Data!A39</x:f>
        <x:v>R00038</x:v>
      </x:c>
      <x:c r="B39" t="n">
        <x:f>IF(MiniCase_Data!O39="불합격",1,0)</x:f>
        <x:v>0</x:v>
      </x:c>
      <x:c r="C39" t="str">
        <x:f>IF(ISBLANK(MiniCase_Data!H39),"missing",IF(OR(MiniCase_Data!H39&lt;27,MiniCase_Data!H39&gt;33),"밖","안"))</x:f>
        <x:v>안</x:v>
      </x:c>
      <x:c r="D39" t="n">
        <x:f>IF(ISBLANK(MiniCase_Data!H39),VLOOKUP(A39,센서로그!$A$2:$C$13,3,FALSE),MiniCase_Data!H39)</x:f>
        <x:v>28.12</x:v>
      </x:c>
      <x:c r="E39" t="n">
        <x:f>IF(AND(MiniCase_Data!C39="야간",MiniCase_Data!F39="M03"),1,0)</x:f>
        <x:v>0</x:v>
      </x:c>
      <x:c r="F39" t="n">
        <x:f>IF(C39="밖",1,0)</x:f>
        <x:v>0</x:v>
      </x:c>
      <x:c r="G39" t="n">
        <x:f>IF(OR(F39=1,E39=1),1,0)</x:f>
        <x:v>0</x:v>
      </x:c>
      <x:c r="H39" t="str">
        <x:f>IF(B39=1,IF(F39=1,"TP","FN"),IF(F39=1,"FP","TN"))</x:f>
        <x:v>TN</x:v>
      </x:c>
      <x:c r="I39" t="str">
        <x:f>IF(B39=1,IF(G39=1,"TP","FN"),IF(G39=1,"FP","TN"))</x:f>
        <x:v>TN</x:v>
      </x:c>
    </x:row>
    <x:row r="40">
      <x:c r="A40" t="str">
        <x:f>MiniCase_Data!A40</x:f>
        <x:v>R00039</x:v>
      </x:c>
      <x:c r="B40" t="n">
        <x:f>IF(MiniCase_Data!O40="불합격",1,0)</x:f>
        <x:v>0</x:v>
      </x:c>
      <x:c r="C40" t="str">
        <x:f>IF(ISBLANK(MiniCase_Data!H40),"missing",IF(OR(MiniCase_Data!H40&lt;27,MiniCase_Data!H40&gt;33),"밖","안"))</x:f>
        <x:v>안</x:v>
      </x:c>
      <x:c r="D40" t="n">
        <x:f>IF(ISBLANK(MiniCase_Data!H40),VLOOKUP(A40,센서로그!$A$2:$C$13,3,FALSE),MiniCase_Data!H40)</x:f>
        <x:v>30.54</x:v>
      </x:c>
      <x:c r="E40" t="n">
        <x:f>IF(AND(MiniCase_Data!C40="야간",MiniCase_Data!F40="M03"),1,0)</x:f>
        <x:v>0</x:v>
      </x:c>
      <x:c r="F40" t="n">
        <x:f>IF(C40="밖",1,0)</x:f>
        <x:v>0</x:v>
      </x:c>
      <x:c r="G40" t="n">
        <x:f>IF(OR(F40=1,E40=1),1,0)</x:f>
        <x:v>0</x:v>
      </x:c>
      <x:c r="H40" t="str">
        <x:f>IF(B40=1,IF(F40=1,"TP","FN"),IF(F40=1,"FP","TN"))</x:f>
        <x:v>TN</x:v>
      </x:c>
      <x:c r="I40" t="str">
        <x:f>IF(B40=1,IF(G40=1,"TP","FN"),IF(G40=1,"FP","TN"))</x:f>
        <x:v>TN</x:v>
      </x:c>
    </x:row>
    <x:row r="41">
      <x:c r="A41" t="str">
        <x:f>MiniCase_Data!A41</x:f>
        <x:v>R00040</x:v>
      </x:c>
      <x:c r="B41" t="n">
        <x:f>IF(MiniCase_Data!O41="불합격",1,0)</x:f>
        <x:v>0</x:v>
      </x:c>
      <x:c r="C41" t="str">
        <x:f>IF(ISBLANK(MiniCase_Data!H41),"missing",IF(OR(MiniCase_Data!H41&lt;27,MiniCase_Data!H41&gt;33),"밖","안"))</x:f>
        <x:v>밖</x:v>
      </x:c>
      <x:c r="D41" t="n">
        <x:f>IF(ISBLANK(MiniCase_Data!H41),VLOOKUP(A41,센서로그!$A$2:$C$13,3,FALSE),MiniCase_Data!H41)</x:f>
        <x:v>26.44</x:v>
      </x:c>
      <x:c r="E41" t="n">
        <x:f>IF(AND(MiniCase_Data!C41="야간",MiniCase_Data!F41="M03"),1,0)</x:f>
        <x:v>1</x:v>
      </x:c>
      <x:c r="F41" t="n">
        <x:f>IF(C41="밖",1,0)</x:f>
        <x:v>1</x:v>
      </x:c>
      <x:c r="G41" t="n">
        <x:f>IF(OR(F41=1,E41=1),1,0)</x:f>
        <x:v>1</x:v>
      </x:c>
      <x:c r="H41" t="str">
        <x:f>IF(B41=1,IF(F41=1,"TP","FN"),IF(F41=1,"FP","TN"))</x:f>
        <x:v>FP</x:v>
      </x:c>
      <x:c r="I41" t="str">
        <x:f>IF(B41=1,IF(G41=1,"TP","FN"),IF(G41=1,"FP","TN"))</x:f>
        <x:v>FP</x:v>
      </x:c>
    </x:row>
    <x:row r="42">
      <x:c r="A42" t="str">
        <x:f>MiniCase_Data!A42</x:f>
        <x:v>R00041</x:v>
      </x:c>
      <x:c r="B42" t="n">
        <x:f>IF(MiniCase_Data!O42="불합격",1,0)</x:f>
        <x:v>0</x:v>
      </x:c>
      <x:c r="C42" t="str">
        <x:f>IF(ISBLANK(MiniCase_Data!H42),"missing",IF(OR(MiniCase_Data!H42&lt;27,MiniCase_Data!H42&gt;33),"밖","안"))</x:f>
        <x:v>안</x:v>
      </x:c>
      <x:c r="D42" t="n">
        <x:f>IF(ISBLANK(MiniCase_Data!H42),VLOOKUP(A42,센서로그!$A$2:$C$13,3,FALSE),MiniCase_Data!H42)</x:f>
        <x:v>27.47</x:v>
      </x:c>
      <x:c r="E42" t="n">
        <x:f>IF(AND(MiniCase_Data!C42="야간",MiniCase_Data!F42="M03"),1,0)</x:f>
        <x:v>0</x:v>
      </x:c>
      <x:c r="F42" t="n">
        <x:f>IF(C42="밖",1,0)</x:f>
        <x:v>0</x:v>
      </x:c>
      <x:c r="G42" t="n">
        <x:f>IF(OR(F42=1,E42=1),1,0)</x:f>
        <x:v>0</x:v>
      </x:c>
      <x:c r="H42" t="str">
        <x:f>IF(B42=1,IF(F42=1,"TP","FN"),IF(F42=1,"FP","TN"))</x:f>
        <x:v>TN</x:v>
      </x:c>
      <x:c r="I42" t="str">
        <x:f>IF(B42=1,IF(G42=1,"TP","FN"),IF(G42=1,"FP","TN"))</x:f>
        <x:v>TN</x:v>
      </x:c>
    </x:row>
    <x:row r="43">
      <x:c r="A43" t="str">
        <x:f>MiniCase_Data!A43</x:f>
        <x:v>R00042</x:v>
      </x:c>
      <x:c r="B43" t="n">
        <x:f>IF(MiniCase_Data!O43="불합격",1,0)</x:f>
        <x:v>0</x:v>
      </x:c>
      <x:c r="C43" t="str">
        <x:f>IF(ISBLANK(MiniCase_Data!H43),"missing",IF(OR(MiniCase_Data!H43&lt;27,MiniCase_Data!H43&gt;33),"밖","안"))</x:f>
        <x:v>안</x:v>
      </x:c>
      <x:c r="D43" t="n">
        <x:f>IF(ISBLANK(MiniCase_Data!H43),VLOOKUP(A43,센서로그!$A$2:$C$13,3,FALSE),MiniCase_Data!H43)</x:f>
        <x:v>28.31</x:v>
      </x:c>
      <x:c r="E43" t="n">
        <x:f>IF(AND(MiniCase_Data!C43="야간",MiniCase_Data!F43="M03"),1,0)</x:f>
        <x:v>0</x:v>
      </x:c>
      <x:c r="F43" t="n">
        <x:f>IF(C43="밖",1,0)</x:f>
        <x:v>0</x:v>
      </x:c>
      <x:c r="G43" t="n">
        <x:f>IF(OR(F43=1,E43=1),1,0)</x:f>
        <x:v>0</x:v>
      </x:c>
      <x:c r="H43" t="str">
        <x:f>IF(B43=1,IF(F43=1,"TP","FN"),IF(F43=1,"FP","TN"))</x:f>
        <x:v>TN</x:v>
      </x:c>
      <x:c r="I43" t="str">
        <x:f>IF(B43=1,IF(G43=1,"TP","FN"),IF(G43=1,"FP","TN"))</x:f>
        <x:v>TN</x:v>
      </x:c>
    </x:row>
    <x:row r="44">
      <x:c r="A44" t="str">
        <x:f>MiniCase_Data!A44</x:f>
        <x:v>R00043</x:v>
      </x:c>
      <x:c r="B44" t="n">
        <x:f>IF(MiniCase_Data!O44="불합격",1,0)</x:f>
        <x:v>0</x:v>
      </x:c>
      <x:c r="C44" t="str">
        <x:f>IF(ISBLANK(MiniCase_Data!H44),"missing",IF(OR(MiniCase_Data!H44&lt;27,MiniCase_Data!H44&gt;33),"밖","안"))</x:f>
        <x:v>안</x:v>
      </x:c>
      <x:c r="D44" t="n">
        <x:f>IF(ISBLANK(MiniCase_Data!H44),VLOOKUP(A44,센서로그!$A$2:$C$13,3,FALSE),MiniCase_Data!H44)</x:f>
        <x:v>32.21</x:v>
      </x:c>
      <x:c r="E44" t="n">
        <x:f>IF(AND(MiniCase_Data!C44="야간",MiniCase_Data!F44="M03"),1,0)</x:f>
        <x:v>0</x:v>
      </x:c>
      <x:c r="F44" t="n">
        <x:f>IF(C44="밖",1,0)</x:f>
        <x:v>0</x:v>
      </x:c>
      <x:c r="G44" t="n">
        <x:f>IF(OR(F44=1,E44=1),1,0)</x:f>
        <x:v>0</x:v>
      </x:c>
      <x:c r="H44" t="str">
        <x:f>IF(B44=1,IF(F44=1,"TP","FN"),IF(F44=1,"FP","TN"))</x:f>
        <x:v>TN</x:v>
      </x:c>
      <x:c r="I44" t="str">
        <x:f>IF(B44=1,IF(G44=1,"TP","FN"),IF(G44=1,"FP","TN"))</x:f>
        <x:v>TN</x:v>
      </x:c>
    </x:row>
    <x:row r="45">
      <x:c r="A45" t="str">
        <x:f>MiniCase_Data!A45</x:f>
        <x:v>R00044</x:v>
      </x:c>
      <x:c r="B45" t="n">
        <x:f>IF(MiniCase_Data!O45="불합격",1,0)</x:f>
        <x:v>0</x:v>
      </x:c>
      <x:c r="C45" t="str">
        <x:f>IF(ISBLANK(MiniCase_Data!H45),"missing",IF(OR(MiniCase_Data!H45&lt;27,MiniCase_Data!H45&gt;33),"밖","안"))</x:f>
        <x:v>안</x:v>
      </x:c>
      <x:c r="D45" t="n">
        <x:f>IF(ISBLANK(MiniCase_Data!H45),VLOOKUP(A45,센서로그!$A$2:$C$13,3,FALSE),MiniCase_Data!H45)</x:f>
        <x:v>29.41</x:v>
      </x:c>
      <x:c r="E45" t="n">
        <x:f>IF(AND(MiniCase_Data!C45="야간",MiniCase_Data!F45="M03"),1,0)</x:f>
        <x:v>0</x:v>
      </x:c>
      <x:c r="F45" t="n">
        <x:f>IF(C45="밖",1,0)</x:f>
        <x:v>0</x:v>
      </x:c>
      <x:c r="G45" t="n">
        <x:f>IF(OR(F45=1,E45=1),1,0)</x:f>
        <x:v>0</x:v>
      </x:c>
      <x:c r="H45" t="str">
        <x:f>IF(B45=1,IF(F45=1,"TP","FN"),IF(F45=1,"FP","TN"))</x:f>
        <x:v>TN</x:v>
      </x:c>
      <x:c r="I45" t="str">
        <x:f>IF(B45=1,IF(G45=1,"TP","FN"),IF(G45=1,"FP","TN"))</x:f>
        <x:v>TN</x:v>
      </x:c>
    </x:row>
    <x:row r="46">
      <x:c r="A46" t="str">
        <x:f>MiniCase_Data!A46</x:f>
        <x:v>R00045</x:v>
      </x:c>
      <x:c r="B46" t="n">
        <x:f>IF(MiniCase_Data!O46="불합격",1,0)</x:f>
        <x:v>0</x:v>
      </x:c>
      <x:c r="C46" t="str">
        <x:f>IF(ISBLANK(MiniCase_Data!H46),"missing",IF(OR(MiniCase_Data!H46&lt;27,MiniCase_Data!H46&gt;33),"밖","안"))</x:f>
        <x:v>안</x:v>
      </x:c>
      <x:c r="D46" t="n">
        <x:f>IF(ISBLANK(MiniCase_Data!H46),VLOOKUP(A46,센서로그!$A$2:$C$13,3,FALSE),MiniCase_Data!H46)</x:f>
        <x:v>32.08</x:v>
      </x:c>
      <x:c r="E46" t="n">
        <x:f>IF(AND(MiniCase_Data!C46="야간",MiniCase_Data!F46="M03"),1,0)</x:f>
        <x:v>0</x:v>
      </x:c>
      <x:c r="F46" t="n">
        <x:f>IF(C46="밖",1,0)</x:f>
        <x:v>0</x:v>
      </x:c>
      <x:c r="G46" t="n">
        <x:f>IF(OR(F46=1,E46=1),1,0)</x:f>
        <x:v>0</x:v>
      </x:c>
      <x:c r="H46" t="str">
        <x:f>IF(B46=1,IF(F46=1,"TP","FN"),IF(F46=1,"FP","TN"))</x:f>
        <x:v>TN</x:v>
      </x:c>
      <x:c r="I46" t="str">
        <x:f>IF(B46=1,IF(G46=1,"TP","FN"),IF(G46=1,"FP","TN"))</x:f>
        <x:v>TN</x:v>
      </x:c>
    </x:row>
    <x:row r="47">
      <x:c r="A47" t="str">
        <x:f>MiniCase_Data!A47</x:f>
        <x:v>R00046</x:v>
      </x:c>
      <x:c r="B47" t="n">
        <x:f>IF(MiniCase_Data!O47="불합격",1,0)</x:f>
        <x:v>0</x:v>
      </x:c>
      <x:c r="C47" t="str">
        <x:f>IF(ISBLANK(MiniCase_Data!H47),"missing",IF(OR(MiniCase_Data!H47&lt;27,MiniCase_Data!H47&gt;33),"밖","안"))</x:f>
        <x:v>안</x:v>
      </x:c>
      <x:c r="D47" t="n">
        <x:f>IF(ISBLANK(MiniCase_Data!H47),VLOOKUP(A47,센서로그!$A$2:$C$13,3,FALSE),MiniCase_Data!H47)</x:f>
        <x:v>27.61</x:v>
      </x:c>
      <x:c r="E47" t="n">
        <x:f>IF(AND(MiniCase_Data!C47="야간",MiniCase_Data!F47="M03"),1,0)</x:f>
        <x:v>1</x:v>
      </x:c>
      <x:c r="F47" t="n">
        <x:f>IF(C47="밖",1,0)</x:f>
        <x:v>0</x:v>
      </x:c>
      <x:c r="G47" t="n">
        <x:f>IF(OR(F47=1,E47=1),1,0)</x:f>
        <x:v>1</x:v>
      </x:c>
      <x:c r="H47" t="str">
        <x:f>IF(B47=1,IF(F47=1,"TP","FN"),IF(F47=1,"FP","TN"))</x:f>
        <x:v>TN</x:v>
      </x:c>
      <x:c r="I47" t="str">
        <x:f>IF(B47=1,IF(G47=1,"TP","FN"),IF(G47=1,"FP","TN"))</x:f>
        <x:v>FP</x:v>
      </x:c>
    </x:row>
    <x:row r="48">
      <x:c r="A48" t="str">
        <x:f>MiniCase_Data!A48</x:f>
        <x:v>R00047</x:v>
      </x:c>
      <x:c r="B48" t="n">
        <x:f>IF(MiniCase_Data!O48="불합격",1,0)</x:f>
        <x:v>0</x:v>
      </x:c>
      <x:c r="C48" t="str">
        <x:f>IF(ISBLANK(MiniCase_Data!H48),"missing",IF(OR(MiniCase_Data!H48&lt;27,MiniCase_Data!H48&gt;33),"밖","안"))</x:f>
        <x:v>안</x:v>
      </x:c>
      <x:c r="D48" t="n">
        <x:f>IF(ISBLANK(MiniCase_Data!H48),VLOOKUP(A48,센서로그!$A$2:$C$13,3,FALSE),MiniCase_Data!H48)</x:f>
        <x:v>31.12</x:v>
      </x:c>
      <x:c r="E48" t="n">
        <x:f>IF(AND(MiniCase_Data!C48="야간",MiniCase_Data!F48="M03"),1,0)</x:f>
        <x:v>0</x:v>
      </x:c>
      <x:c r="F48" t="n">
        <x:f>IF(C48="밖",1,0)</x:f>
        <x:v>0</x:v>
      </x:c>
      <x:c r="G48" t="n">
        <x:f>IF(OR(F48=1,E48=1),1,0)</x:f>
        <x:v>0</x:v>
      </x:c>
      <x:c r="H48" t="str">
        <x:f>IF(B48=1,IF(F48=1,"TP","FN"),IF(F48=1,"FP","TN"))</x:f>
        <x:v>TN</x:v>
      </x:c>
      <x:c r="I48" t="str">
        <x:f>IF(B48=1,IF(G48=1,"TP","FN"),IF(G48=1,"FP","TN"))</x:f>
        <x:v>TN</x:v>
      </x:c>
    </x:row>
    <x:row r="49">
      <x:c r="A49" t="str">
        <x:f>MiniCase_Data!A49</x:f>
        <x:v>R00048</x:v>
      </x:c>
      <x:c r="B49" t="n">
        <x:f>IF(MiniCase_Data!O49="불합격",1,0)</x:f>
        <x:v>0</x:v>
      </x:c>
      <x:c r="C49" t="str">
        <x:f>IF(ISBLANK(MiniCase_Data!H49),"missing",IF(OR(MiniCase_Data!H49&lt;27,MiniCase_Data!H49&gt;33),"밖","안"))</x:f>
        <x:v>안</x:v>
      </x:c>
      <x:c r="D49" t="n">
        <x:f>IF(ISBLANK(MiniCase_Data!H49),VLOOKUP(A49,센서로그!$A$2:$C$13,3,FALSE),MiniCase_Data!H49)</x:f>
        <x:v>28.75</x:v>
      </x:c>
      <x:c r="E49" t="n">
        <x:f>IF(AND(MiniCase_Data!C49="야간",MiniCase_Data!F49="M03"),1,0)</x:f>
        <x:v>0</x:v>
      </x:c>
      <x:c r="F49" t="n">
        <x:f>IF(C49="밖",1,0)</x:f>
        <x:v>0</x:v>
      </x:c>
      <x:c r="G49" t="n">
        <x:f>IF(OR(F49=1,E49=1),1,0)</x:f>
        <x:v>0</x:v>
      </x:c>
      <x:c r="H49" t="str">
        <x:f>IF(B49=1,IF(F49=1,"TP","FN"),IF(F49=1,"FP","TN"))</x:f>
        <x:v>TN</x:v>
      </x:c>
      <x:c r="I49" t="str">
        <x:f>IF(B49=1,IF(G49=1,"TP","FN"),IF(G49=1,"FP","TN"))</x:f>
        <x:v>TN</x:v>
      </x:c>
    </x:row>
    <x:row r="50">
      <x:c r="A50" t="str">
        <x:f>MiniCase_Data!A50</x:f>
        <x:v>R00049</x:v>
      </x:c>
      <x:c r="B50" t="n">
        <x:f>IF(MiniCase_Data!O50="불합격",1,0)</x:f>
        <x:v>0</x:v>
      </x:c>
      <x:c r="C50" t="str">
        <x:f>IF(ISBLANK(MiniCase_Data!H50),"missing",IF(OR(MiniCase_Data!H50&lt;27,MiniCase_Data!H50&gt;33),"밖","안"))</x:f>
        <x:v>안</x:v>
      </x:c>
      <x:c r="D50" t="n">
        <x:f>IF(ISBLANK(MiniCase_Data!H50),VLOOKUP(A50,센서로그!$A$2:$C$13,3,FALSE),MiniCase_Data!H50)</x:f>
        <x:v>31.29</x:v>
      </x:c>
      <x:c r="E50" t="n">
        <x:f>IF(AND(MiniCase_Data!C50="야간",MiniCase_Data!F50="M03"),1,0)</x:f>
        <x:v>0</x:v>
      </x:c>
      <x:c r="F50" t="n">
        <x:f>IF(C50="밖",1,0)</x:f>
        <x:v>0</x:v>
      </x:c>
      <x:c r="G50" t="n">
        <x:f>IF(OR(F50=1,E50=1),1,0)</x:f>
        <x:v>0</x:v>
      </x:c>
      <x:c r="H50" t="str">
        <x:f>IF(B50=1,IF(F50=1,"TP","FN"),IF(F50=1,"FP","TN"))</x:f>
        <x:v>TN</x:v>
      </x:c>
      <x:c r="I50" t="str">
        <x:f>IF(B50=1,IF(G50=1,"TP","FN"),IF(G50=1,"FP","TN"))</x:f>
        <x:v>TN</x:v>
      </x:c>
    </x:row>
    <x:row r="51">
      <x:c r="A51" t="str">
        <x:f>MiniCase_Data!A51</x:f>
        <x:v>R00050</x:v>
      </x:c>
      <x:c r="B51" t="n">
        <x:f>IF(MiniCase_Data!O51="불합격",1,0)</x:f>
        <x:v>0</x:v>
      </x:c>
      <x:c r="C51" t="str">
        <x:f>IF(ISBLANK(MiniCase_Data!H51),"missing",IF(OR(MiniCase_Data!H51&lt;27,MiniCase_Data!H51&gt;33),"밖","안"))</x:f>
        <x:v>안</x:v>
      </x:c>
      <x:c r="D51" t="n">
        <x:f>IF(ISBLANK(MiniCase_Data!H51),VLOOKUP(A51,센서로그!$A$2:$C$13,3,FALSE),MiniCase_Data!H51)</x:f>
        <x:v>27.44</x:v>
      </x:c>
      <x:c r="E51" t="n">
        <x:f>IF(AND(MiniCase_Data!C51="야간",MiniCase_Data!F51="M03"),1,0)</x:f>
        <x:v>0</x:v>
      </x:c>
      <x:c r="F51" t="n">
        <x:f>IF(C51="밖",1,0)</x:f>
        <x:v>0</x:v>
      </x:c>
      <x:c r="G51" t="n">
        <x:f>IF(OR(F51=1,E51=1),1,0)</x:f>
        <x:v>0</x:v>
      </x:c>
      <x:c r="H51" t="str">
        <x:f>IF(B51=1,IF(F51=1,"TP","FN"),IF(F51=1,"FP","TN"))</x:f>
        <x:v>TN</x:v>
      </x:c>
      <x:c r="I51" t="str">
        <x:f>IF(B51=1,IF(G51=1,"TP","FN"),IF(G51=1,"FP","TN"))</x:f>
        <x:v>TN</x:v>
      </x:c>
    </x:row>
    <x:row r="52">
      <x:c r="A52" t="str">
        <x:f>MiniCase_Data!A52</x:f>
        <x:v>R00051</x:v>
      </x:c>
      <x:c r="B52" t="n">
        <x:f>IF(MiniCase_Data!O52="불합격",1,0)</x:f>
        <x:v>0</x:v>
      </x:c>
      <x:c r="C52" t="str">
        <x:f>IF(ISBLANK(MiniCase_Data!H52),"missing",IF(OR(MiniCase_Data!H52&lt;27,MiniCase_Data!H52&gt;33),"밖","안"))</x:f>
        <x:v>안</x:v>
      </x:c>
      <x:c r="D52" t="n">
        <x:f>IF(ISBLANK(MiniCase_Data!H52),VLOOKUP(A52,센서로그!$A$2:$C$13,3,FALSE),MiniCase_Data!H52)</x:f>
        <x:v>29.3</x:v>
      </x:c>
      <x:c r="E52" t="n">
        <x:f>IF(AND(MiniCase_Data!C52="야간",MiniCase_Data!F52="M03"),1,0)</x:f>
        <x:v>0</x:v>
      </x:c>
      <x:c r="F52" t="n">
        <x:f>IF(C52="밖",1,0)</x:f>
        <x:v>0</x:v>
      </x:c>
      <x:c r="G52" t="n">
        <x:f>IF(OR(F52=1,E52=1),1,0)</x:f>
        <x:v>0</x:v>
      </x:c>
      <x:c r="H52" t="str">
        <x:f>IF(B52=1,IF(F52=1,"TP","FN"),IF(F52=1,"FP","TN"))</x:f>
        <x:v>TN</x:v>
      </x:c>
      <x:c r="I52" t="str">
        <x:f>IF(B52=1,IF(G52=1,"TP","FN"),IF(G52=1,"FP","TN"))</x:f>
        <x:v>TN</x:v>
      </x:c>
    </x:row>
    <x:row r="53">
      <x:c r="A53" t="str">
        <x:f>MiniCase_Data!A53</x:f>
        <x:v>R00052</x:v>
      </x:c>
      <x:c r="B53" t="n">
        <x:f>IF(MiniCase_Data!O53="불합격",1,0)</x:f>
        <x:v>0</x:v>
      </x:c>
      <x:c r="C53" t="str">
        <x:f>IF(ISBLANK(MiniCase_Data!H53),"missing",IF(OR(MiniCase_Data!H53&lt;27,MiniCase_Data!H53&gt;33),"밖","안"))</x:f>
        <x:v>안</x:v>
      </x:c>
      <x:c r="D53" t="n">
        <x:f>IF(ISBLANK(MiniCase_Data!H53),VLOOKUP(A53,센서로그!$A$2:$C$13,3,FALSE),MiniCase_Data!H53)</x:f>
        <x:v>31.38</x:v>
      </x:c>
      <x:c r="E53" t="n">
        <x:f>IF(AND(MiniCase_Data!C53="야간",MiniCase_Data!F53="M03"),1,0)</x:f>
        <x:v>0</x:v>
      </x:c>
      <x:c r="F53" t="n">
        <x:f>IF(C53="밖",1,0)</x:f>
        <x:v>0</x:v>
      </x:c>
      <x:c r="G53" t="n">
        <x:f>IF(OR(F53=1,E53=1),1,0)</x:f>
        <x:v>0</x:v>
      </x:c>
      <x:c r="H53" t="str">
        <x:f>IF(B53=1,IF(F53=1,"TP","FN"),IF(F53=1,"FP","TN"))</x:f>
        <x:v>TN</x:v>
      </x:c>
      <x:c r="I53" t="str">
        <x:f>IF(B53=1,IF(G53=1,"TP","FN"),IF(G53=1,"FP","TN"))</x:f>
        <x:v>TN</x:v>
      </x:c>
    </x:row>
    <x:row r="54">
      <x:c r="A54" t="str">
        <x:f>MiniCase_Data!A54</x:f>
        <x:v>R00053</x:v>
      </x:c>
      <x:c r="B54" t="n">
        <x:f>IF(MiniCase_Data!O54="불합격",1,0)</x:f>
        <x:v>0</x:v>
      </x:c>
      <x:c r="C54" t="str">
        <x:f>IF(ISBLANK(MiniCase_Data!H54),"missing",IF(OR(MiniCase_Data!H54&lt;27,MiniCase_Data!H54&gt;33),"밖","안"))</x:f>
        <x:v>안</x:v>
      </x:c>
      <x:c r="D54" t="n">
        <x:f>IF(ISBLANK(MiniCase_Data!H54),VLOOKUP(A54,센서로그!$A$2:$C$13,3,FALSE),MiniCase_Data!H54)</x:f>
        <x:v>28.01</x:v>
      </x:c>
      <x:c r="E54" t="n">
        <x:f>IF(AND(MiniCase_Data!C54="야간",MiniCase_Data!F54="M03"),1,0)</x:f>
        <x:v>0</x:v>
      </x:c>
      <x:c r="F54" t="n">
        <x:f>IF(C54="밖",1,0)</x:f>
        <x:v>0</x:v>
      </x:c>
      <x:c r="G54" t="n">
        <x:f>IF(OR(F54=1,E54=1),1,0)</x:f>
        <x:v>0</x:v>
      </x:c>
      <x:c r="H54" t="str">
        <x:f>IF(B54=1,IF(F54=1,"TP","FN"),IF(F54=1,"FP","TN"))</x:f>
        <x:v>TN</x:v>
      </x:c>
      <x:c r="I54" t="str">
        <x:f>IF(B54=1,IF(G54=1,"TP","FN"),IF(G54=1,"FP","TN"))</x:f>
        <x:v>TN</x:v>
      </x:c>
    </x:row>
    <x:row r="55">
      <x:c r="A55" t="str">
        <x:f>MiniCase_Data!A55</x:f>
        <x:v>R00054</x:v>
      </x:c>
      <x:c r="B55" t="n">
        <x:f>IF(MiniCase_Data!O55="불합격",1,0)</x:f>
        <x:v>0</x:v>
      </x:c>
      <x:c r="C55" t="str">
        <x:f>IF(ISBLANK(MiniCase_Data!H55),"missing",IF(OR(MiniCase_Data!H55&lt;27,MiniCase_Data!H55&gt;33),"밖","안"))</x:f>
        <x:v>안</x:v>
      </x:c>
      <x:c r="D55" t="n">
        <x:f>IF(ISBLANK(MiniCase_Data!H55),VLOOKUP(A55,센서로그!$A$2:$C$13,3,FALSE),MiniCase_Data!H55)</x:f>
        <x:v>32.1</x:v>
      </x:c>
      <x:c r="E55" t="n">
        <x:f>IF(AND(MiniCase_Data!C55="야간",MiniCase_Data!F55="M03"),1,0)</x:f>
        <x:v>0</x:v>
      </x:c>
      <x:c r="F55" t="n">
        <x:f>IF(C55="밖",1,0)</x:f>
        <x:v>0</x:v>
      </x:c>
      <x:c r="G55" t="n">
        <x:f>IF(OR(F55=1,E55=1),1,0)</x:f>
        <x:v>0</x:v>
      </x:c>
      <x:c r="H55" t="str">
        <x:f>IF(B55=1,IF(F55=1,"TP","FN"),IF(F55=1,"FP","TN"))</x:f>
        <x:v>TN</x:v>
      </x:c>
      <x:c r="I55" t="str">
        <x:f>IF(B55=1,IF(G55=1,"TP","FN"),IF(G55=1,"FP","TN"))</x:f>
        <x:v>TN</x:v>
      </x:c>
    </x:row>
    <x:row r="56">
      <x:c r="A56" t="str">
        <x:f>MiniCase_Data!A56</x:f>
        <x:v>R00055</x:v>
      </x:c>
      <x:c r="B56" t="n">
        <x:f>IF(MiniCase_Data!O56="불합격",1,0)</x:f>
        <x:v>0</x:v>
      </x:c>
      <x:c r="C56" t="str">
        <x:f>IF(ISBLANK(MiniCase_Data!H56),"missing",IF(OR(MiniCase_Data!H56&lt;27,MiniCase_Data!H56&gt;33),"밖","안"))</x:f>
        <x:v>밖</x:v>
      </x:c>
      <x:c r="D56" t="n">
        <x:f>IF(ISBLANK(MiniCase_Data!H56),VLOOKUP(A56,센서로그!$A$2:$C$13,3,FALSE),MiniCase_Data!H56)</x:f>
        <x:v>33.59</x:v>
      </x:c>
      <x:c r="E56" t="n">
        <x:f>IF(AND(MiniCase_Data!C56="야간",MiniCase_Data!F56="M03"),1,0)</x:f>
        <x:v>1</x:v>
      </x:c>
      <x:c r="F56" t="n">
        <x:f>IF(C56="밖",1,0)</x:f>
        <x:v>1</x:v>
      </x:c>
      <x:c r="G56" t="n">
        <x:f>IF(OR(F56=1,E56=1),1,0)</x:f>
        <x:v>1</x:v>
      </x:c>
      <x:c r="H56" t="str">
        <x:f>IF(B56=1,IF(F56=1,"TP","FN"),IF(F56=1,"FP","TN"))</x:f>
        <x:v>FP</x:v>
      </x:c>
      <x:c r="I56" t="str">
        <x:f>IF(B56=1,IF(G56=1,"TP","FN"),IF(G56=1,"FP","TN"))</x:f>
        <x:v>FP</x:v>
      </x:c>
    </x:row>
    <x:row r="57">
      <x:c r="A57" t="str">
        <x:f>MiniCase_Data!A57</x:f>
        <x:v>R00056</x:v>
      </x:c>
      <x:c r="B57" t="n">
        <x:f>IF(MiniCase_Data!O57="불합격",1,0)</x:f>
        <x:v>0</x:v>
      </x:c>
      <x:c r="C57" t="str">
        <x:f>IF(ISBLANK(MiniCase_Data!H57),"missing",IF(OR(MiniCase_Data!H57&lt;27,MiniCase_Data!H57&gt;33),"밖","안"))</x:f>
        <x:v>밖</x:v>
      </x:c>
      <x:c r="D57" t="n">
        <x:f>IF(ISBLANK(MiniCase_Data!H57),VLOOKUP(A57,센서로그!$A$2:$C$13,3,FALSE),MiniCase_Data!H57)</x:f>
        <x:v>25.83</x:v>
      </x:c>
      <x:c r="E57" t="n">
        <x:f>IF(AND(MiniCase_Data!C57="야간",MiniCase_Data!F57="M03"),1,0)</x:f>
        <x:v>1</x:v>
      </x:c>
      <x:c r="F57" t="n">
        <x:f>IF(C57="밖",1,0)</x:f>
        <x:v>1</x:v>
      </x:c>
      <x:c r="G57" t="n">
        <x:f>IF(OR(F57=1,E57=1),1,0)</x:f>
        <x:v>1</x:v>
      </x:c>
      <x:c r="H57" t="str">
        <x:f>IF(B57=1,IF(F57=1,"TP","FN"),IF(F57=1,"FP","TN"))</x:f>
        <x:v>FP</x:v>
      </x:c>
      <x:c r="I57" t="str">
        <x:f>IF(B57=1,IF(G57=1,"TP","FN"),IF(G57=1,"FP","TN"))</x:f>
        <x:v>FP</x:v>
      </x:c>
    </x:row>
    <x:row r="58">
      <x:c r="A58" t="str">
        <x:f>MiniCase_Data!A58</x:f>
        <x:v>R00057</x:v>
      </x:c>
      <x:c r="B58" t="n">
        <x:f>IF(MiniCase_Data!O58="불합격",1,0)</x:f>
        <x:v>0</x:v>
      </x:c>
      <x:c r="C58" t="str">
        <x:f>IF(ISBLANK(MiniCase_Data!H58),"missing",IF(OR(MiniCase_Data!H58&lt;27,MiniCase_Data!H58&gt;33),"밖","안"))</x:f>
        <x:v>안</x:v>
      </x:c>
      <x:c r="D58" t="n">
        <x:f>IF(ISBLANK(MiniCase_Data!H58),VLOOKUP(A58,센서로그!$A$2:$C$13,3,FALSE),MiniCase_Data!H58)</x:f>
        <x:v>32.47</x:v>
      </x:c>
      <x:c r="E58" t="n">
        <x:f>IF(AND(MiniCase_Data!C58="야간",MiniCase_Data!F58="M03"),1,0)</x:f>
        <x:v>0</x:v>
      </x:c>
      <x:c r="F58" t="n">
        <x:f>IF(C58="밖",1,0)</x:f>
        <x:v>0</x:v>
      </x:c>
      <x:c r="G58" t="n">
        <x:f>IF(OR(F58=1,E58=1),1,0)</x:f>
        <x:v>0</x:v>
      </x:c>
      <x:c r="H58" t="str">
        <x:f>IF(B58=1,IF(F58=1,"TP","FN"),IF(F58=1,"FP","TN"))</x:f>
        <x:v>TN</x:v>
      </x:c>
      <x:c r="I58" t="str">
        <x:f>IF(B58=1,IF(G58=1,"TP","FN"),IF(G58=1,"FP","TN"))</x:f>
        <x:v>TN</x:v>
      </x:c>
    </x:row>
    <x:row r="59">
      <x:c r="A59" t="str">
        <x:f>MiniCase_Data!A59</x:f>
        <x:v>R00058</x:v>
      </x:c>
      <x:c r="B59" t="n">
        <x:f>IF(MiniCase_Data!O59="불합격",1,0)</x:f>
        <x:v>0</x:v>
      </x:c>
      <x:c r="C59" t="str">
        <x:f>IF(ISBLANK(MiniCase_Data!H59),"missing",IF(OR(MiniCase_Data!H59&lt;27,MiniCase_Data!H59&gt;33),"밖","안"))</x:f>
        <x:v>밖</x:v>
      </x:c>
      <x:c r="D59" t="n">
        <x:f>IF(ISBLANK(MiniCase_Data!H59),VLOOKUP(A59,센서로그!$A$2:$C$13,3,FALSE),MiniCase_Data!H59)</x:f>
        <x:v>25.82</x:v>
      </x:c>
      <x:c r="E59" t="n">
        <x:f>IF(AND(MiniCase_Data!C59="야간",MiniCase_Data!F59="M03"),1,0)</x:f>
        <x:v>1</x:v>
      </x:c>
      <x:c r="F59" t="n">
        <x:f>IF(C59="밖",1,0)</x:f>
        <x:v>1</x:v>
      </x:c>
      <x:c r="G59" t="n">
        <x:f>IF(OR(F59=1,E59=1),1,0)</x:f>
        <x:v>1</x:v>
      </x:c>
      <x:c r="H59" t="str">
        <x:f>IF(B59=1,IF(F59=1,"TP","FN"),IF(F59=1,"FP","TN"))</x:f>
        <x:v>FP</x:v>
      </x:c>
      <x:c r="I59" t="str">
        <x:f>IF(B59=1,IF(G59=1,"TP","FN"),IF(G59=1,"FP","TN"))</x:f>
        <x:v>FP</x:v>
      </x:c>
    </x:row>
    <x:row r="60">
      <x:c r="A60" t="str">
        <x:f>MiniCase_Data!A60</x:f>
        <x:v>R00059</x:v>
      </x:c>
      <x:c r="B60" t="n">
        <x:f>IF(MiniCase_Data!O60="불합격",1,0)</x:f>
        <x:v>0</x:v>
      </x:c>
      <x:c r="C60" t="str">
        <x:f>IF(ISBLANK(MiniCase_Data!H60),"missing",IF(OR(MiniCase_Data!H60&lt;27,MiniCase_Data!H60&gt;33),"밖","안"))</x:f>
        <x:v>안</x:v>
      </x:c>
      <x:c r="D60" t="n">
        <x:f>IF(ISBLANK(MiniCase_Data!H60),VLOOKUP(A60,센서로그!$A$2:$C$13,3,FALSE),MiniCase_Data!H60)</x:f>
        <x:v>32.54</x:v>
      </x:c>
      <x:c r="E60" t="n">
        <x:f>IF(AND(MiniCase_Data!C60="야간",MiniCase_Data!F60="M03"),1,0)</x:f>
        <x:v>0</x:v>
      </x:c>
      <x:c r="F60" t="n">
        <x:f>IF(C60="밖",1,0)</x:f>
        <x:v>0</x:v>
      </x:c>
      <x:c r="G60" t="n">
        <x:f>IF(OR(F60=1,E60=1),1,0)</x:f>
        <x:v>0</x:v>
      </x:c>
      <x:c r="H60" t="str">
        <x:f>IF(B60=1,IF(F60=1,"TP","FN"),IF(F60=1,"FP","TN"))</x:f>
        <x:v>TN</x:v>
      </x:c>
      <x:c r="I60" t="str">
        <x:f>IF(B60=1,IF(G60=1,"TP","FN"),IF(G60=1,"FP","TN"))</x:f>
        <x:v>TN</x:v>
      </x:c>
    </x:row>
    <x:row r="61">
      <x:c r="A61" t="str">
        <x:f>MiniCase_Data!A61</x:f>
        <x:v>R00060</x:v>
      </x:c>
      <x:c r="B61" t="n">
        <x:f>IF(MiniCase_Data!O61="불합격",1,0)</x:f>
        <x:v>0</x:v>
      </x:c>
      <x:c r="C61" t="str">
        <x:f>IF(ISBLANK(MiniCase_Data!H61),"missing",IF(OR(MiniCase_Data!H61&lt;27,MiniCase_Data!H61&gt;33),"밖","안"))</x:f>
        <x:v>안</x:v>
      </x:c>
      <x:c r="D61" t="n">
        <x:f>IF(ISBLANK(MiniCase_Data!H61),VLOOKUP(A61,센서로그!$A$2:$C$13,3,FALSE),MiniCase_Data!H61)</x:f>
        <x:v>32.6</x:v>
      </x:c>
      <x:c r="E61" t="n">
        <x:f>IF(AND(MiniCase_Data!C61="야간",MiniCase_Data!F61="M03"),1,0)</x:f>
        <x:v>0</x:v>
      </x:c>
      <x:c r="F61" t="n">
        <x:f>IF(C61="밖",1,0)</x:f>
        <x:v>0</x:v>
      </x:c>
      <x:c r="G61" t="n">
        <x:f>IF(OR(F61=1,E61=1),1,0)</x:f>
        <x:v>0</x:v>
      </x:c>
      <x:c r="H61" t="str">
        <x:f>IF(B61=1,IF(F61=1,"TP","FN"),IF(F61=1,"FP","TN"))</x:f>
        <x:v>TN</x:v>
      </x:c>
      <x:c r="I61" t="str">
        <x:f>IF(B61=1,IF(G61=1,"TP","FN"),IF(G61=1,"FP","TN"))</x:f>
        <x:v>TN</x:v>
      </x:c>
    </x:row>
    <x:row r="62">
      <x:c r="A62" t="str">
        <x:f>MiniCase_Data!A62</x:f>
        <x:v>R00061</x:v>
      </x:c>
      <x:c r="B62" t="n">
        <x:f>IF(MiniCase_Data!O62="불합격",1,0)</x:f>
        <x:v>0</x:v>
      </x:c>
      <x:c r="C62" t="str">
        <x:f>IF(ISBLANK(MiniCase_Data!H62),"missing",IF(OR(MiniCase_Data!H62&lt;27,MiniCase_Data!H62&gt;33),"밖","안"))</x:f>
        <x:v>안</x:v>
      </x:c>
      <x:c r="D62" t="n">
        <x:f>IF(ISBLANK(MiniCase_Data!H62),VLOOKUP(A62,센서로그!$A$2:$C$13,3,FALSE),MiniCase_Data!H62)</x:f>
        <x:v>27.31</x:v>
      </x:c>
      <x:c r="E62" t="n">
        <x:f>IF(AND(MiniCase_Data!C62="야간",MiniCase_Data!F62="M03"),1,0)</x:f>
        <x:v>0</x:v>
      </x:c>
      <x:c r="F62" t="n">
        <x:f>IF(C62="밖",1,0)</x:f>
        <x:v>0</x:v>
      </x:c>
      <x:c r="G62" t="n">
        <x:f>IF(OR(F62=1,E62=1),1,0)</x:f>
        <x:v>0</x:v>
      </x:c>
      <x:c r="H62" t="str">
        <x:f>IF(B62=1,IF(F62=1,"TP","FN"),IF(F62=1,"FP","TN"))</x:f>
        <x:v>TN</x:v>
      </x:c>
      <x:c r="I62" t="str">
        <x:f>IF(B62=1,IF(G62=1,"TP","FN"),IF(G62=1,"FP","TN"))</x:f>
        <x:v>TN</x:v>
      </x:c>
    </x:row>
    <x:row r="63">
      <x:c r="A63" t="str">
        <x:f>MiniCase_Data!A63</x:f>
        <x:v>R00062</x:v>
      </x:c>
      <x:c r="B63" t="n">
        <x:f>IF(MiniCase_Data!O63="불합격",1,0)</x:f>
        <x:v>0</x:v>
      </x:c>
      <x:c r="C63" t="str">
        <x:f>IF(ISBLANK(MiniCase_Data!H63),"missing",IF(OR(MiniCase_Data!H63&lt;27,MiniCase_Data!H63&gt;33),"밖","안"))</x:f>
        <x:v>안</x:v>
      </x:c>
      <x:c r="D63" t="n">
        <x:f>IF(ISBLANK(MiniCase_Data!H63),VLOOKUP(A63,센서로그!$A$2:$C$13,3,FALSE),MiniCase_Data!H63)</x:f>
        <x:v>32.76</x:v>
      </x:c>
      <x:c r="E63" t="n">
        <x:f>IF(AND(MiniCase_Data!C63="야간",MiniCase_Data!F63="M03"),1,0)</x:f>
        <x:v>0</x:v>
      </x:c>
      <x:c r="F63" t="n">
        <x:f>IF(C63="밖",1,0)</x:f>
        <x:v>0</x:v>
      </x:c>
      <x:c r="G63" t="n">
        <x:f>IF(OR(F63=1,E63=1),1,0)</x:f>
        <x:v>0</x:v>
      </x:c>
      <x:c r="H63" t="str">
        <x:f>IF(B63=1,IF(F63=1,"TP","FN"),IF(F63=1,"FP","TN"))</x:f>
        <x:v>TN</x:v>
      </x:c>
      <x:c r="I63" t="str">
        <x:f>IF(B63=1,IF(G63=1,"TP","FN"),IF(G63=1,"FP","TN"))</x:f>
        <x:v>TN</x:v>
      </x:c>
    </x:row>
    <x:row r="64">
      <x:c r="A64" t="str">
        <x:f>MiniCase_Data!A64</x:f>
        <x:v>R00063</x:v>
      </x:c>
      <x:c r="B64" t="n">
        <x:f>IF(MiniCase_Data!O64="불합격",1,0)</x:f>
        <x:v>0</x:v>
      </x:c>
      <x:c r="C64" t="str">
        <x:f>IF(ISBLANK(MiniCase_Data!H64),"missing",IF(OR(MiniCase_Data!H64&lt;27,MiniCase_Data!H64&gt;33),"밖","안"))</x:f>
        <x:v>안</x:v>
      </x:c>
      <x:c r="D64" t="n">
        <x:f>IF(ISBLANK(MiniCase_Data!H64),VLOOKUP(A64,센서로그!$A$2:$C$13,3,FALSE),MiniCase_Data!H64)</x:f>
        <x:v>32.14</x:v>
      </x:c>
      <x:c r="E64" t="n">
        <x:f>IF(AND(MiniCase_Data!C64="야간",MiniCase_Data!F64="M03"),1,0)</x:f>
        <x:v>0</x:v>
      </x:c>
      <x:c r="F64" t="n">
        <x:f>IF(C64="밖",1,0)</x:f>
        <x:v>0</x:v>
      </x:c>
      <x:c r="G64" t="n">
        <x:f>IF(OR(F64=1,E64=1),1,0)</x:f>
        <x:v>0</x:v>
      </x:c>
      <x:c r="H64" t="str">
        <x:f>IF(B64=1,IF(F64=1,"TP","FN"),IF(F64=1,"FP","TN"))</x:f>
        <x:v>TN</x:v>
      </x:c>
      <x:c r="I64" t="str">
        <x:f>IF(B64=1,IF(G64=1,"TP","FN"),IF(G64=1,"FP","TN"))</x:f>
        <x:v>TN</x:v>
      </x:c>
    </x:row>
    <x:row r="65">
      <x:c r="A65" t="str">
        <x:f>MiniCase_Data!A65</x:f>
        <x:v>R00064</x:v>
      </x:c>
      <x:c r="B65" t="n">
        <x:f>IF(MiniCase_Data!O65="불합격",1,0)</x:f>
        <x:v>0</x:v>
      </x:c>
      <x:c r="C65" t="str">
        <x:f>IF(ISBLANK(MiniCase_Data!H65),"missing",IF(OR(MiniCase_Data!H65&lt;27,MiniCase_Data!H65&gt;33),"밖","안"))</x:f>
        <x:v>안</x:v>
      </x:c>
      <x:c r="D65" t="n">
        <x:f>IF(ISBLANK(MiniCase_Data!H65),VLOOKUP(A65,센서로그!$A$2:$C$13,3,FALSE),MiniCase_Data!H65)</x:f>
        <x:v>31.86</x:v>
      </x:c>
      <x:c r="E65" t="n">
        <x:f>IF(AND(MiniCase_Data!C65="야간",MiniCase_Data!F65="M03"),1,0)</x:f>
        <x:v>0</x:v>
      </x:c>
      <x:c r="F65" t="n">
        <x:f>IF(C65="밖",1,0)</x:f>
        <x:v>0</x:v>
      </x:c>
      <x:c r="G65" t="n">
        <x:f>IF(OR(F65=1,E65=1),1,0)</x:f>
        <x:v>0</x:v>
      </x:c>
      <x:c r="H65" t="str">
        <x:f>IF(B65=1,IF(F65=1,"TP","FN"),IF(F65=1,"FP","TN"))</x:f>
        <x:v>TN</x:v>
      </x:c>
      <x:c r="I65" t="str">
        <x:f>IF(B65=1,IF(G65=1,"TP","FN"),IF(G65=1,"FP","TN"))</x:f>
        <x:v>TN</x:v>
      </x:c>
    </x:row>
    <x:row r="66">
      <x:c r="A66" t="str">
        <x:f>MiniCase_Data!A66</x:f>
        <x:v>R00065</x:v>
      </x:c>
      <x:c r="B66" t="n">
        <x:f>IF(MiniCase_Data!O66="불합격",1,0)</x:f>
        <x:v>0</x:v>
      </x:c>
      <x:c r="C66" t="str">
        <x:f>IF(ISBLANK(MiniCase_Data!H66),"missing",IF(OR(MiniCase_Data!H66&lt;27,MiniCase_Data!H66&gt;33),"밖","안"))</x:f>
        <x:v>안</x:v>
      </x:c>
      <x:c r="D66" t="n">
        <x:f>IF(ISBLANK(MiniCase_Data!H66),VLOOKUP(A66,센서로그!$A$2:$C$13,3,FALSE),MiniCase_Data!H66)</x:f>
        <x:v>32.38</x:v>
      </x:c>
      <x:c r="E66" t="n">
        <x:f>IF(AND(MiniCase_Data!C66="야간",MiniCase_Data!F66="M03"),1,0)</x:f>
        <x:v>0</x:v>
      </x:c>
      <x:c r="F66" t="n">
        <x:f>IF(C66="밖",1,0)</x:f>
        <x:v>0</x:v>
      </x:c>
      <x:c r="G66" t="n">
        <x:f>IF(OR(F66=1,E66=1),1,0)</x:f>
        <x:v>0</x:v>
      </x:c>
      <x:c r="H66" t="str">
        <x:f>IF(B66=1,IF(F66=1,"TP","FN"),IF(F66=1,"FP","TN"))</x:f>
        <x:v>TN</x:v>
      </x:c>
      <x:c r="I66" t="str">
        <x:f>IF(B66=1,IF(G66=1,"TP","FN"),IF(G66=1,"FP","TN"))</x:f>
        <x:v>TN</x:v>
      </x:c>
    </x:row>
    <x:row r="67">
      <x:c r="A67" t="str">
        <x:f>MiniCase_Data!A67</x:f>
        <x:v>R00066</x:v>
      </x:c>
      <x:c r="B67" t="n">
        <x:f>IF(MiniCase_Data!O67="불합격",1,0)</x:f>
        <x:v>0</x:v>
      </x:c>
      <x:c r="C67" t="str">
        <x:f>IF(ISBLANK(MiniCase_Data!H67),"missing",IF(OR(MiniCase_Data!H67&lt;27,MiniCase_Data!H67&gt;33),"밖","안"))</x:f>
        <x:v>안</x:v>
      </x:c>
      <x:c r="D67" t="n">
        <x:f>IF(ISBLANK(MiniCase_Data!H67),VLOOKUP(A67,센서로그!$A$2:$C$13,3,FALSE),MiniCase_Data!H67)</x:f>
        <x:v>29.56</x:v>
      </x:c>
      <x:c r="E67" t="n">
        <x:f>IF(AND(MiniCase_Data!C67="야간",MiniCase_Data!F67="M03"),1,0)</x:f>
        <x:v>0</x:v>
      </x:c>
      <x:c r="F67" t="n">
        <x:f>IF(C67="밖",1,0)</x:f>
        <x:v>0</x:v>
      </x:c>
      <x:c r="G67" t="n">
        <x:f>IF(OR(F67=1,E67=1),1,0)</x:f>
        <x:v>0</x:v>
      </x:c>
      <x:c r="H67" t="str">
        <x:f>IF(B67=1,IF(F67=1,"TP","FN"),IF(F67=1,"FP","TN"))</x:f>
        <x:v>TN</x:v>
      </x:c>
      <x:c r="I67" t="str">
        <x:f>IF(B67=1,IF(G67=1,"TP","FN"),IF(G67=1,"FP","TN"))</x:f>
        <x:v>TN</x:v>
      </x:c>
    </x:row>
    <x:row r="68">
      <x:c r="A68" t="str">
        <x:f>MiniCase_Data!A68</x:f>
        <x:v>R00067</x:v>
      </x:c>
      <x:c r="B68" t="n">
        <x:f>IF(MiniCase_Data!O68="불합격",1,0)</x:f>
        <x:v>0</x:v>
      </x:c>
      <x:c r="C68" t="str">
        <x:f>IF(ISBLANK(MiniCase_Data!H68),"missing",IF(OR(MiniCase_Data!H68&lt;27,MiniCase_Data!H68&gt;33),"밖","안"))</x:f>
        <x:v>안</x:v>
      </x:c>
      <x:c r="D68" t="n">
        <x:f>IF(ISBLANK(MiniCase_Data!H68),VLOOKUP(A68,센서로그!$A$2:$C$13,3,FALSE),MiniCase_Data!H68)</x:f>
        <x:v>32.65</x:v>
      </x:c>
      <x:c r="E68" t="n">
        <x:f>IF(AND(MiniCase_Data!C68="야간",MiniCase_Data!F68="M03"),1,0)</x:f>
        <x:v>0</x:v>
      </x:c>
      <x:c r="F68" t="n">
        <x:f>IF(C68="밖",1,0)</x:f>
        <x:v>0</x:v>
      </x:c>
      <x:c r="G68" t="n">
        <x:f>IF(OR(F68=1,E68=1),1,0)</x:f>
        <x:v>0</x:v>
      </x:c>
      <x:c r="H68" t="str">
        <x:f>IF(B68=1,IF(F68=1,"TP","FN"),IF(F68=1,"FP","TN"))</x:f>
        <x:v>TN</x:v>
      </x:c>
      <x:c r="I68" t="str">
        <x:f>IF(B68=1,IF(G68=1,"TP","FN"),IF(G68=1,"FP","TN"))</x:f>
        <x:v>TN</x:v>
      </x:c>
    </x:row>
    <x:row r="69">
      <x:c r="A69" t="str">
        <x:f>MiniCase_Data!A69</x:f>
        <x:v>R00068</x:v>
      </x:c>
      <x:c r="B69" t="n">
        <x:f>IF(MiniCase_Data!O69="불합격",1,0)</x:f>
        <x:v>0</x:v>
      </x:c>
      <x:c r="C69" t="str">
        <x:f>IF(ISBLANK(MiniCase_Data!H69),"missing",IF(OR(MiniCase_Data!H69&lt;27,MiniCase_Data!H69&gt;33),"밖","안"))</x:f>
        <x:v>밖</x:v>
      </x:c>
      <x:c r="D69" t="n">
        <x:f>IF(ISBLANK(MiniCase_Data!H69),VLOOKUP(A69,센서로그!$A$2:$C$13,3,FALSE),MiniCase_Data!H69)</x:f>
        <x:v>25.97</x:v>
      </x:c>
      <x:c r="E69" t="n">
        <x:f>IF(AND(MiniCase_Data!C69="야간",MiniCase_Data!F69="M03"),1,0)</x:f>
        <x:v>1</x:v>
      </x:c>
      <x:c r="F69" t="n">
        <x:f>IF(C69="밖",1,0)</x:f>
        <x:v>1</x:v>
      </x:c>
      <x:c r="G69" t="n">
        <x:f>IF(OR(F69=1,E69=1),1,0)</x:f>
        <x:v>1</x:v>
      </x:c>
      <x:c r="H69" t="str">
        <x:f>IF(B69=1,IF(F69=1,"TP","FN"),IF(F69=1,"FP","TN"))</x:f>
        <x:v>FP</x:v>
      </x:c>
      <x:c r="I69" t="str">
        <x:f>IF(B69=1,IF(G69=1,"TP","FN"),IF(G69=1,"FP","TN"))</x:f>
        <x:v>FP</x:v>
      </x:c>
    </x:row>
    <x:row r="70">
      <x:c r="A70" t="str">
        <x:f>MiniCase_Data!A70</x:f>
        <x:v>R00069</x:v>
      </x:c>
      <x:c r="B70" t="n">
        <x:f>IF(MiniCase_Data!O70="불합격",1,0)</x:f>
        <x:v>0</x:v>
      </x:c>
      <x:c r="C70" t="str">
        <x:f>IF(ISBLANK(MiniCase_Data!H70),"missing",IF(OR(MiniCase_Data!H70&lt;27,MiniCase_Data!H70&gt;33),"밖","안"))</x:f>
        <x:v>안</x:v>
      </x:c>
      <x:c r="D70" t="n">
        <x:f>IF(ISBLANK(MiniCase_Data!H70),VLOOKUP(A70,센서로그!$A$2:$C$13,3,FALSE),MiniCase_Data!H70)</x:f>
        <x:v>27.65</x:v>
      </x:c>
      <x:c r="E70" t="n">
        <x:f>IF(AND(MiniCase_Data!C70="야간",MiniCase_Data!F70="M03"),1,0)</x:f>
        <x:v>0</x:v>
      </x:c>
      <x:c r="F70" t="n">
        <x:f>IF(C70="밖",1,0)</x:f>
        <x:v>0</x:v>
      </x:c>
      <x:c r="G70" t="n">
        <x:f>IF(OR(F70=1,E70=1),1,0)</x:f>
        <x:v>0</x:v>
      </x:c>
      <x:c r="H70" t="str">
        <x:f>IF(B70=1,IF(F70=1,"TP","FN"),IF(F70=1,"FP","TN"))</x:f>
        <x:v>TN</x:v>
      </x:c>
      <x:c r="I70" t="str">
        <x:f>IF(B70=1,IF(G70=1,"TP","FN"),IF(G70=1,"FP","TN"))</x:f>
        <x:v>TN</x:v>
      </x:c>
    </x:row>
    <x:row r="71">
      <x:c r="A71" t="str">
        <x:f>MiniCase_Data!A71</x:f>
        <x:v>R00070</x:v>
      </x:c>
      <x:c r="B71" t="n">
        <x:f>IF(MiniCase_Data!O71="불합격",1,0)</x:f>
        <x:v>0</x:v>
      </x:c>
      <x:c r="C71" t="str">
        <x:f>IF(ISBLANK(MiniCase_Data!H71),"missing",IF(OR(MiniCase_Data!H71&lt;27,MiniCase_Data!H71&gt;33),"밖","안"))</x:f>
        <x:v>안</x:v>
      </x:c>
      <x:c r="D71" t="n">
        <x:f>IF(ISBLANK(MiniCase_Data!H71),VLOOKUP(A71,센서로그!$A$2:$C$13,3,FALSE),MiniCase_Data!H71)</x:f>
        <x:v>29.66</x:v>
      </x:c>
      <x:c r="E71" t="n">
        <x:f>IF(AND(MiniCase_Data!C71="야간",MiniCase_Data!F71="M03"),1,0)</x:f>
        <x:v>0</x:v>
      </x:c>
      <x:c r="F71" t="n">
        <x:f>IF(C71="밖",1,0)</x:f>
        <x:v>0</x:v>
      </x:c>
      <x:c r="G71" t="n">
        <x:f>IF(OR(F71=1,E71=1),1,0)</x:f>
        <x:v>0</x:v>
      </x:c>
      <x:c r="H71" t="str">
        <x:f>IF(B71=1,IF(F71=1,"TP","FN"),IF(F71=1,"FP","TN"))</x:f>
        <x:v>TN</x:v>
      </x:c>
      <x:c r="I71" t="str">
        <x:f>IF(B71=1,IF(G71=1,"TP","FN"),IF(G71=1,"FP","TN"))</x:f>
        <x:v>TN</x:v>
      </x:c>
    </x:row>
    <x:row r="72">
      <x:c r="A72" t="str">
        <x:f>MiniCase_Data!A72</x:f>
        <x:v>R00071</x:v>
      </x:c>
      <x:c r="B72" t="n">
        <x:f>IF(MiniCase_Data!O72="불합격",1,0)</x:f>
        <x:v>0</x:v>
      </x:c>
      <x:c r="C72" t="str">
        <x:f>IF(ISBLANK(MiniCase_Data!H72),"missing",IF(OR(MiniCase_Data!H72&lt;27,MiniCase_Data!H72&gt;33),"밖","안"))</x:f>
        <x:v>안</x:v>
      </x:c>
      <x:c r="D72" t="n">
        <x:f>IF(ISBLANK(MiniCase_Data!H72),VLOOKUP(A72,센서로그!$A$2:$C$13,3,FALSE),MiniCase_Data!H72)</x:f>
        <x:v>31.06</x:v>
      </x:c>
      <x:c r="E72" t="n">
        <x:f>IF(AND(MiniCase_Data!C72="야간",MiniCase_Data!F72="M03"),1,0)</x:f>
        <x:v>0</x:v>
      </x:c>
      <x:c r="F72" t="n">
        <x:f>IF(C72="밖",1,0)</x:f>
        <x:v>0</x:v>
      </x:c>
      <x:c r="G72" t="n">
        <x:f>IF(OR(F72=1,E72=1),1,0)</x:f>
        <x:v>0</x:v>
      </x:c>
      <x:c r="H72" t="str">
        <x:f>IF(B72=1,IF(F72=1,"TP","FN"),IF(F72=1,"FP","TN"))</x:f>
        <x:v>TN</x:v>
      </x:c>
      <x:c r="I72" t="str">
        <x:f>IF(B72=1,IF(G72=1,"TP","FN"),IF(G72=1,"FP","TN"))</x:f>
        <x:v>TN</x:v>
      </x:c>
    </x:row>
    <x:row r="73">
      <x:c r="A73" t="str">
        <x:f>MiniCase_Data!A73</x:f>
        <x:v>R00072</x:v>
      </x:c>
      <x:c r="B73" t="n">
        <x:f>IF(MiniCase_Data!O73="불합격",1,0)</x:f>
        <x:v>0</x:v>
      </x:c>
      <x:c r="C73" t="str">
        <x:f>IF(ISBLANK(MiniCase_Data!H73),"missing",IF(OR(MiniCase_Data!H73&lt;27,MiniCase_Data!H73&gt;33),"밖","안"))</x:f>
        <x:v>안</x:v>
      </x:c>
      <x:c r="D73" t="n">
        <x:f>IF(ISBLANK(MiniCase_Data!H73),VLOOKUP(A73,센서로그!$A$2:$C$13,3,FALSE),MiniCase_Data!H73)</x:f>
        <x:v>31.67</x:v>
      </x:c>
      <x:c r="E73" t="n">
        <x:f>IF(AND(MiniCase_Data!C73="야간",MiniCase_Data!F73="M03"),1,0)</x:f>
        <x:v>1</x:v>
      </x:c>
      <x:c r="F73" t="n">
        <x:f>IF(C73="밖",1,0)</x:f>
        <x:v>0</x:v>
      </x:c>
      <x:c r="G73" t="n">
        <x:f>IF(OR(F73=1,E73=1),1,0)</x:f>
        <x:v>1</x:v>
      </x:c>
      <x:c r="H73" t="str">
        <x:f>IF(B73=1,IF(F73=1,"TP","FN"),IF(F73=1,"FP","TN"))</x:f>
        <x:v>TN</x:v>
      </x:c>
      <x:c r="I73" t="str">
        <x:f>IF(B73=1,IF(G73=1,"TP","FN"),IF(G73=1,"FP","TN"))</x:f>
        <x:v>FP</x:v>
      </x:c>
    </x:row>
    <x:row r="74">
      <x:c r="A74" t="str">
        <x:f>MiniCase_Data!A74</x:f>
        <x:v>R00073</x:v>
      </x:c>
      <x:c r="B74" t="n">
        <x:f>IF(MiniCase_Data!O74="불합격",1,0)</x:f>
        <x:v>0</x:v>
      </x:c>
      <x:c r="C74" t="str">
        <x:f>IF(ISBLANK(MiniCase_Data!H74),"missing",IF(OR(MiniCase_Data!H74&lt;27,MiniCase_Data!H74&gt;33),"밖","안"))</x:f>
        <x:v>안</x:v>
      </x:c>
      <x:c r="D74" t="n">
        <x:f>IF(ISBLANK(MiniCase_Data!H74),VLOOKUP(A74,센서로그!$A$2:$C$13,3,FALSE),MiniCase_Data!H74)</x:f>
        <x:v>29.35</x:v>
      </x:c>
      <x:c r="E74" t="n">
        <x:f>IF(AND(MiniCase_Data!C74="야간",MiniCase_Data!F74="M03"),1,0)</x:f>
        <x:v>0</x:v>
      </x:c>
      <x:c r="F74" t="n">
        <x:f>IF(C74="밖",1,0)</x:f>
        <x:v>0</x:v>
      </x:c>
      <x:c r="G74" t="n">
        <x:f>IF(OR(F74=1,E74=1),1,0)</x:f>
        <x:v>0</x:v>
      </x:c>
      <x:c r="H74" t="str">
        <x:f>IF(B74=1,IF(F74=1,"TP","FN"),IF(F74=1,"FP","TN"))</x:f>
        <x:v>TN</x:v>
      </x:c>
      <x:c r="I74" t="str">
        <x:f>IF(B74=1,IF(G74=1,"TP","FN"),IF(G74=1,"FP","TN"))</x:f>
        <x:v>TN</x:v>
      </x:c>
    </x:row>
    <x:row r="75">
      <x:c r="A75" t="str">
        <x:f>MiniCase_Data!A75</x:f>
        <x:v>R00074</x:v>
      </x:c>
      <x:c r="B75" t="n">
        <x:f>IF(MiniCase_Data!O75="불합격",1,0)</x:f>
        <x:v>0</x:v>
      </x:c>
      <x:c r="C75" t="str">
        <x:f>IF(ISBLANK(MiniCase_Data!H75),"missing",IF(OR(MiniCase_Data!H75&lt;27,MiniCase_Data!H75&gt;33),"밖","안"))</x:f>
        <x:v>안</x:v>
      </x:c>
      <x:c r="D75" t="n">
        <x:f>IF(ISBLANK(MiniCase_Data!H75),VLOOKUP(A75,센서로그!$A$2:$C$13,3,FALSE),MiniCase_Data!H75)</x:f>
        <x:v>29.2</x:v>
      </x:c>
      <x:c r="E75" t="n">
        <x:f>IF(AND(MiniCase_Data!C75="야간",MiniCase_Data!F75="M03"),1,0)</x:f>
        <x:v>0</x:v>
      </x:c>
      <x:c r="F75" t="n">
        <x:f>IF(C75="밖",1,0)</x:f>
        <x:v>0</x:v>
      </x:c>
      <x:c r="G75" t="n">
        <x:f>IF(OR(F75=1,E75=1),1,0)</x:f>
        <x:v>0</x:v>
      </x:c>
      <x:c r="H75" t="str">
        <x:f>IF(B75=1,IF(F75=1,"TP","FN"),IF(F75=1,"FP","TN"))</x:f>
        <x:v>TN</x:v>
      </x:c>
      <x:c r="I75" t="str">
        <x:f>IF(B75=1,IF(G75=1,"TP","FN"),IF(G75=1,"FP","TN"))</x:f>
        <x:v>TN</x:v>
      </x:c>
    </x:row>
    <x:row r="76">
      <x:c r="A76" t="str">
        <x:f>MiniCase_Data!A76</x:f>
        <x:v>R00075</x:v>
      </x:c>
      <x:c r="B76" t="n">
        <x:f>IF(MiniCase_Data!O76="불합격",1,0)</x:f>
        <x:v>0</x:v>
      </x:c>
      <x:c r="C76" t="str">
        <x:f>IF(ISBLANK(MiniCase_Data!H76),"missing",IF(OR(MiniCase_Data!H76&lt;27,MiniCase_Data!H76&gt;33),"밖","안"))</x:f>
        <x:v>안</x:v>
      </x:c>
      <x:c r="D76" t="n">
        <x:f>IF(ISBLANK(MiniCase_Data!H76),VLOOKUP(A76,센서로그!$A$2:$C$13,3,FALSE),MiniCase_Data!H76)</x:f>
        <x:v>29.35</x:v>
      </x:c>
      <x:c r="E76" t="n">
        <x:f>IF(AND(MiniCase_Data!C76="야간",MiniCase_Data!F76="M03"),1,0)</x:f>
        <x:v>0</x:v>
      </x:c>
      <x:c r="F76" t="n">
        <x:f>IF(C76="밖",1,0)</x:f>
        <x:v>0</x:v>
      </x:c>
      <x:c r="G76" t="n">
        <x:f>IF(OR(F76=1,E76=1),1,0)</x:f>
        <x:v>0</x:v>
      </x:c>
      <x:c r="H76" t="str">
        <x:f>IF(B76=1,IF(F76=1,"TP","FN"),IF(F76=1,"FP","TN"))</x:f>
        <x:v>TN</x:v>
      </x:c>
      <x:c r="I76" t="str">
        <x:f>IF(B76=1,IF(G76=1,"TP","FN"),IF(G76=1,"FP","TN"))</x:f>
        <x:v>TN</x:v>
      </x:c>
    </x:row>
    <x:row r="77">
      <x:c r="A77" t="str">
        <x:f>MiniCase_Data!A77</x:f>
        <x:v>R00076</x:v>
      </x:c>
      <x:c r="B77" t="n">
        <x:f>IF(MiniCase_Data!O77="불합격",1,0)</x:f>
        <x:v>0</x:v>
      </x:c>
      <x:c r="C77" t="str">
        <x:f>IF(ISBLANK(MiniCase_Data!H77),"missing",IF(OR(MiniCase_Data!H77&lt;27,MiniCase_Data!H77&gt;33),"밖","안"))</x:f>
        <x:v>안</x:v>
      </x:c>
      <x:c r="D77" t="n">
        <x:f>IF(ISBLANK(MiniCase_Data!H77),VLOOKUP(A77,센서로그!$A$2:$C$13,3,FALSE),MiniCase_Data!H77)</x:f>
        <x:v>29.29</x:v>
      </x:c>
      <x:c r="E77" t="n">
        <x:f>IF(AND(MiniCase_Data!C77="야간",MiniCase_Data!F77="M03"),1,0)</x:f>
        <x:v>0</x:v>
      </x:c>
      <x:c r="F77" t="n">
        <x:f>IF(C77="밖",1,0)</x:f>
        <x:v>0</x:v>
      </x:c>
      <x:c r="G77" t="n">
        <x:f>IF(OR(F77=1,E77=1),1,0)</x:f>
        <x:v>0</x:v>
      </x:c>
      <x:c r="H77" t="str">
        <x:f>IF(B77=1,IF(F77=1,"TP","FN"),IF(F77=1,"FP","TN"))</x:f>
        <x:v>TN</x:v>
      </x:c>
      <x:c r="I77" t="str">
        <x:f>IF(B77=1,IF(G77=1,"TP","FN"),IF(G77=1,"FP","TN"))</x:f>
        <x:v>TN</x:v>
      </x:c>
    </x:row>
    <x:row r="78">
      <x:c r="A78" t="str">
        <x:f>MiniCase_Data!A78</x:f>
        <x:v>R00077</x:v>
      </x:c>
      <x:c r="B78" t="n">
        <x:f>IF(MiniCase_Data!O78="불합격",1,0)</x:f>
        <x:v>0</x:v>
      </x:c>
      <x:c r="C78" t="str">
        <x:f>IF(ISBLANK(MiniCase_Data!H78),"missing",IF(OR(MiniCase_Data!H78&lt;27,MiniCase_Data!H78&gt;33),"밖","안"))</x:f>
        <x:v>안</x:v>
      </x:c>
      <x:c r="D78" t="n">
        <x:f>IF(ISBLANK(MiniCase_Data!H78),VLOOKUP(A78,센서로그!$A$2:$C$13,3,FALSE),MiniCase_Data!H78)</x:f>
        <x:v>28.42</x:v>
      </x:c>
      <x:c r="E78" t="n">
        <x:f>IF(AND(MiniCase_Data!C78="야간",MiniCase_Data!F78="M03"),1,0)</x:f>
        <x:v>0</x:v>
      </x:c>
      <x:c r="F78" t="n">
        <x:f>IF(C78="밖",1,0)</x:f>
        <x:v>0</x:v>
      </x:c>
      <x:c r="G78" t="n">
        <x:f>IF(OR(F78=1,E78=1),1,0)</x:f>
        <x:v>0</x:v>
      </x:c>
      <x:c r="H78" t="str">
        <x:f>IF(B78=1,IF(F78=1,"TP","FN"),IF(F78=1,"FP","TN"))</x:f>
        <x:v>TN</x:v>
      </x:c>
      <x:c r="I78" t="str">
        <x:f>IF(B78=1,IF(G78=1,"TP","FN"),IF(G78=1,"FP","TN"))</x:f>
        <x:v>TN</x:v>
      </x:c>
    </x:row>
    <x:row r="79">
      <x:c r="A79" t="str">
        <x:f>MiniCase_Data!A79</x:f>
        <x:v>R00078</x:v>
      </x:c>
      <x:c r="B79" t="n">
        <x:f>IF(MiniCase_Data!O79="불합격",1,0)</x:f>
        <x:v>0</x:v>
      </x:c>
      <x:c r="C79" t="str">
        <x:f>IF(ISBLANK(MiniCase_Data!H79),"missing",IF(OR(MiniCase_Data!H79&lt;27,MiniCase_Data!H79&gt;33),"밖","안"))</x:f>
        <x:v>안</x:v>
      </x:c>
      <x:c r="D79" t="n">
        <x:f>IF(ISBLANK(MiniCase_Data!H79),VLOOKUP(A79,센서로그!$A$2:$C$13,3,FALSE),MiniCase_Data!H79)</x:f>
        <x:v>31.21</x:v>
      </x:c>
      <x:c r="E79" t="n">
        <x:f>IF(AND(MiniCase_Data!C79="야간",MiniCase_Data!F79="M03"),1,0)</x:f>
        <x:v>0</x:v>
      </x:c>
      <x:c r="F79" t="n">
        <x:f>IF(C79="밖",1,0)</x:f>
        <x:v>0</x:v>
      </x:c>
      <x:c r="G79" t="n">
        <x:f>IF(OR(F79=1,E79=1),1,0)</x:f>
        <x:v>0</x:v>
      </x:c>
      <x:c r="H79" t="str">
        <x:f>IF(B79=1,IF(F79=1,"TP","FN"),IF(F79=1,"FP","TN"))</x:f>
        <x:v>TN</x:v>
      </x:c>
      <x:c r="I79" t="str">
        <x:f>IF(B79=1,IF(G79=1,"TP","FN"),IF(G79=1,"FP","TN"))</x:f>
        <x:v>TN</x:v>
      </x:c>
    </x:row>
    <x:row r="80">
      <x:c r="A80" t="str">
        <x:f>MiniCase_Data!A80</x:f>
        <x:v>R00079</x:v>
      </x:c>
      <x:c r="B80" t="n">
        <x:f>IF(MiniCase_Data!O80="불합격",1,0)</x:f>
        <x:v>0</x:v>
      </x:c>
      <x:c r="C80" t="str">
        <x:f>IF(ISBLANK(MiniCase_Data!H80),"missing",IF(OR(MiniCase_Data!H80&lt;27,MiniCase_Data!H80&gt;33),"밖","안"))</x:f>
        <x:v>안</x:v>
      </x:c>
      <x:c r="D80" t="n">
        <x:f>IF(ISBLANK(MiniCase_Data!H80),VLOOKUP(A80,센서로그!$A$2:$C$13,3,FALSE),MiniCase_Data!H80)</x:f>
        <x:v>31.11</x:v>
      </x:c>
      <x:c r="E80" t="n">
        <x:f>IF(AND(MiniCase_Data!C80="야간",MiniCase_Data!F80="M03"),1,0)</x:f>
        <x:v>0</x:v>
      </x:c>
      <x:c r="F80" t="n">
        <x:f>IF(C80="밖",1,0)</x:f>
        <x:v>0</x:v>
      </x:c>
      <x:c r="G80" t="n">
        <x:f>IF(OR(F80=1,E80=1),1,0)</x:f>
        <x:v>0</x:v>
      </x:c>
      <x:c r="H80" t="str">
        <x:f>IF(B80=1,IF(F80=1,"TP","FN"),IF(F80=1,"FP","TN"))</x:f>
        <x:v>TN</x:v>
      </x:c>
      <x:c r="I80" t="str">
        <x:f>IF(B80=1,IF(G80=1,"TP","FN"),IF(G80=1,"FP","TN"))</x:f>
        <x:v>TN</x:v>
      </x:c>
    </x:row>
    <x:row r="81">
      <x:c r="A81" t="str">
        <x:f>MiniCase_Data!A81</x:f>
        <x:v>R00080</x:v>
      </x:c>
      <x:c r="B81" t="n">
        <x:f>IF(MiniCase_Data!O81="불합격",1,0)</x:f>
        <x:v>0</x:v>
      </x:c>
      <x:c r="C81" t="str">
        <x:f>IF(ISBLANK(MiniCase_Data!H81),"missing",IF(OR(MiniCase_Data!H81&lt;27,MiniCase_Data!H81&gt;33),"밖","안"))</x:f>
        <x:v>안</x:v>
      </x:c>
      <x:c r="D81" t="n">
        <x:f>IF(ISBLANK(MiniCase_Data!H81),VLOOKUP(A81,센서로그!$A$2:$C$13,3,FALSE),MiniCase_Data!H81)</x:f>
        <x:v>28.64</x:v>
      </x:c>
      <x:c r="E81" t="n">
        <x:f>IF(AND(MiniCase_Data!C81="야간",MiniCase_Data!F81="M03"),1,0)</x:f>
        <x:v>0</x:v>
      </x:c>
      <x:c r="F81" t="n">
        <x:f>IF(C81="밖",1,0)</x:f>
        <x:v>0</x:v>
      </x:c>
      <x:c r="G81" t="n">
        <x:f>IF(OR(F81=1,E81=1),1,0)</x:f>
        <x:v>0</x:v>
      </x:c>
      <x:c r="H81" t="str">
        <x:f>IF(B81=1,IF(F81=1,"TP","FN"),IF(F81=1,"FP","TN"))</x:f>
        <x:v>TN</x:v>
      </x:c>
      <x:c r="I81" t="str">
        <x:f>IF(B81=1,IF(G81=1,"TP","FN"),IF(G81=1,"FP","TN"))</x:f>
        <x:v>TN</x:v>
      </x:c>
    </x:row>
    <x:row r="82">
      <x:c r="A82" t="str">
        <x:f>MiniCase_Data!A82</x:f>
        <x:v>R00081</x:v>
      </x:c>
      <x:c r="B82" t="n">
        <x:f>IF(MiniCase_Data!O82="불합격",1,0)</x:f>
        <x:v>0</x:v>
      </x:c>
      <x:c r="C82" t="str">
        <x:f>IF(ISBLANK(MiniCase_Data!H82),"missing",IF(OR(MiniCase_Data!H82&lt;27,MiniCase_Data!H82&gt;33),"밖","안"))</x:f>
        <x:v>안</x:v>
      </x:c>
      <x:c r="D82" t="n">
        <x:f>IF(ISBLANK(MiniCase_Data!H82),VLOOKUP(A82,센서로그!$A$2:$C$13,3,FALSE),MiniCase_Data!H82)</x:f>
        <x:v>27.51</x:v>
      </x:c>
      <x:c r="E82" t="n">
        <x:f>IF(AND(MiniCase_Data!C82="야간",MiniCase_Data!F82="M03"),1,0)</x:f>
        <x:v>0</x:v>
      </x:c>
      <x:c r="F82" t="n">
        <x:f>IF(C82="밖",1,0)</x:f>
        <x:v>0</x:v>
      </x:c>
      <x:c r="G82" t="n">
        <x:f>IF(OR(F82=1,E82=1),1,0)</x:f>
        <x:v>0</x:v>
      </x:c>
      <x:c r="H82" t="str">
        <x:f>IF(B82=1,IF(F82=1,"TP","FN"),IF(F82=1,"FP","TN"))</x:f>
        <x:v>TN</x:v>
      </x:c>
      <x:c r="I82" t="str">
        <x:f>IF(B82=1,IF(G82=1,"TP","FN"),IF(G82=1,"FP","TN"))</x:f>
        <x:v>TN</x:v>
      </x:c>
    </x:row>
    <x:row r="83">
      <x:c r="A83" t="str">
        <x:f>MiniCase_Data!A83</x:f>
        <x:v>R00082</x:v>
      </x:c>
      <x:c r="B83" t="n">
        <x:f>IF(MiniCase_Data!O83="불합격",1,0)</x:f>
        <x:v>0</x:v>
      </x:c>
      <x:c r="C83" t="str">
        <x:f>IF(ISBLANK(MiniCase_Data!H83),"missing",IF(OR(MiniCase_Data!H83&lt;27,MiniCase_Data!H83&gt;33),"밖","안"))</x:f>
        <x:v>안</x:v>
      </x:c>
      <x:c r="D83" t="n">
        <x:f>IF(ISBLANK(MiniCase_Data!H83),VLOOKUP(A83,센서로그!$A$2:$C$13,3,FALSE),MiniCase_Data!H83)</x:f>
        <x:v>29.82</x:v>
      </x:c>
      <x:c r="E83" t="n">
        <x:f>IF(AND(MiniCase_Data!C83="야간",MiniCase_Data!F83="M03"),1,0)</x:f>
        <x:v>0</x:v>
      </x:c>
      <x:c r="F83" t="n">
        <x:f>IF(C83="밖",1,0)</x:f>
        <x:v>0</x:v>
      </x:c>
      <x:c r="G83" t="n">
        <x:f>IF(OR(F83=1,E83=1),1,0)</x:f>
        <x:v>0</x:v>
      </x:c>
      <x:c r="H83" t="str">
        <x:f>IF(B83=1,IF(F83=1,"TP","FN"),IF(F83=1,"FP","TN"))</x:f>
        <x:v>TN</x:v>
      </x:c>
      <x:c r="I83" t="str">
        <x:f>IF(B83=1,IF(G83=1,"TP","FN"),IF(G83=1,"FP","TN"))</x:f>
        <x:v>TN</x:v>
      </x:c>
    </x:row>
    <x:row r="84">
      <x:c r="A84" t="str">
        <x:f>MiniCase_Data!A84</x:f>
        <x:v>R00083</x:v>
      </x:c>
      <x:c r="B84" t="n">
        <x:f>IF(MiniCase_Data!O84="불합격",1,0)</x:f>
        <x:v>0</x:v>
      </x:c>
      <x:c r="C84" t="str">
        <x:f>IF(ISBLANK(MiniCase_Data!H84),"missing",IF(OR(MiniCase_Data!H84&lt;27,MiniCase_Data!H84&gt;33),"밖","안"))</x:f>
        <x:v>안</x:v>
      </x:c>
      <x:c r="D84" t="n">
        <x:f>IF(ISBLANK(MiniCase_Data!H84),VLOOKUP(A84,센서로그!$A$2:$C$13,3,FALSE),MiniCase_Data!H84)</x:f>
        <x:v>32.45</x:v>
      </x:c>
      <x:c r="E84" t="n">
        <x:f>IF(AND(MiniCase_Data!C84="야간",MiniCase_Data!F84="M03"),1,0)</x:f>
        <x:v>0</x:v>
      </x:c>
      <x:c r="F84" t="n">
        <x:f>IF(C84="밖",1,0)</x:f>
        <x:v>0</x:v>
      </x:c>
      <x:c r="G84" t="n">
        <x:f>IF(OR(F84=1,E84=1),1,0)</x:f>
        <x:v>0</x:v>
      </x:c>
      <x:c r="H84" t="str">
        <x:f>IF(B84=1,IF(F84=1,"TP","FN"),IF(F84=1,"FP","TN"))</x:f>
        <x:v>TN</x:v>
      </x:c>
      <x:c r="I84" t="str">
        <x:f>IF(B84=1,IF(G84=1,"TP","FN"),IF(G84=1,"FP","TN"))</x:f>
        <x:v>TN</x:v>
      </x:c>
    </x:row>
    <x:row r="85">
      <x:c r="A85" t="str">
        <x:f>MiniCase_Data!A85</x:f>
        <x:v>R00084</x:v>
      </x:c>
      <x:c r="B85" t="n">
        <x:f>IF(MiniCase_Data!O85="불합격",1,0)</x:f>
        <x:v>0</x:v>
      </x:c>
      <x:c r="C85" t="str">
        <x:f>IF(ISBLANK(MiniCase_Data!H85),"missing",IF(OR(MiniCase_Data!H85&lt;27,MiniCase_Data!H85&gt;33),"밖","안"))</x:f>
        <x:v>안</x:v>
      </x:c>
      <x:c r="D85" t="n">
        <x:f>IF(ISBLANK(MiniCase_Data!H85),VLOOKUP(A85,센서로그!$A$2:$C$13,3,FALSE),MiniCase_Data!H85)</x:f>
        <x:v>29.73</x:v>
      </x:c>
      <x:c r="E85" t="n">
        <x:f>IF(AND(MiniCase_Data!C85="야간",MiniCase_Data!F85="M03"),1,0)</x:f>
        <x:v>0</x:v>
      </x:c>
      <x:c r="F85" t="n">
        <x:f>IF(C85="밖",1,0)</x:f>
        <x:v>0</x:v>
      </x:c>
      <x:c r="G85" t="n">
        <x:f>IF(OR(F85=1,E85=1),1,0)</x:f>
        <x:v>0</x:v>
      </x:c>
      <x:c r="H85" t="str">
        <x:f>IF(B85=1,IF(F85=1,"TP","FN"),IF(F85=1,"FP","TN"))</x:f>
        <x:v>TN</x:v>
      </x:c>
      <x:c r="I85" t="str">
        <x:f>IF(B85=1,IF(G85=1,"TP","FN"),IF(G85=1,"FP","TN"))</x:f>
        <x:v>TN</x:v>
      </x:c>
    </x:row>
    <x:row r="86">
      <x:c r="A86" t="str">
        <x:f>MiniCase_Data!A86</x:f>
        <x:v>R00085</x:v>
      </x:c>
      <x:c r="B86" t="n">
        <x:f>IF(MiniCase_Data!O86="불합격",1,0)</x:f>
        <x:v>0</x:v>
      </x:c>
      <x:c r="C86" t="str">
        <x:f>IF(ISBLANK(MiniCase_Data!H86),"missing",IF(OR(MiniCase_Data!H86&lt;27,MiniCase_Data!H86&gt;33),"밖","안"))</x:f>
        <x:v>안</x:v>
      </x:c>
      <x:c r="D86" t="n">
        <x:f>IF(ISBLANK(MiniCase_Data!H86),VLOOKUP(A86,센서로그!$A$2:$C$13,3,FALSE),MiniCase_Data!H86)</x:f>
        <x:v>31.76</x:v>
      </x:c>
      <x:c r="E86" t="n">
        <x:f>IF(AND(MiniCase_Data!C86="야간",MiniCase_Data!F86="M03"),1,0)</x:f>
        <x:v>0</x:v>
      </x:c>
      <x:c r="F86" t="n">
        <x:f>IF(C86="밖",1,0)</x:f>
        <x:v>0</x:v>
      </x:c>
      <x:c r="G86" t="n">
        <x:f>IF(OR(F86=1,E86=1),1,0)</x:f>
        <x:v>0</x:v>
      </x:c>
      <x:c r="H86" t="str">
        <x:f>IF(B86=1,IF(F86=1,"TP","FN"),IF(F86=1,"FP","TN"))</x:f>
        <x:v>TN</x:v>
      </x:c>
      <x:c r="I86" t="str">
        <x:f>IF(B86=1,IF(G86=1,"TP","FN"),IF(G86=1,"FP","TN"))</x:f>
        <x:v>TN</x:v>
      </x:c>
    </x:row>
    <x:row r="87">
      <x:c r="A87" t="str">
        <x:f>MiniCase_Data!A87</x:f>
        <x:v>R00086</x:v>
      </x:c>
      <x:c r="B87" t="n">
        <x:f>IF(MiniCase_Data!O87="불합격",1,0)</x:f>
        <x:v>0</x:v>
      </x:c>
      <x:c r="C87" t="str">
        <x:f>IF(ISBLANK(MiniCase_Data!H87),"missing",IF(OR(MiniCase_Data!H87&lt;27,MiniCase_Data!H87&gt;33),"밖","안"))</x:f>
        <x:v>안</x:v>
      </x:c>
      <x:c r="D87" t="n">
        <x:f>IF(ISBLANK(MiniCase_Data!H87),VLOOKUP(A87,센서로그!$A$2:$C$13,3,FALSE),MiniCase_Data!H87)</x:f>
        <x:v>28.51</x:v>
      </x:c>
      <x:c r="E87" t="n">
        <x:f>IF(AND(MiniCase_Data!C87="야간",MiniCase_Data!F87="M03"),1,0)</x:f>
        <x:v>0</x:v>
      </x:c>
      <x:c r="F87" t="n">
        <x:f>IF(C87="밖",1,0)</x:f>
        <x:v>0</x:v>
      </x:c>
      <x:c r="G87" t="n">
        <x:f>IF(OR(F87=1,E87=1),1,0)</x:f>
        <x:v>0</x:v>
      </x:c>
      <x:c r="H87" t="str">
        <x:f>IF(B87=1,IF(F87=1,"TP","FN"),IF(F87=1,"FP","TN"))</x:f>
        <x:v>TN</x:v>
      </x:c>
      <x:c r="I87" t="str">
        <x:f>IF(B87=1,IF(G87=1,"TP","FN"),IF(G87=1,"FP","TN"))</x:f>
        <x:v>TN</x:v>
      </x:c>
    </x:row>
    <x:row r="88">
      <x:c r="A88" t="str">
        <x:f>MiniCase_Data!A88</x:f>
        <x:v>R00087</x:v>
      </x:c>
      <x:c r="B88" t="n">
        <x:f>IF(MiniCase_Data!O88="불합격",1,0)</x:f>
        <x:v>0</x:v>
      </x:c>
      <x:c r="C88" t="str">
        <x:f>IF(ISBLANK(MiniCase_Data!H88),"missing",IF(OR(MiniCase_Data!H88&lt;27,MiniCase_Data!H88&gt;33),"밖","안"))</x:f>
        <x:v>안</x:v>
      </x:c>
      <x:c r="D88" t="n">
        <x:f>IF(ISBLANK(MiniCase_Data!H88),VLOOKUP(A88,센서로그!$A$2:$C$13,3,FALSE),MiniCase_Data!H88)</x:f>
        <x:v>27.6</x:v>
      </x:c>
      <x:c r="E88" t="n">
        <x:f>IF(AND(MiniCase_Data!C88="야간",MiniCase_Data!F88="M03"),1,0)</x:f>
        <x:v>0</x:v>
      </x:c>
      <x:c r="F88" t="n">
        <x:f>IF(C88="밖",1,0)</x:f>
        <x:v>0</x:v>
      </x:c>
      <x:c r="G88" t="n">
        <x:f>IF(OR(F88=1,E88=1),1,0)</x:f>
        <x:v>0</x:v>
      </x:c>
      <x:c r="H88" t="str">
        <x:f>IF(B88=1,IF(F88=1,"TP","FN"),IF(F88=1,"FP","TN"))</x:f>
        <x:v>TN</x:v>
      </x:c>
      <x:c r="I88" t="str">
        <x:f>IF(B88=1,IF(G88=1,"TP","FN"),IF(G88=1,"FP","TN"))</x:f>
        <x:v>TN</x:v>
      </x:c>
    </x:row>
    <x:row r="89">
      <x:c r="A89" t="str">
        <x:f>MiniCase_Data!A89</x:f>
        <x:v>R00088</x:v>
      </x:c>
      <x:c r="B89" t="n">
        <x:f>IF(MiniCase_Data!O89="불합격",1,0)</x:f>
        <x:v>0</x:v>
      </x:c>
      <x:c r="C89" t="str">
        <x:f>IF(ISBLANK(MiniCase_Data!H89),"missing",IF(OR(MiniCase_Data!H89&lt;27,MiniCase_Data!H89&gt;33),"밖","안"))</x:f>
        <x:v>안</x:v>
      </x:c>
      <x:c r="D89" t="n">
        <x:f>IF(ISBLANK(MiniCase_Data!H89),VLOOKUP(A89,센서로그!$A$2:$C$13,3,FALSE),MiniCase_Data!H89)</x:f>
        <x:v>31.79</x:v>
      </x:c>
      <x:c r="E89" t="n">
        <x:f>IF(AND(MiniCase_Data!C89="야간",MiniCase_Data!F89="M03"),1,0)</x:f>
        <x:v>0</x:v>
      </x:c>
      <x:c r="F89" t="n">
        <x:f>IF(C89="밖",1,0)</x:f>
        <x:v>0</x:v>
      </x:c>
      <x:c r="G89" t="n">
        <x:f>IF(OR(F89=1,E89=1),1,0)</x:f>
        <x:v>0</x:v>
      </x:c>
      <x:c r="H89" t="str">
        <x:f>IF(B89=1,IF(F89=1,"TP","FN"),IF(F89=1,"FP","TN"))</x:f>
        <x:v>TN</x:v>
      </x:c>
      <x:c r="I89" t="str">
        <x:f>IF(B89=1,IF(G89=1,"TP","FN"),IF(G89=1,"FP","TN"))</x:f>
        <x:v>TN</x:v>
      </x:c>
    </x:row>
    <x:row r="90">
      <x:c r="A90" t="str">
        <x:f>MiniCase_Data!A90</x:f>
        <x:v>R00089</x:v>
      </x:c>
      <x:c r="B90" t="n">
        <x:f>IF(MiniCase_Data!O90="불합격",1,0)</x:f>
        <x:v>1</x:v>
      </x:c>
      <x:c r="C90" t="str">
        <x:f>IF(ISBLANK(MiniCase_Data!H90),"missing",IF(OR(MiniCase_Data!H90&lt;27,MiniCase_Data!H90&gt;33),"밖","안"))</x:f>
        <x:v>밖</x:v>
      </x:c>
      <x:c r="D90" t="n">
        <x:f>IF(ISBLANK(MiniCase_Data!H90),VLOOKUP(A90,센서로그!$A$2:$C$13,3,FALSE),MiniCase_Data!H90)</x:f>
        <x:v>33.36</x:v>
      </x:c>
      <x:c r="E90" t="n">
        <x:f>IF(AND(MiniCase_Data!C90="야간",MiniCase_Data!F90="M03"),1,0)</x:f>
        <x:v>0</x:v>
      </x:c>
      <x:c r="F90" t="n">
        <x:f>IF(C90="밖",1,0)</x:f>
        <x:v>1</x:v>
      </x:c>
      <x:c r="G90" t="n">
        <x:f>IF(OR(F90=1,E90=1),1,0)</x:f>
        <x:v>1</x:v>
      </x:c>
      <x:c r="H90" t="str">
        <x:f>IF(B90=1,IF(F90=1,"TP","FN"),IF(F90=1,"FP","TN"))</x:f>
        <x:v>TP</x:v>
      </x:c>
      <x:c r="I90" t="str">
        <x:f>IF(B90=1,IF(G90=1,"TP","FN"),IF(G90=1,"FP","TN"))</x:f>
        <x:v>TP</x:v>
      </x:c>
    </x:row>
    <x:row r="91">
      <x:c r="A91" t="str">
        <x:f>MiniCase_Data!A91</x:f>
        <x:v>R00090</x:v>
      </x:c>
      <x:c r="B91" t="n">
        <x:f>IF(MiniCase_Data!O91="불합격",1,0)</x:f>
        <x:v>0</x:v>
      </x:c>
      <x:c r="C91" t="str">
        <x:f>IF(ISBLANK(MiniCase_Data!H91),"missing",IF(OR(MiniCase_Data!H91&lt;27,MiniCase_Data!H91&gt;33),"밖","안"))</x:f>
        <x:v>안</x:v>
      </x:c>
      <x:c r="D91" t="n">
        <x:f>IF(ISBLANK(MiniCase_Data!H91),VLOOKUP(A91,센서로그!$A$2:$C$13,3,FALSE),MiniCase_Data!H91)</x:f>
        <x:v>28.13</x:v>
      </x:c>
      <x:c r="E91" t="n">
        <x:f>IF(AND(MiniCase_Data!C91="야간",MiniCase_Data!F91="M03"),1,0)</x:f>
        <x:v>0</x:v>
      </x:c>
      <x:c r="F91" t="n">
        <x:f>IF(C91="밖",1,0)</x:f>
        <x:v>0</x:v>
      </x:c>
      <x:c r="G91" t="n">
        <x:f>IF(OR(F91=1,E91=1),1,0)</x:f>
        <x:v>0</x:v>
      </x:c>
      <x:c r="H91" t="str">
        <x:f>IF(B91=1,IF(F91=1,"TP","FN"),IF(F91=1,"FP","TN"))</x:f>
        <x:v>TN</x:v>
      </x:c>
      <x:c r="I91" t="str">
        <x:f>IF(B91=1,IF(G91=1,"TP","FN"),IF(G91=1,"FP","TN"))</x:f>
        <x:v>TN</x:v>
      </x:c>
    </x:row>
    <x:row r="92">
      <x:c r="A92" t="str">
        <x:f>MiniCase_Data!A92</x:f>
        <x:v>R00091</x:v>
      </x:c>
      <x:c r="B92" t="n">
        <x:f>IF(MiniCase_Data!O92="불합격",1,0)</x:f>
        <x:v>0</x:v>
      </x:c>
      <x:c r="C92" t="str">
        <x:f>IF(ISBLANK(MiniCase_Data!H92),"missing",IF(OR(MiniCase_Data!H92&lt;27,MiniCase_Data!H92&gt;33),"밖","안"))</x:f>
        <x:v>안</x:v>
      </x:c>
      <x:c r="D92" t="n">
        <x:f>IF(ISBLANK(MiniCase_Data!H92),VLOOKUP(A92,센서로그!$A$2:$C$13,3,FALSE),MiniCase_Data!H92)</x:f>
        <x:v>28.19</x:v>
      </x:c>
      <x:c r="E92" t="n">
        <x:f>IF(AND(MiniCase_Data!C92="야간",MiniCase_Data!F92="M03"),1,0)</x:f>
        <x:v>0</x:v>
      </x:c>
      <x:c r="F92" t="n">
        <x:f>IF(C92="밖",1,0)</x:f>
        <x:v>0</x:v>
      </x:c>
      <x:c r="G92" t="n">
        <x:f>IF(OR(F92=1,E92=1),1,0)</x:f>
        <x:v>0</x:v>
      </x:c>
      <x:c r="H92" t="str">
        <x:f>IF(B92=1,IF(F92=1,"TP","FN"),IF(F92=1,"FP","TN"))</x:f>
        <x:v>TN</x:v>
      </x:c>
      <x:c r="I92" t="str">
        <x:f>IF(B92=1,IF(G92=1,"TP","FN"),IF(G92=1,"FP","TN"))</x:f>
        <x:v>TN</x:v>
      </x:c>
    </x:row>
    <x:row r="93">
      <x:c r="A93" t="str">
        <x:f>MiniCase_Data!A93</x:f>
        <x:v>R00092</x:v>
      </x:c>
      <x:c r="B93" t="n">
        <x:f>IF(MiniCase_Data!O93="불합격",1,0)</x:f>
        <x:v>1</x:v>
      </x:c>
      <x:c r="C93" t="str">
        <x:f>IF(ISBLANK(MiniCase_Data!H93),"missing",IF(OR(MiniCase_Data!H93&lt;27,MiniCase_Data!H93&gt;33),"밖","안"))</x:f>
        <x:v>안</x:v>
      </x:c>
      <x:c r="D93" t="n">
        <x:f>IF(ISBLANK(MiniCase_Data!H93),VLOOKUP(A93,센서로그!$A$2:$C$13,3,FALSE),MiniCase_Data!H93)</x:f>
        <x:v>27.23</x:v>
      </x:c>
      <x:c r="E93" t="n">
        <x:f>IF(AND(MiniCase_Data!C93="야간",MiniCase_Data!F93="M03"),1,0)</x:f>
        <x:v>1</x:v>
      </x:c>
      <x:c r="F93" t="n">
        <x:f>IF(C93="밖",1,0)</x:f>
        <x:v>0</x:v>
      </x:c>
      <x:c r="G93" t="n">
        <x:f>IF(OR(F93=1,E93=1),1,0)</x:f>
        <x:v>1</x:v>
      </x:c>
      <x:c r="H93" t="str">
        <x:f>IF(B93=1,IF(F93=1,"TP","FN"),IF(F93=1,"FP","TN"))</x:f>
        <x:v>FN</x:v>
      </x:c>
      <x:c r="I93" t="str">
        <x:f>IF(B93=1,IF(G93=1,"TP","FN"),IF(G93=1,"FP","TN"))</x:f>
        <x:v>TP</x:v>
      </x:c>
    </x:row>
    <x:row r="94">
      <x:c r="A94" t="str">
        <x:f>MiniCase_Data!A94</x:f>
        <x:v>R00093</x:v>
      </x:c>
      <x:c r="B94" t="n">
        <x:f>IF(MiniCase_Data!O94="불합격",1,0)</x:f>
        <x:v>0</x:v>
      </x:c>
      <x:c r="C94" t="str">
        <x:f>IF(ISBLANK(MiniCase_Data!H94),"missing",IF(OR(MiniCase_Data!H94&lt;27,MiniCase_Data!H94&gt;33),"밖","안"))</x:f>
        <x:v>밖</x:v>
      </x:c>
      <x:c r="D94" t="n">
        <x:f>IF(ISBLANK(MiniCase_Data!H94),VLOOKUP(A94,센서로그!$A$2:$C$13,3,FALSE),MiniCase_Data!H94)</x:f>
        <x:v>33.79</x:v>
      </x:c>
      <x:c r="E94" t="n">
        <x:f>IF(AND(MiniCase_Data!C94="야간",MiniCase_Data!F94="M03"),1,0)</x:f>
        <x:v>1</x:v>
      </x:c>
      <x:c r="F94" t="n">
        <x:f>IF(C94="밖",1,0)</x:f>
        <x:v>1</x:v>
      </x:c>
      <x:c r="G94" t="n">
        <x:f>IF(OR(F94=1,E94=1),1,0)</x:f>
        <x:v>1</x:v>
      </x:c>
      <x:c r="H94" t="str">
        <x:f>IF(B94=1,IF(F94=1,"TP","FN"),IF(F94=1,"FP","TN"))</x:f>
        <x:v>FP</x:v>
      </x:c>
      <x:c r="I94" t="str">
        <x:f>IF(B94=1,IF(G94=1,"TP","FN"),IF(G94=1,"FP","TN"))</x:f>
        <x:v>FP</x:v>
      </x:c>
    </x:row>
    <x:row r="95">
      <x:c r="A95" t="str">
        <x:f>MiniCase_Data!A95</x:f>
        <x:v>R00094</x:v>
      </x:c>
      <x:c r="B95" t="n">
        <x:f>IF(MiniCase_Data!O95="불합격",1,0)</x:f>
        <x:v>0</x:v>
      </x:c>
      <x:c r="C95" t="str">
        <x:f>IF(ISBLANK(MiniCase_Data!H95),"missing",IF(OR(MiniCase_Data!H95&lt;27,MiniCase_Data!H95&gt;33),"밖","안"))</x:f>
        <x:v>안</x:v>
      </x:c>
      <x:c r="D95" t="n">
        <x:f>IF(ISBLANK(MiniCase_Data!H95),VLOOKUP(A95,센서로그!$A$2:$C$13,3,FALSE),MiniCase_Data!H95)</x:f>
        <x:v>28.51</x:v>
      </x:c>
      <x:c r="E95" t="n">
        <x:f>IF(AND(MiniCase_Data!C95="야간",MiniCase_Data!F95="M03"),1,0)</x:f>
        <x:v>0</x:v>
      </x:c>
      <x:c r="F95" t="n">
        <x:f>IF(C95="밖",1,0)</x:f>
        <x:v>0</x:v>
      </x:c>
      <x:c r="G95" t="n">
        <x:f>IF(OR(F95=1,E95=1),1,0)</x:f>
        <x:v>0</x:v>
      </x:c>
      <x:c r="H95" t="str">
        <x:f>IF(B95=1,IF(F95=1,"TP","FN"),IF(F95=1,"FP","TN"))</x:f>
        <x:v>TN</x:v>
      </x:c>
      <x:c r="I95" t="str">
        <x:f>IF(B95=1,IF(G95=1,"TP","FN"),IF(G95=1,"FP","TN"))</x:f>
        <x:v>TN</x:v>
      </x:c>
    </x:row>
    <x:row r="96">
      <x:c r="A96" t="str">
        <x:f>MiniCase_Data!A96</x:f>
        <x:v>R00095</x:v>
      </x:c>
      <x:c r="B96" t="n">
        <x:f>IF(MiniCase_Data!O96="불합격",1,0)</x:f>
        <x:v>0</x:v>
      </x:c>
      <x:c r="C96" t="str">
        <x:f>IF(ISBLANK(MiniCase_Data!H96),"missing",IF(OR(MiniCase_Data!H96&lt;27,MiniCase_Data!H96&gt;33),"밖","안"))</x:f>
        <x:v>안</x:v>
      </x:c>
      <x:c r="D96" t="n">
        <x:f>IF(ISBLANK(MiniCase_Data!H96),VLOOKUP(A96,센서로그!$A$2:$C$13,3,FALSE),MiniCase_Data!H96)</x:f>
        <x:v>32.7</x:v>
      </x:c>
      <x:c r="E96" t="n">
        <x:f>IF(AND(MiniCase_Data!C96="야간",MiniCase_Data!F96="M03"),1,0)</x:f>
        <x:v>0</x:v>
      </x:c>
      <x:c r="F96" t="n">
        <x:f>IF(C96="밖",1,0)</x:f>
        <x:v>0</x:v>
      </x:c>
      <x:c r="G96" t="n">
        <x:f>IF(OR(F96=1,E96=1),1,0)</x:f>
        <x:v>0</x:v>
      </x:c>
      <x:c r="H96" t="str">
        <x:f>IF(B96=1,IF(F96=1,"TP","FN"),IF(F96=1,"FP","TN"))</x:f>
        <x:v>TN</x:v>
      </x:c>
      <x:c r="I96" t="str">
        <x:f>IF(B96=1,IF(G96=1,"TP","FN"),IF(G96=1,"FP","TN"))</x:f>
        <x:v>TN</x:v>
      </x:c>
    </x:row>
    <x:row r="97">
      <x:c r="A97" t="str">
        <x:f>MiniCase_Data!A97</x:f>
        <x:v>R00096</x:v>
      </x:c>
      <x:c r="B97" t="n">
        <x:f>IF(MiniCase_Data!O97="불합격",1,0)</x:f>
        <x:v>0</x:v>
      </x:c>
      <x:c r="C97" t="str">
        <x:f>IF(ISBLANK(MiniCase_Data!H97),"missing",IF(OR(MiniCase_Data!H97&lt;27,MiniCase_Data!H97&gt;33),"밖","안"))</x:f>
        <x:v>밖</x:v>
      </x:c>
      <x:c r="D97" t="n">
        <x:f>IF(ISBLANK(MiniCase_Data!H97),VLOOKUP(A97,센서로그!$A$2:$C$13,3,FALSE),MiniCase_Data!H97)</x:f>
        <x:v>25.93</x:v>
      </x:c>
      <x:c r="E97" t="n">
        <x:f>IF(AND(MiniCase_Data!C97="야간",MiniCase_Data!F97="M03"),1,0)</x:f>
        <x:v>1</x:v>
      </x:c>
      <x:c r="F97" t="n">
        <x:f>IF(C97="밖",1,0)</x:f>
        <x:v>1</x:v>
      </x:c>
      <x:c r="G97" t="n">
        <x:f>IF(OR(F97=1,E97=1),1,0)</x:f>
        <x:v>1</x:v>
      </x:c>
      <x:c r="H97" t="str">
        <x:f>IF(B97=1,IF(F97=1,"TP","FN"),IF(F97=1,"FP","TN"))</x:f>
        <x:v>FP</x:v>
      </x:c>
      <x:c r="I97" t="str">
        <x:f>IF(B97=1,IF(G97=1,"TP","FN"),IF(G97=1,"FP","TN"))</x:f>
        <x:v>FP</x:v>
      </x:c>
    </x:row>
    <x:row r="98">
      <x:c r="A98" t="str">
        <x:f>MiniCase_Data!A98</x:f>
        <x:v>R00097</x:v>
      </x:c>
      <x:c r="B98" t="n">
        <x:f>IF(MiniCase_Data!O98="불합격",1,0)</x:f>
        <x:v>1</x:v>
      </x:c>
      <x:c r="C98" t="str">
        <x:f>IF(ISBLANK(MiniCase_Data!H98),"missing",IF(OR(MiniCase_Data!H98&lt;27,MiniCase_Data!H98&gt;33),"밖","안"))</x:f>
        <x:v>밖</x:v>
      </x:c>
      <x:c r="D98" t="n">
        <x:f>IF(ISBLANK(MiniCase_Data!H98),VLOOKUP(A98,센서로그!$A$2:$C$13,3,FALSE),MiniCase_Data!H98)</x:f>
        <x:v>34.06</x:v>
      </x:c>
      <x:c r="E98" t="n">
        <x:f>IF(AND(MiniCase_Data!C98="야간",MiniCase_Data!F98="M03"),1,0)</x:f>
        <x:v>0</x:v>
      </x:c>
      <x:c r="F98" t="n">
        <x:f>IF(C98="밖",1,0)</x:f>
        <x:v>1</x:v>
      </x:c>
      <x:c r="G98" t="n">
        <x:f>IF(OR(F98=1,E98=1),1,0)</x:f>
        <x:v>1</x:v>
      </x:c>
      <x:c r="H98" t="str">
        <x:f>IF(B98=1,IF(F98=1,"TP","FN"),IF(F98=1,"FP","TN"))</x:f>
        <x:v>TP</x:v>
      </x:c>
      <x:c r="I98" t="str">
        <x:f>IF(B98=1,IF(G98=1,"TP","FN"),IF(G98=1,"FP","TN"))</x:f>
        <x:v>TP</x:v>
      </x:c>
    </x:row>
    <x:row r="99">
      <x:c r="A99" t="str">
        <x:f>MiniCase_Data!A99</x:f>
        <x:v>R00098</x:v>
      </x:c>
      <x:c r="B99" t="n">
        <x:f>IF(MiniCase_Data!O99="불합격",1,0)</x:f>
        <x:v>0</x:v>
      </x:c>
      <x:c r="C99" t="str">
        <x:f>IF(ISBLANK(MiniCase_Data!H99),"missing",IF(OR(MiniCase_Data!H99&lt;27,MiniCase_Data!H99&gt;33),"밖","안"))</x:f>
        <x:v>안</x:v>
      </x:c>
      <x:c r="D99" t="n">
        <x:f>IF(ISBLANK(MiniCase_Data!H99),VLOOKUP(A99,센서로그!$A$2:$C$13,3,FALSE),MiniCase_Data!H99)</x:f>
        <x:v>29.58</x:v>
      </x:c>
      <x:c r="E99" t="n">
        <x:f>IF(AND(MiniCase_Data!C99="야간",MiniCase_Data!F99="M03"),1,0)</x:f>
        <x:v>0</x:v>
      </x:c>
      <x:c r="F99" t="n">
        <x:f>IF(C99="밖",1,0)</x:f>
        <x:v>0</x:v>
      </x:c>
      <x:c r="G99" t="n">
        <x:f>IF(OR(F99=1,E99=1),1,0)</x:f>
        <x:v>0</x:v>
      </x:c>
      <x:c r="H99" t="str">
        <x:f>IF(B99=1,IF(F99=1,"TP","FN"),IF(F99=1,"FP","TN"))</x:f>
        <x:v>TN</x:v>
      </x:c>
      <x:c r="I99" t="str">
        <x:f>IF(B99=1,IF(G99=1,"TP","FN"),IF(G99=1,"FP","TN"))</x:f>
        <x:v>TN</x:v>
      </x:c>
    </x:row>
    <x:row r="100">
      <x:c r="A100" t="str">
        <x:f>MiniCase_Data!A100</x:f>
        <x:v>R00099</x:v>
      </x:c>
      <x:c r="B100" t="n">
        <x:f>IF(MiniCase_Data!O100="불합격",1,0)</x:f>
        <x:v>0</x:v>
      </x:c>
      <x:c r="C100" t="str">
        <x:f>IF(ISBLANK(MiniCase_Data!H100),"missing",IF(OR(MiniCase_Data!H100&lt;27,MiniCase_Data!H100&gt;33),"밖","안"))</x:f>
        <x:v>안</x:v>
      </x:c>
      <x:c r="D100" t="n">
        <x:f>IF(ISBLANK(MiniCase_Data!H100),VLOOKUP(A100,센서로그!$A$2:$C$13,3,FALSE),MiniCase_Data!H100)</x:f>
        <x:v>30.13</x:v>
      </x:c>
      <x:c r="E100" t="n">
        <x:f>IF(AND(MiniCase_Data!C100="야간",MiniCase_Data!F100="M03"),1,0)</x:f>
        <x:v>0</x:v>
      </x:c>
      <x:c r="F100" t="n">
        <x:f>IF(C100="밖",1,0)</x:f>
        <x:v>0</x:v>
      </x:c>
      <x:c r="G100" t="n">
        <x:f>IF(OR(F100=1,E100=1),1,0)</x:f>
        <x:v>0</x:v>
      </x:c>
      <x:c r="H100" t="str">
        <x:f>IF(B100=1,IF(F100=1,"TP","FN"),IF(F100=1,"FP","TN"))</x:f>
        <x:v>TN</x:v>
      </x:c>
      <x:c r="I100" t="str">
        <x:f>IF(B100=1,IF(G100=1,"TP","FN"),IF(G100=1,"FP","TN"))</x:f>
        <x:v>TN</x:v>
      </x:c>
    </x:row>
    <x:row r="101">
      <x:c r="A101" t="str">
        <x:f>MiniCase_Data!A101</x:f>
        <x:v>R00100</x:v>
      </x:c>
      <x:c r="B101" t="n">
        <x:f>IF(MiniCase_Data!O101="불합격",1,0)</x:f>
        <x:v>1</x:v>
      </x:c>
      <x:c r="C101" t="str">
        <x:f>IF(ISBLANK(MiniCase_Data!H101),"missing",IF(OR(MiniCase_Data!H101&lt;27,MiniCase_Data!H101&gt;33),"밖","안"))</x:f>
        <x:v>안</x:v>
      </x:c>
      <x:c r="D101" t="n">
        <x:f>IF(ISBLANK(MiniCase_Data!H101),VLOOKUP(A101,센서로그!$A$2:$C$13,3,FALSE),MiniCase_Data!H101)</x:f>
        <x:v>27.4</x:v>
      </x:c>
      <x:c r="E101" t="n">
        <x:f>IF(AND(MiniCase_Data!C101="야간",MiniCase_Data!F101="M03"),1,0)</x:f>
        <x:v>1</x:v>
      </x:c>
      <x:c r="F101" t="n">
        <x:f>IF(C101="밖",1,0)</x:f>
        <x:v>0</x:v>
      </x:c>
      <x:c r="G101" t="n">
        <x:f>IF(OR(F101=1,E101=1),1,0)</x:f>
        <x:v>1</x:v>
      </x:c>
      <x:c r="H101" t="str">
        <x:f>IF(B101=1,IF(F101=1,"TP","FN"),IF(F101=1,"FP","TN"))</x:f>
        <x:v>FN</x:v>
      </x:c>
      <x:c r="I101" t="str">
        <x:f>IF(B101=1,IF(G101=1,"TP","FN"),IF(G101=1,"FP","TN"))</x:f>
        <x:v>TP</x:v>
      </x:c>
    </x:row>
    <x:row r="102">
      <x:c r="A102" t="str">
        <x:f>MiniCase_Data!A102</x:f>
        <x:v>R00101</x:v>
      </x:c>
      <x:c r="B102" t="n">
        <x:f>IF(MiniCase_Data!O102="불합격",1,0)</x:f>
        <x:v>1</x:v>
      </x:c>
      <x:c r="C102" t="str">
        <x:f>IF(ISBLANK(MiniCase_Data!H102),"missing",IF(OR(MiniCase_Data!H102&lt;27,MiniCase_Data!H102&gt;33),"밖","안"))</x:f>
        <x:v>안</x:v>
      </x:c>
      <x:c r="D102" t="n">
        <x:f>IF(ISBLANK(MiniCase_Data!H102),VLOOKUP(A102,센서로그!$A$2:$C$13,3,FALSE),MiniCase_Data!H102)</x:f>
        <x:v>32.37</x:v>
      </x:c>
      <x:c r="E102" t="n">
        <x:f>IF(AND(MiniCase_Data!C102="야간",MiniCase_Data!F102="M03"),1,0)</x:f>
        <x:v>0</x:v>
      </x:c>
      <x:c r="F102" t="n">
        <x:f>IF(C102="밖",1,0)</x:f>
        <x:v>0</x:v>
      </x:c>
      <x:c r="G102" t="n">
        <x:f>IF(OR(F102=1,E102=1),1,0)</x:f>
        <x:v>0</x:v>
      </x:c>
      <x:c r="H102" t="str">
        <x:f>IF(B102=1,IF(F102=1,"TP","FN"),IF(F102=1,"FP","TN"))</x:f>
        <x:v>FN</x:v>
      </x:c>
      <x:c r="I102" t="str">
        <x:f>IF(B102=1,IF(G102=1,"TP","FN"),IF(G102=1,"FP","TN"))</x:f>
        <x:v>FN</x:v>
      </x:c>
    </x:row>
    <x:row r="103">
      <x:c r="A103" t="str">
        <x:f>MiniCase_Data!A103</x:f>
        <x:v>R00102</x:v>
      </x:c>
      <x:c r="B103" t="n">
        <x:f>IF(MiniCase_Data!O103="불합격",1,0)</x:f>
        <x:v>0</x:v>
      </x:c>
      <x:c r="C103" t="str">
        <x:f>IF(ISBLANK(MiniCase_Data!H103),"missing",IF(OR(MiniCase_Data!H103&lt;27,MiniCase_Data!H103&gt;33),"밖","안"))</x:f>
        <x:v>안</x:v>
      </x:c>
      <x:c r="D103" t="n">
        <x:f>IF(ISBLANK(MiniCase_Data!H103),VLOOKUP(A103,센서로그!$A$2:$C$13,3,FALSE),MiniCase_Data!H103)</x:f>
        <x:v>28.81</x:v>
      </x:c>
      <x:c r="E103" t="n">
        <x:f>IF(AND(MiniCase_Data!C103="야간",MiniCase_Data!F103="M03"),1,0)</x:f>
        <x:v>0</x:v>
      </x:c>
      <x:c r="F103" t="n">
        <x:f>IF(C103="밖",1,0)</x:f>
        <x:v>0</x:v>
      </x:c>
      <x:c r="G103" t="n">
        <x:f>IF(OR(F103=1,E103=1),1,0)</x:f>
        <x:v>0</x:v>
      </x:c>
      <x:c r="H103" t="str">
        <x:f>IF(B103=1,IF(F103=1,"TP","FN"),IF(F103=1,"FP","TN"))</x:f>
        <x:v>TN</x:v>
      </x:c>
      <x:c r="I103" t="str">
        <x:f>IF(B103=1,IF(G103=1,"TP","FN"),IF(G103=1,"FP","TN"))</x:f>
        <x:v>TN</x:v>
      </x:c>
    </x:row>
    <x:row r="104">
      <x:c r="A104" t="str">
        <x:f>MiniCase_Data!A104</x:f>
        <x:v>R00103</x:v>
      </x:c>
      <x:c r="B104" t="n">
        <x:f>IF(MiniCase_Data!O104="불합격",1,0)</x:f>
        <x:v>0</x:v>
      </x:c>
      <x:c r="C104" t="str">
        <x:f>IF(ISBLANK(MiniCase_Data!H104),"missing",IF(OR(MiniCase_Data!H104&lt;27,MiniCase_Data!H104&gt;33),"밖","안"))</x:f>
        <x:v>안</x:v>
      </x:c>
      <x:c r="D104" t="n">
        <x:f>IF(ISBLANK(MiniCase_Data!H104),VLOOKUP(A104,센서로그!$A$2:$C$13,3,FALSE),MiniCase_Data!H104)</x:f>
        <x:v>32.67</x:v>
      </x:c>
      <x:c r="E104" t="n">
        <x:f>IF(AND(MiniCase_Data!C104="야간",MiniCase_Data!F104="M03"),1,0)</x:f>
        <x:v>0</x:v>
      </x:c>
      <x:c r="F104" t="n">
        <x:f>IF(C104="밖",1,0)</x:f>
        <x:v>0</x:v>
      </x:c>
      <x:c r="G104" t="n">
        <x:f>IF(OR(F104=1,E104=1),1,0)</x:f>
        <x:v>0</x:v>
      </x:c>
      <x:c r="H104" t="str">
        <x:f>IF(B104=1,IF(F104=1,"TP","FN"),IF(F104=1,"FP","TN"))</x:f>
        <x:v>TN</x:v>
      </x:c>
      <x:c r="I104" t="str">
        <x:f>IF(B104=1,IF(G104=1,"TP","FN"),IF(G104=1,"FP","TN"))</x:f>
        <x:v>TN</x:v>
      </x:c>
    </x:row>
    <x:row r="105">
      <x:c r="A105" t="str">
        <x:f>MiniCase_Data!A105</x:f>
        <x:v>R00104</x:v>
      </x:c>
      <x:c r="B105" t="n">
        <x:f>IF(MiniCase_Data!O105="불합격",1,0)</x:f>
        <x:v>0</x:v>
      </x:c>
      <x:c r="C105" t="str">
        <x:f>IF(ISBLANK(MiniCase_Data!H105),"missing",IF(OR(MiniCase_Data!H105&lt;27,MiniCase_Data!H105&gt;33),"밖","안"))</x:f>
        <x:v>안</x:v>
      </x:c>
      <x:c r="D105" t="n">
        <x:f>IF(ISBLANK(MiniCase_Data!H105),VLOOKUP(A105,센서로그!$A$2:$C$13,3,FALSE),MiniCase_Data!H105)</x:f>
        <x:v>31.4</x:v>
      </x:c>
      <x:c r="E105" t="n">
        <x:f>IF(AND(MiniCase_Data!C105="야간",MiniCase_Data!F105="M03"),1,0)</x:f>
        <x:v>0</x:v>
      </x:c>
      <x:c r="F105" t="n">
        <x:f>IF(C105="밖",1,0)</x:f>
        <x:v>0</x:v>
      </x:c>
      <x:c r="G105" t="n">
        <x:f>IF(OR(F105=1,E105=1),1,0)</x:f>
        <x:v>0</x:v>
      </x:c>
      <x:c r="H105" t="str">
        <x:f>IF(B105=1,IF(F105=1,"TP","FN"),IF(F105=1,"FP","TN"))</x:f>
        <x:v>TN</x:v>
      </x:c>
      <x:c r="I105" t="str">
        <x:f>IF(B105=1,IF(G105=1,"TP","FN"),IF(G105=1,"FP","TN"))</x:f>
        <x:v>TN</x:v>
      </x:c>
    </x:row>
    <x:row r="106">
      <x:c r="A106" t="str">
        <x:f>MiniCase_Data!A106</x:f>
        <x:v>R00105</x:v>
      </x:c>
      <x:c r="B106" t="n">
        <x:f>IF(MiniCase_Data!O106="불합격",1,0)</x:f>
        <x:v>0</x:v>
      </x:c>
      <x:c r="C106" t="str">
        <x:f>IF(ISBLANK(MiniCase_Data!H106),"missing",IF(OR(MiniCase_Data!H106&lt;27,MiniCase_Data!H106&gt;33),"밖","안"))</x:f>
        <x:v>안</x:v>
      </x:c>
      <x:c r="D106" t="n">
        <x:f>IF(ISBLANK(MiniCase_Data!H106),VLOOKUP(A106,센서로그!$A$2:$C$13,3,FALSE),MiniCase_Data!H106)</x:f>
        <x:v>32.4</x:v>
      </x:c>
      <x:c r="E106" t="n">
        <x:f>IF(AND(MiniCase_Data!C106="야간",MiniCase_Data!F106="M03"),1,0)</x:f>
        <x:v>0</x:v>
      </x:c>
      <x:c r="F106" t="n">
        <x:f>IF(C106="밖",1,0)</x:f>
        <x:v>0</x:v>
      </x:c>
      <x:c r="G106" t="n">
        <x:f>IF(OR(F106=1,E106=1),1,0)</x:f>
        <x:v>0</x:v>
      </x:c>
      <x:c r="H106" t="str">
        <x:f>IF(B106=1,IF(F106=1,"TP","FN"),IF(F106=1,"FP","TN"))</x:f>
        <x:v>TN</x:v>
      </x:c>
      <x:c r="I106" t="str">
        <x:f>IF(B106=1,IF(G106=1,"TP","FN"),IF(G106=1,"FP","TN"))</x:f>
        <x:v>TN</x:v>
      </x:c>
    </x:row>
    <x:row r="107">
      <x:c r="A107" t="str">
        <x:f>MiniCase_Data!A107</x:f>
        <x:v>R00106</x:v>
      </x:c>
      <x:c r="B107" t="n">
        <x:f>IF(MiniCase_Data!O107="불합격",1,0)</x:f>
        <x:v>0</x:v>
      </x:c>
      <x:c r="C107" t="str">
        <x:f>IF(ISBLANK(MiniCase_Data!H107),"missing",IF(OR(MiniCase_Data!H107&lt;27,MiniCase_Data!H107&gt;33),"밖","안"))</x:f>
        <x:v>안</x:v>
      </x:c>
      <x:c r="D107" t="n">
        <x:f>IF(ISBLANK(MiniCase_Data!H107),VLOOKUP(A107,센서로그!$A$2:$C$13,3,FALSE),MiniCase_Data!H107)</x:f>
        <x:v>30.34</x:v>
      </x:c>
      <x:c r="E107" t="n">
        <x:f>IF(AND(MiniCase_Data!C107="야간",MiniCase_Data!F107="M03"),1,0)</x:f>
        <x:v>0</x:v>
      </x:c>
      <x:c r="F107" t="n">
        <x:f>IF(C107="밖",1,0)</x:f>
        <x:v>0</x:v>
      </x:c>
      <x:c r="G107" t="n">
        <x:f>IF(OR(F107=1,E107=1),1,0)</x:f>
        <x:v>0</x:v>
      </x:c>
      <x:c r="H107" t="str">
        <x:f>IF(B107=1,IF(F107=1,"TP","FN"),IF(F107=1,"FP","TN"))</x:f>
        <x:v>TN</x:v>
      </x:c>
      <x:c r="I107" t="str">
        <x:f>IF(B107=1,IF(G107=1,"TP","FN"),IF(G107=1,"FP","TN"))</x:f>
        <x:v>TN</x:v>
      </x:c>
    </x:row>
    <x:row r="108">
      <x:c r="A108" t="str">
        <x:f>MiniCase_Data!A108</x:f>
        <x:v>R00107</x:v>
      </x:c>
      <x:c r="B108" t="n">
        <x:f>IF(MiniCase_Data!O108="불합격",1,0)</x:f>
        <x:v>0</x:v>
      </x:c>
      <x:c r="C108" t="str">
        <x:f>IF(ISBLANK(MiniCase_Data!H108),"missing",IF(OR(MiniCase_Data!H108&lt;27,MiniCase_Data!H108&gt;33),"밖","안"))</x:f>
        <x:v>안</x:v>
      </x:c>
      <x:c r="D108" t="n">
        <x:f>IF(ISBLANK(MiniCase_Data!H108),VLOOKUP(A108,센서로그!$A$2:$C$13,3,FALSE),MiniCase_Data!H108)</x:f>
        <x:v>30.98</x:v>
      </x:c>
      <x:c r="E108" t="n">
        <x:f>IF(AND(MiniCase_Data!C108="야간",MiniCase_Data!F108="M03"),1,0)</x:f>
        <x:v>0</x:v>
      </x:c>
      <x:c r="F108" t="n">
        <x:f>IF(C108="밖",1,0)</x:f>
        <x:v>0</x:v>
      </x:c>
      <x:c r="G108" t="n">
        <x:f>IF(OR(F108=1,E108=1),1,0)</x:f>
        <x:v>0</x:v>
      </x:c>
      <x:c r="H108" t="str">
        <x:f>IF(B108=1,IF(F108=1,"TP","FN"),IF(F108=1,"FP","TN"))</x:f>
        <x:v>TN</x:v>
      </x:c>
      <x:c r="I108" t="str">
        <x:f>IF(B108=1,IF(G108=1,"TP","FN"),IF(G108=1,"FP","TN"))</x:f>
        <x:v>TN</x:v>
      </x:c>
    </x:row>
    <x:row r="109">
      <x:c r="A109" t="str">
        <x:f>MiniCase_Data!A109</x:f>
        <x:v>R00108</x:v>
      </x:c>
      <x:c r="B109" t="n">
        <x:f>IF(MiniCase_Data!O109="불합격",1,0)</x:f>
        <x:v>0</x:v>
      </x:c>
      <x:c r="C109" t="str">
        <x:f>IF(ISBLANK(MiniCase_Data!H109),"missing",IF(OR(MiniCase_Data!H109&lt;27,MiniCase_Data!H109&gt;33),"밖","안"))</x:f>
        <x:v>안</x:v>
      </x:c>
      <x:c r="D109" t="n">
        <x:f>IF(ISBLANK(MiniCase_Data!H109),VLOOKUP(A109,센서로그!$A$2:$C$13,3,FALSE),MiniCase_Data!H109)</x:f>
        <x:v>27.37</x:v>
      </x:c>
      <x:c r="E109" t="n">
        <x:f>IF(AND(MiniCase_Data!C109="야간",MiniCase_Data!F109="M03"),1,0)</x:f>
        <x:v>0</x:v>
      </x:c>
      <x:c r="F109" t="n">
        <x:f>IF(C109="밖",1,0)</x:f>
        <x:v>0</x:v>
      </x:c>
      <x:c r="G109" t="n">
        <x:f>IF(OR(F109=1,E109=1),1,0)</x:f>
        <x:v>0</x:v>
      </x:c>
      <x:c r="H109" t="str">
        <x:f>IF(B109=1,IF(F109=1,"TP","FN"),IF(F109=1,"FP","TN"))</x:f>
        <x:v>TN</x:v>
      </x:c>
      <x:c r="I109" t="str">
        <x:f>IF(B109=1,IF(G109=1,"TP","FN"),IF(G109=1,"FP","TN"))</x:f>
        <x:v>TN</x:v>
      </x:c>
    </x:row>
    <x:row r="110">
      <x:c r="A110" t="str">
        <x:f>MiniCase_Data!A110</x:f>
        <x:v>R00109</x:v>
      </x:c>
      <x:c r="B110" t="n">
        <x:f>IF(MiniCase_Data!O110="불합격",1,0)</x:f>
        <x:v>0</x:v>
      </x:c>
      <x:c r="C110" t="str">
        <x:f>IF(ISBLANK(MiniCase_Data!H110),"missing",IF(OR(MiniCase_Data!H110&lt;27,MiniCase_Data!H110&gt;33),"밖","안"))</x:f>
        <x:v>안</x:v>
      </x:c>
      <x:c r="D110" t="n">
        <x:f>IF(ISBLANK(MiniCase_Data!H110),VLOOKUP(A110,센서로그!$A$2:$C$13,3,FALSE),MiniCase_Data!H110)</x:f>
        <x:v>28.15</x:v>
      </x:c>
      <x:c r="E110" t="n">
        <x:f>IF(AND(MiniCase_Data!C110="야간",MiniCase_Data!F110="M03"),1,0)</x:f>
        <x:v>0</x:v>
      </x:c>
      <x:c r="F110" t="n">
        <x:f>IF(C110="밖",1,0)</x:f>
        <x:v>0</x:v>
      </x:c>
      <x:c r="G110" t="n">
        <x:f>IF(OR(F110=1,E110=1),1,0)</x:f>
        <x:v>0</x:v>
      </x:c>
      <x:c r="H110" t="str">
        <x:f>IF(B110=1,IF(F110=1,"TP","FN"),IF(F110=1,"FP","TN"))</x:f>
        <x:v>TN</x:v>
      </x:c>
      <x:c r="I110" t="str">
        <x:f>IF(B110=1,IF(G110=1,"TP","FN"),IF(G110=1,"FP","TN"))</x:f>
        <x:v>TN</x:v>
      </x:c>
    </x:row>
    <x:row r="111">
      <x:c r="A111" t="str">
        <x:f>MiniCase_Data!A111</x:f>
        <x:v>R00110</x:v>
      </x:c>
      <x:c r="B111" t="n">
        <x:f>IF(MiniCase_Data!O111="불합격",1,0)</x:f>
        <x:v>0</x:v>
      </x:c>
      <x:c r="C111" t="str">
        <x:f>IF(ISBLANK(MiniCase_Data!H111),"missing",IF(OR(MiniCase_Data!H111&lt;27,MiniCase_Data!H111&gt;33),"밖","안"))</x:f>
        <x:v>안</x:v>
      </x:c>
      <x:c r="D111" t="n">
        <x:f>IF(ISBLANK(MiniCase_Data!H111),VLOOKUP(A111,센서로그!$A$2:$C$13,3,FALSE),MiniCase_Data!H111)</x:f>
        <x:v>31.67</x:v>
      </x:c>
      <x:c r="E111" t="n">
        <x:f>IF(AND(MiniCase_Data!C111="야간",MiniCase_Data!F111="M03"),1,0)</x:f>
        <x:v>0</x:v>
      </x:c>
      <x:c r="F111" t="n">
        <x:f>IF(C111="밖",1,0)</x:f>
        <x:v>0</x:v>
      </x:c>
      <x:c r="G111" t="n">
        <x:f>IF(OR(F111=1,E111=1),1,0)</x:f>
        <x:v>0</x:v>
      </x:c>
      <x:c r="H111" t="str">
        <x:f>IF(B111=1,IF(F111=1,"TP","FN"),IF(F111=1,"FP","TN"))</x:f>
        <x:v>TN</x:v>
      </x:c>
      <x:c r="I111" t="str">
        <x:f>IF(B111=1,IF(G111=1,"TP","FN"),IF(G111=1,"FP","TN"))</x:f>
        <x:v>TN</x:v>
      </x:c>
    </x:row>
    <x:row r="112">
      <x:c r="A112" t="str">
        <x:f>MiniCase_Data!A112</x:f>
        <x:v>R00111</x:v>
      </x:c>
      <x:c r="B112" t="n">
        <x:f>IF(MiniCase_Data!O112="불합격",1,0)</x:f>
        <x:v>0</x:v>
      </x:c>
      <x:c r="C112" t="str">
        <x:f>IF(ISBLANK(MiniCase_Data!H112),"missing",IF(OR(MiniCase_Data!H112&lt;27,MiniCase_Data!H112&gt;33),"밖","안"))</x:f>
        <x:v>안</x:v>
      </x:c>
      <x:c r="D112" t="n">
        <x:f>IF(ISBLANK(MiniCase_Data!H112),VLOOKUP(A112,센서로그!$A$2:$C$13,3,FALSE),MiniCase_Data!H112)</x:f>
        <x:v>28.56</x:v>
      </x:c>
      <x:c r="E112" t="n">
        <x:f>IF(AND(MiniCase_Data!C112="야간",MiniCase_Data!F112="M03"),1,0)</x:f>
        <x:v>0</x:v>
      </x:c>
      <x:c r="F112" t="n">
        <x:f>IF(C112="밖",1,0)</x:f>
        <x:v>0</x:v>
      </x:c>
      <x:c r="G112" t="n">
        <x:f>IF(OR(F112=1,E112=1),1,0)</x:f>
        <x:v>0</x:v>
      </x:c>
      <x:c r="H112" t="str">
        <x:f>IF(B112=1,IF(F112=1,"TP","FN"),IF(F112=1,"FP","TN"))</x:f>
        <x:v>TN</x:v>
      </x:c>
      <x:c r="I112" t="str">
        <x:f>IF(B112=1,IF(G112=1,"TP","FN"),IF(G112=1,"FP","TN"))</x:f>
        <x:v>TN</x:v>
      </x:c>
    </x:row>
    <x:row r="113">
      <x:c r="A113" t="str">
        <x:f>MiniCase_Data!A113</x:f>
        <x:v>R00112</x:v>
      </x:c>
      <x:c r="B113" t="n">
        <x:f>IF(MiniCase_Data!O113="불합격",1,0)</x:f>
        <x:v>0</x:v>
      </x:c>
      <x:c r="C113" t="str">
        <x:f>IF(ISBLANK(MiniCase_Data!H113),"missing",IF(OR(MiniCase_Data!H113&lt;27,MiniCase_Data!H113&gt;33),"밖","안"))</x:f>
        <x:v>안</x:v>
      </x:c>
      <x:c r="D113" t="n">
        <x:f>IF(ISBLANK(MiniCase_Data!H113),VLOOKUP(A113,센서로그!$A$2:$C$13,3,FALSE),MiniCase_Data!H113)</x:f>
        <x:v>30.05</x:v>
      </x:c>
      <x:c r="E113" t="n">
        <x:f>IF(AND(MiniCase_Data!C113="야간",MiniCase_Data!F113="M03"),1,0)</x:f>
        <x:v>0</x:v>
      </x:c>
      <x:c r="F113" t="n">
        <x:f>IF(C113="밖",1,0)</x:f>
        <x:v>0</x:v>
      </x:c>
      <x:c r="G113" t="n">
        <x:f>IF(OR(F113=1,E113=1),1,0)</x:f>
        <x:v>0</x:v>
      </x:c>
      <x:c r="H113" t="str">
        <x:f>IF(B113=1,IF(F113=1,"TP","FN"),IF(F113=1,"FP","TN"))</x:f>
        <x:v>TN</x:v>
      </x:c>
      <x:c r="I113" t="str">
        <x:f>IF(B113=1,IF(G113=1,"TP","FN"),IF(G113=1,"FP","TN"))</x:f>
        <x:v>TN</x:v>
      </x:c>
    </x:row>
    <x:row r="114">
      <x:c r="A114" t="str">
        <x:f>MiniCase_Data!A114</x:f>
        <x:v>R00113</x:v>
      </x:c>
      <x:c r="B114" t="n">
        <x:f>IF(MiniCase_Data!O114="불합격",1,0)</x:f>
        <x:v>0</x:v>
      </x:c>
      <x:c r="C114" t="str">
        <x:f>IF(ISBLANK(MiniCase_Data!H114),"missing",IF(OR(MiniCase_Data!H114&lt;27,MiniCase_Data!H114&gt;33),"밖","안"))</x:f>
        <x:v>안</x:v>
      </x:c>
      <x:c r="D114" t="n">
        <x:f>IF(ISBLANK(MiniCase_Data!H114),VLOOKUP(A114,센서로그!$A$2:$C$13,3,FALSE),MiniCase_Data!H114)</x:f>
        <x:v>31.51</x:v>
      </x:c>
      <x:c r="E114" t="n">
        <x:f>IF(AND(MiniCase_Data!C114="야간",MiniCase_Data!F114="M03"),1,0)</x:f>
        <x:v>0</x:v>
      </x:c>
      <x:c r="F114" t="n">
        <x:f>IF(C114="밖",1,0)</x:f>
        <x:v>0</x:v>
      </x:c>
      <x:c r="G114" t="n">
        <x:f>IF(OR(F114=1,E114=1),1,0)</x:f>
        <x:v>0</x:v>
      </x:c>
      <x:c r="H114" t="str">
        <x:f>IF(B114=1,IF(F114=1,"TP","FN"),IF(F114=1,"FP","TN"))</x:f>
        <x:v>TN</x:v>
      </x:c>
      <x:c r="I114" t="str">
        <x:f>IF(B114=1,IF(G114=1,"TP","FN"),IF(G114=1,"FP","TN"))</x:f>
        <x:v>TN</x:v>
      </x:c>
    </x:row>
    <x:row r="115">
      <x:c r="A115" t="str">
        <x:f>MiniCase_Data!A115</x:f>
        <x:v>R00114</x:v>
      </x:c>
      <x:c r="B115" t="n">
        <x:f>IF(MiniCase_Data!O115="불합격",1,0)</x:f>
        <x:v>0</x:v>
      </x:c>
      <x:c r="C115" t="str">
        <x:f>IF(ISBLANK(MiniCase_Data!H115),"missing",IF(OR(MiniCase_Data!H115&lt;27,MiniCase_Data!H115&gt;33),"밖","안"))</x:f>
        <x:v>안</x:v>
      </x:c>
      <x:c r="D115" t="n">
        <x:f>IF(ISBLANK(MiniCase_Data!H115),VLOOKUP(A115,센서로그!$A$2:$C$13,3,FALSE),MiniCase_Data!H115)</x:f>
        <x:v>29.33</x:v>
      </x:c>
      <x:c r="E115" t="n">
        <x:f>IF(AND(MiniCase_Data!C115="야간",MiniCase_Data!F115="M03"),1,0)</x:f>
        <x:v>0</x:v>
      </x:c>
      <x:c r="F115" t="n">
        <x:f>IF(C115="밖",1,0)</x:f>
        <x:v>0</x:v>
      </x:c>
      <x:c r="G115" t="n">
        <x:f>IF(OR(F115=1,E115=1),1,0)</x:f>
        <x:v>0</x:v>
      </x:c>
      <x:c r="H115" t="str">
        <x:f>IF(B115=1,IF(F115=1,"TP","FN"),IF(F115=1,"FP","TN"))</x:f>
        <x:v>TN</x:v>
      </x:c>
      <x:c r="I115" t="str">
        <x:f>IF(B115=1,IF(G115=1,"TP","FN"),IF(G115=1,"FP","TN"))</x:f>
        <x:v>TN</x:v>
      </x:c>
    </x:row>
    <x:row r="116">
      <x:c r="A116" t="str">
        <x:f>MiniCase_Data!A116</x:f>
        <x:v>R00115</x:v>
      </x:c>
      <x:c r="B116" t="n">
        <x:f>IF(MiniCase_Data!O116="불합격",1,0)</x:f>
        <x:v>0</x:v>
      </x:c>
      <x:c r="C116" t="str">
        <x:f>IF(ISBLANK(MiniCase_Data!H116),"missing",IF(OR(MiniCase_Data!H116&lt;27,MiniCase_Data!H116&gt;33),"밖","안"))</x:f>
        <x:v>안</x:v>
      </x:c>
      <x:c r="D116" t="n">
        <x:f>IF(ISBLANK(MiniCase_Data!H116),VLOOKUP(A116,센서로그!$A$2:$C$13,3,FALSE),MiniCase_Data!H116)</x:f>
        <x:v>32.07</x:v>
      </x:c>
      <x:c r="E116" t="n">
        <x:f>IF(AND(MiniCase_Data!C116="야간",MiniCase_Data!F116="M03"),1,0)</x:f>
        <x:v>0</x:v>
      </x:c>
      <x:c r="F116" t="n">
        <x:f>IF(C116="밖",1,0)</x:f>
        <x:v>0</x:v>
      </x:c>
      <x:c r="G116" t="n">
        <x:f>IF(OR(F116=1,E116=1),1,0)</x:f>
        <x:v>0</x:v>
      </x:c>
      <x:c r="H116" t="str">
        <x:f>IF(B116=1,IF(F116=1,"TP","FN"),IF(F116=1,"FP","TN"))</x:f>
        <x:v>TN</x:v>
      </x:c>
      <x:c r="I116" t="str">
        <x:f>IF(B116=1,IF(G116=1,"TP","FN"),IF(G116=1,"FP","TN"))</x:f>
        <x:v>TN</x:v>
      </x:c>
    </x:row>
    <x:row r="117">
      <x:c r="A117" t="str">
        <x:f>MiniCase_Data!A117</x:f>
        <x:v>R00116</x:v>
      </x:c>
      <x:c r="B117" t="n">
        <x:f>IF(MiniCase_Data!O117="불합격",1,0)</x:f>
        <x:v>0</x:v>
      </x:c>
      <x:c r="C117" t="str">
        <x:f>IF(ISBLANK(MiniCase_Data!H117),"missing",IF(OR(MiniCase_Data!H117&lt;27,MiniCase_Data!H117&gt;33),"밖","안"))</x:f>
        <x:v>안</x:v>
      </x:c>
      <x:c r="D117" t="n">
        <x:f>IF(ISBLANK(MiniCase_Data!H117),VLOOKUP(A117,센서로그!$A$2:$C$13,3,FALSE),MiniCase_Data!H117)</x:f>
        <x:v>32.75</x:v>
      </x:c>
      <x:c r="E117" t="n">
        <x:f>IF(AND(MiniCase_Data!C117="야간",MiniCase_Data!F117="M03"),1,0)</x:f>
        <x:v>0</x:v>
      </x:c>
      <x:c r="F117" t="n">
        <x:f>IF(C117="밖",1,0)</x:f>
        <x:v>0</x:v>
      </x:c>
      <x:c r="G117" t="n">
        <x:f>IF(OR(F117=1,E117=1),1,0)</x:f>
        <x:v>0</x:v>
      </x:c>
      <x:c r="H117" t="str">
        <x:f>IF(B117=1,IF(F117=1,"TP","FN"),IF(F117=1,"FP","TN"))</x:f>
        <x:v>TN</x:v>
      </x:c>
      <x:c r="I117" t="str">
        <x:f>IF(B117=1,IF(G117=1,"TP","FN"),IF(G117=1,"FP","TN"))</x:f>
        <x:v>TN</x:v>
      </x:c>
    </x:row>
    <x:row r="118">
      <x:c r="A118" t="str">
        <x:f>MiniCase_Data!A118</x:f>
        <x:v>R00117</x:v>
      </x:c>
      <x:c r="B118" t="n">
        <x:f>IF(MiniCase_Data!O118="불합격",1,0)</x:f>
        <x:v>0</x:v>
      </x:c>
      <x:c r="C118" t="str">
        <x:f>IF(ISBLANK(MiniCase_Data!H118),"missing",IF(OR(MiniCase_Data!H118&lt;27,MiniCase_Data!H118&gt;33),"밖","안"))</x:f>
        <x:v>안</x:v>
      </x:c>
      <x:c r="D118" t="n">
        <x:f>IF(ISBLANK(MiniCase_Data!H118),VLOOKUP(A118,센서로그!$A$2:$C$13,3,FALSE),MiniCase_Data!H118)</x:f>
        <x:v>31.24</x:v>
      </x:c>
      <x:c r="E118" t="n">
        <x:f>IF(AND(MiniCase_Data!C118="야간",MiniCase_Data!F118="M03"),1,0)</x:f>
        <x:v>0</x:v>
      </x:c>
      <x:c r="F118" t="n">
        <x:f>IF(C118="밖",1,0)</x:f>
        <x:v>0</x:v>
      </x:c>
      <x:c r="G118" t="n">
        <x:f>IF(OR(F118=1,E118=1),1,0)</x:f>
        <x:v>0</x:v>
      </x:c>
      <x:c r="H118" t="str">
        <x:f>IF(B118=1,IF(F118=1,"TP","FN"),IF(F118=1,"FP","TN"))</x:f>
        <x:v>TN</x:v>
      </x:c>
      <x:c r="I118" t="str">
        <x:f>IF(B118=1,IF(G118=1,"TP","FN"),IF(G118=1,"FP","TN"))</x:f>
        <x:v>TN</x:v>
      </x:c>
    </x:row>
    <x:row r="119">
      <x:c r="A119" t="str">
        <x:f>MiniCase_Data!A119</x:f>
        <x:v>R00118</x:v>
      </x:c>
      <x:c r="B119" t="n">
        <x:f>IF(MiniCase_Data!O119="불합격",1,0)</x:f>
        <x:v>0</x:v>
      </x:c>
      <x:c r="C119" t="str">
        <x:f>IF(ISBLANK(MiniCase_Data!H119),"missing",IF(OR(MiniCase_Data!H119&lt;27,MiniCase_Data!H119&gt;33),"밖","안"))</x:f>
        <x:v>안</x:v>
      </x:c>
      <x:c r="D119" t="n">
        <x:f>IF(ISBLANK(MiniCase_Data!H119),VLOOKUP(A119,센서로그!$A$2:$C$13,3,FALSE),MiniCase_Data!H119)</x:f>
        <x:v>28.6</x:v>
      </x:c>
      <x:c r="E119" t="n">
        <x:f>IF(AND(MiniCase_Data!C119="야간",MiniCase_Data!F119="M03"),1,0)</x:f>
        <x:v>0</x:v>
      </x:c>
      <x:c r="F119" t="n">
        <x:f>IF(C119="밖",1,0)</x:f>
        <x:v>0</x:v>
      </x:c>
      <x:c r="G119" t="n">
        <x:f>IF(OR(F119=1,E119=1),1,0)</x:f>
        <x:v>0</x:v>
      </x:c>
      <x:c r="H119" t="str">
        <x:f>IF(B119=1,IF(F119=1,"TP","FN"),IF(F119=1,"FP","TN"))</x:f>
        <x:v>TN</x:v>
      </x:c>
      <x:c r="I119" t="str">
        <x:f>IF(B119=1,IF(G119=1,"TP","FN"),IF(G119=1,"FP","TN"))</x:f>
        <x:v>TN</x:v>
      </x:c>
    </x:row>
    <x:row r="120">
      <x:c r="A120" t="str">
        <x:f>MiniCase_Data!A120</x:f>
        <x:v>R00119</x:v>
      </x:c>
      <x:c r="B120" t="n">
        <x:f>IF(MiniCase_Data!O120="불합격",1,0)</x:f>
        <x:v>1</x:v>
      </x:c>
      <x:c r="C120" t="str">
        <x:f>IF(ISBLANK(MiniCase_Data!H120),"missing",IF(OR(MiniCase_Data!H120&lt;27,MiniCase_Data!H120&gt;33),"밖","안"))</x:f>
        <x:v>안</x:v>
      </x:c>
      <x:c r="D120" t="n">
        <x:f>IF(ISBLANK(MiniCase_Data!H120),VLOOKUP(A120,센서로그!$A$2:$C$13,3,FALSE),MiniCase_Data!H120)</x:f>
        <x:v>28.18</x:v>
      </x:c>
      <x:c r="E120" t="n">
        <x:f>IF(AND(MiniCase_Data!C120="야간",MiniCase_Data!F120="M03"),1,0)</x:f>
        <x:v>1</x:v>
      </x:c>
      <x:c r="F120" t="n">
        <x:f>IF(C120="밖",1,0)</x:f>
        <x:v>0</x:v>
      </x:c>
      <x:c r="G120" t="n">
        <x:f>IF(OR(F120=1,E120=1),1,0)</x:f>
        <x:v>1</x:v>
      </x:c>
      <x:c r="H120" t="str">
        <x:f>IF(B120=1,IF(F120=1,"TP","FN"),IF(F120=1,"FP","TN"))</x:f>
        <x:v>FN</x:v>
      </x:c>
      <x:c r="I120" t="str">
        <x:f>IF(B120=1,IF(G120=1,"TP","FN"),IF(G120=1,"FP","TN"))</x:f>
        <x:v>TP</x:v>
      </x:c>
    </x:row>
    <x:row r="121">
      <x:c r="A121" t="str">
        <x:f>MiniCase_Data!A121</x:f>
        <x:v>R00120</x:v>
      </x:c>
      <x:c r="B121" t="n">
        <x:f>IF(MiniCase_Data!O121="불합격",1,0)</x:f>
        <x:v>0</x:v>
      </x:c>
      <x:c r="C121" t="str">
        <x:f>IF(ISBLANK(MiniCase_Data!H121),"missing",IF(OR(MiniCase_Data!H121&lt;27,MiniCase_Data!H121&gt;33),"밖","안"))</x:f>
        <x:v>안</x:v>
      </x:c>
      <x:c r="D121" t="n">
        <x:f>IF(ISBLANK(MiniCase_Data!H121),VLOOKUP(A121,센서로그!$A$2:$C$13,3,FALSE),MiniCase_Data!H121)</x:f>
        <x:v>32.07</x:v>
      </x:c>
      <x:c r="E121" t="n">
        <x:f>IF(AND(MiniCase_Data!C121="야간",MiniCase_Data!F121="M03"),1,0)</x:f>
        <x:v>1</x:v>
      </x:c>
      <x:c r="F121" t="n">
        <x:f>IF(C121="밖",1,0)</x:f>
        <x:v>0</x:v>
      </x:c>
      <x:c r="G121" t="n">
        <x:f>IF(OR(F121=1,E121=1),1,0)</x:f>
        <x:v>1</x:v>
      </x:c>
      <x:c r="H121" t="str">
        <x:f>IF(B121=1,IF(F121=1,"TP","FN"),IF(F121=1,"FP","TN"))</x:f>
        <x:v>TN</x:v>
      </x:c>
      <x:c r="I121" t="str">
        <x:f>IF(B121=1,IF(G121=1,"TP","FN"),IF(G121=1,"FP","TN"))</x:f>
        <x:v>FP</x:v>
      </x:c>
    </x:row>
    <x:row r="122">
      <x:c r="A122" t="str">
        <x:f>MiniCase_Data!A122</x:f>
        <x:v>R00121</x:v>
      </x:c>
      <x:c r="B122" t="n">
        <x:f>IF(MiniCase_Data!O122="불합격",1,0)</x:f>
        <x:v>0</x:v>
      </x:c>
      <x:c r="C122" t="str">
        <x:f>IF(ISBLANK(MiniCase_Data!H122),"missing",IF(OR(MiniCase_Data!H122&lt;27,MiniCase_Data!H122&gt;33),"밖","안"))</x:f>
        <x:v>안</x:v>
      </x:c>
      <x:c r="D122" t="n">
        <x:f>IF(ISBLANK(MiniCase_Data!H122),VLOOKUP(A122,센서로그!$A$2:$C$13,3,FALSE),MiniCase_Data!H122)</x:f>
        <x:v>30.19</x:v>
      </x:c>
      <x:c r="E122" t="n">
        <x:f>IF(AND(MiniCase_Data!C122="야간",MiniCase_Data!F122="M03"),1,0)</x:f>
        <x:v>0</x:v>
      </x:c>
      <x:c r="F122" t="n">
        <x:f>IF(C122="밖",1,0)</x:f>
        <x:v>0</x:v>
      </x:c>
      <x:c r="G122" t="n">
        <x:f>IF(OR(F122=1,E122=1),1,0)</x:f>
        <x:v>0</x:v>
      </x:c>
      <x:c r="H122" t="str">
        <x:f>IF(B122=1,IF(F122=1,"TP","FN"),IF(F122=1,"FP","TN"))</x:f>
        <x:v>TN</x:v>
      </x:c>
      <x:c r="I122" t="str">
        <x:f>IF(B122=1,IF(G122=1,"TP","FN"),IF(G122=1,"FP","TN"))</x:f>
        <x:v>TN</x:v>
      </x:c>
    </x:row>
    <x:row r="123">
      <x:c r="A123" t="str">
        <x:f>MiniCase_Data!A123</x:f>
        <x:v>R00122</x:v>
      </x:c>
      <x:c r="B123" t="n">
        <x:f>IF(MiniCase_Data!O123="불합격",1,0)</x:f>
        <x:v>0</x:v>
      </x:c>
      <x:c r="C123" t="str">
        <x:f>IF(ISBLANK(MiniCase_Data!H123),"missing",IF(OR(MiniCase_Data!H123&lt;27,MiniCase_Data!H123&gt;33),"밖","안"))</x:f>
        <x:v>안</x:v>
      </x:c>
      <x:c r="D123" t="n">
        <x:f>IF(ISBLANK(MiniCase_Data!H123),VLOOKUP(A123,센서로그!$A$2:$C$13,3,FALSE),MiniCase_Data!H123)</x:f>
        <x:v>28.79</x:v>
      </x:c>
      <x:c r="E123" t="n">
        <x:f>IF(AND(MiniCase_Data!C123="야간",MiniCase_Data!F123="M03"),1,0)</x:f>
        <x:v>0</x:v>
      </x:c>
      <x:c r="F123" t="n">
        <x:f>IF(C123="밖",1,0)</x:f>
        <x:v>0</x:v>
      </x:c>
      <x:c r="G123" t="n">
        <x:f>IF(OR(F123=1,E123=1),1,0)</x:f>
        <x:v>0</x:v>
      </x:c>
      <x:c r="H123" t="str">
        <x:f>IF(B123=1,IF(F123=1,"TP","FN"),IF(F123=1,"FP","TN"))</x:f>
        <x:v>TN</x:v>
      </x:c>
      <x:c r="I123" t="str">
        <x:f>IF(B123=1,IF(G123=1,"TP","FN"),IF(G123=1,"FP","TN"))</x:f>
        <x:v>TN</x:v>
      </x:c>
    </x:row>
    <x:row r="124">
      <x:c r="A124" t="str">
        <x:f>MiniCase_Data!A124</x:f>
        <x:v>R00123</x:v>
      </x:c>
      <x:c r="B124" t="n">
        <x:f>IF(MiniCase_Data!O124="불합격",1,0)</x:f>
        <x:v>0</x:v>
      </x:c>
      <x:c r="C124" t="str">
        <x:f>IF(ISBLANK(MiniCase_Data!H124),"missing",IF(OR(MiniCase_Data!H124&lt;27,MiniCase_Data!H124&gt;33),"밖","안"))</x:f>
        <x:v>안</x:v>
      </x:c>
      <x:c r="D124" t="n">
        <x:f>IF(ISBLANK(MiniCase_Data!H124),VLOOKUP(A124,센서로그!$A$2:$C$13,3,FALSE),MiniCase_Data!H124)</x:f>
        <x:v>28.68</x:v>
      </x:c>
      <x:c r="E124" t="n">
        <x:f>IF(AND(MiniCase_Data!C124="야간",MiniCase_Data!F124="M03"),1,0)</x:f>
        <x:v>0</x:v>
      </x:c>
      <x:c r="F124" t="n">
        <x:f>IF(C124="밖",1,0)</x:f>
        <x:v>0</x:v>
      </x:c>
      <x:c r="G124" t="n">
        <x:f>IF(OR(F124=1,E124=1),1,0)</x:f>
        <x:v>0</x:v>
      </x:c>
      <x:c r="H124" t="str">
        <x:f>IF(B124=1,IF(F124=1,"TP","FN"),IF(F124=1,"FP","TN"))</x:f>
        <x:v>TN</x:v>
      </x:c>
      <x:c r="I124" t="str">
        <x:f>IF(B124=1,IF(G124=1,"TP","FN"),IF(G124=1,"FP","TN"))</x:f>
        <x:v>TN</x:v>
      </x:c>
    </x:row>
    <x:row r="125">
      <x:c r="A125" t="str">
        <x:f>MiniCase_Data!A125</x:f>
        <x:v>R00124</x:v>
      </x:c>
      <x:c r="B125" t="n">
        <x:f>IF(MiniCase_Data!O125="불합격",1,0)</x:f>
        <x:v>0</x:v>
      </x:c>
      <x:c r="C125" t="str">
        <x:f>IF(ISBLANK(MiniCase_Data!H125),"missing",IF(OR(MiniCase_Data!H125&lt;27,MiniCase_Data!H125&gt;33),"밖","안"))</x:f>
        <x:v>안</x:v>
      </x:c>
      <x:c r="D125" t="n">
        <x:f>IF(ISBLANK(MiniCase_Data!H125),VLOOKUP(A125,센서로그!$A$2:$C$13,3,FALSE),MiniCase_Data!H125)</x:f>
        <x:v>27.54</x:v>
      </x:c>
      <x:c r="E125" t="n">
        <x:f>IF(AND(MiniCase_Data!C125="야간",MiniCase_Data!F125="M03"),1,0)</x:f>
        <x:v>0</x:v>
      </x:c>
      <x:c r="F125" t="n">
        <x:f>IF(C125="밖",1,0)</x:f>
        <x:v>0</x:v>
      </x:c>
      <x:c r="G125" t="n">
        <x:f>IF(OR(F125=1,E125=1),1,0)</x:f>
        <x:v>0</x:v>
      </x:c>
      <x:c r="H125" t="str">
        <x:f>IF(B125=1,IF(F125=1,"TP","FN"),IF(F125=1,"FP","TN"))</x:f>
        <x:v>TN</x:v>
      </x:c>
      <x:c r="I125" t="str">
        <x:f>IF(B125=1,IF(G125=1,"TP","FN"),IF(G125=1,"FP","TN"))</x:f>
        <x:v>TN</x:v>
      </x:c>
    </x:row>
    <x:row r="126">
      <x:c r="A126" t="str">
        <x:f>MiniCase_Data!A126</x:f>
        <x:v>R00125</x:v>
      </x:c>
      <x:c r="B126" t="n">
        <x:f>IF(MiniCase_Data!O126="불합격",1,0)</x:f>
        <x:v>0</x:v>
      </x:c>
      <x:c r="C126" t="str">
        <x:f>IF(ISBLANK(MiniCase_Data!H126),"missing",IF(OR(MiniCase_Data!H126&lt;27,MiniCase_Data!H126&gt;33),"밖","안"))</x:f>
        <x:v>안</x:v>
      </x:c>
      <x:c r="D126" t="n">
        <x:f>IF(ISBLANK(MiniCase_Data!H126),VLOOKUP(A126,센서로그!$A$2:$C$13,3,FALSE),MiniCase_Data!H126)</x:f>
        <x:v>31.3</x:v>
      </x:c>
      <x:c r="E126" t="n">
        <x:f>IF(AND(MiniCase_Data!C126="야간",MiniCase_Data!F126="M03"),1,0)</x:f>
        <x:v>0</x:v>
      </x:c>
      <x:c r="F126" t="n">
        <x:f>IF(C126="밖",1,0)</x:f>
        <x:v>0</x:v>
      </x:c>
      <x:c r="G126" t="n">
        <x:f>IF(OR(F126=1,E126=1),1,0)</x:f>
        <x:v>0</x:v>
      </x:c>
      <x:c r="H126" t="str">
        <x:f>IF(B126=1,IF(F126=1,"TP","FN"),IF(F126=1,"FP","TN"))</x:f>
        <x:v>TN</x:v>
      </x:c>
      <x:c r="I126" t="str">
        <x:f>IF(B126=1,IF(G126=1,"TP","FN"),IF(G126=1,"FP","TN"))</x:f>
        <x:v>TN</x:v>
      </x:c>
    </x:row>
    <x:row r="127">
      <x:c r="A127" t="str">
        <x:f>MiniCase_Data!A127</x:f>
        <x:v>R00126</x:v>
      </x:c>
      <x:c r="B127" t="n">
        <x:f>IF(MiniCase_Data!O127="불합격",1,0)</x:f>
        <x:v>0</x:v>
      </x:c>
      <x:c r="C127" t="str">
        <x:f>IF(ISBLANK(MiniCase_Data!H127),"missing",IF(OR(MiniCase_Data!H127&lt;27,MiniCase_Data!H127&gt;33),"밖","안"))</x:f>
        <x:v>안</x:v>
      </x:c>
      <x:c r="D127" t="n">
        <x:f>IF(ISBLANK(MiniCase_Data!H127),VLOOKUP(A127,센서로그!$A$2:$C$13,3,FALSE),MiniCase_Data!H127)</x:f>
        <x:v>27.63</x:v>
      </x:c>
      <x:c r="E127" t="n">
        <x:f>IF(AND(MiniCase_Data!C127="야간",MiniCase_Data!F127="M03"),1,0)</x:f>
        <x:v>0</x:v>
      </x:c>
      <x:c r="F127" t="n">
        <x:f>IF(C127="밖",1,0)</x:f>
        <x:v>0</x:v>
      </x:c>
      <x:c r="G127" t="n">
        <x:f>IF(OR(F127=1,E127=1),1,0)</x:f>
        <x:v>0</x:v>
      </x:c>
      <x:c r="H127" t="str">
        <x:f>IF(B127=1,IF(F127=1,"TP","FN"),IF(F127=1,"FP","TN"))</x:f>
        <x:v>TN</x:v>
      </x:c>
      <x:c r="I127" t="str">
        <x:f>IF(B127=1,IF(G127=1,"TP","FN"),IF(G127=1,"FP","TN"))</x:f>
        <x:v>TN</x:v>
      </x:c>
    </x:row>
    <x:row r="128">
      <x:c r="A128" t="str">
        <x:f>MiniCase_Data!A128</x:f>
        <x:v>R00127</x:v>
      </x:c>
      <x:c r="B128" t="n">
        <x:f>IF(MiniCase_Data!O128="불합격",1,0)</x:f>
        <x:v>0</x:v>
      </x:c>
      <x:c r="C128" t="str">
        <x:f>IF(ISBLANK(MiniCase_Data!H128),"missing",IF(OR(MiniCase_Data!H128&lt;27,MiniCase_Data!H128&gt;33),"밖","안"))</x:f>
        <x:v>안</x:v>
      </x:c>
      <x:c r="D128" t="n">
        <x:f>IF(ISBLANK(MiniCase_Data!H128),VLOOKUP(A128,센서로그!$A$2:$C$13,3,FALSE),MiniCase_Data!H128)</x:f>
        <x:v>28.73</x:v>
      </x:c>
      <x:c r="E128" t="n">
        <x:f>IF(AND(MiniCase_Data!C128="야간",MiniCase_Data!F128="M03"),1,0)</x:f>
        <x:v>0</x:v>
      </x:c>
      <x:c r="F128" t="n">
        <x:f>IF(C128="밖",1,0)</x:f>
        <x:v>0</x:v>
      </x:c>
      <x:c r="G128" t="n">
        <x:f>IF(OR(F128=1,E128=1),1,0)</x:f>
        <x:v>0</x:v>
      </x:c>
      <x:c r="H128" t="str">
        <x:f>IF(B128=1,IF(F128=1,"TP","FN"),IF(F128=1,"FP","TN"))</x:f>
        <x:v>TN</x:v>
      </x:c>
      <x:c r="I128" t="str">
        <x:f>IF(B128=1,IF(G128=1,"TP","FN"),IF(G128=1,"FP","TN"))</x:f>
        <x:v>TN</x:v>
      </x:c>
    </x:row>
    <x:row r="129">
      <x:c r="A129" t="str">
        <x:f>MiniCase_Data!A129</x:f>
        <x:v>R00128</x:v>
      </x:c>
      <x:c r="B129" t="n">
        <x:f>IF(MiniCase_Data!O129="불합격",1,0)</x:f>
        <x:v>0</x:v>
      </x:c>
      <x:c r="C129" t="str">
        <x:f>IF(ISBLANK(MiniCase_Data!H129),"missing",IF(OR(MiniCase_Data!H129&lt;27,MiniCase_Data!H129&gt;33),"밖","안"))</x:f>
        <x:v>안</x:v>
      </x:c>
      <x:c r="D129" t="n">
        <x:f>IF(ISBLANK(MiniCase_Data!H129),VLOOKUP(A129,센서로그!$A$2:$C$13,3,FALSE),MiniCase_Data!H129)</x:f>
        <x:v>30.92</x:v>
      </x:c>
      <x:c r="E129" t="n">
        <x:f>IF(AND(MiniCase_Data!C129="야간",MiniCase_Data!F129="M03"),1,0)</x:f>
        <x:v>1</x:v>
      </x:c>
      <x:c r="F129" t="n">
        <x:f>IF(C129="밖",1,0)</x:f>
        <x:v>0</x:v>
      </x:c>
      <x:c r="G129" t="n">
        <x:f>IF(OR(F129=1,E129=1),1,0)</x:f>
        <x:v>1</x:v>
      </x:c>
      <x:c r="H129" t="str">
        <x:f>IF(B129=1,IF(F129=1,"TP","FN"),IF(F129=1,"FP","TN"))</x:f>
        <x:v>TN</x:v>
      </x:c>
      <x:c r="I129" t="str">
        <x:f>IF(B129=1,IF(G129=1,"TP","FN"),IF(G129=1,"FP","TN"))</x:f>
        <x:v>FP</x:v>
      </x:c>
    </x:row>
    <x:row r="130">
      <x:c r="A130" t="str">
        <x:f>MiniCase_Data!A130</x:f>
        <x:v>R00129</x:v>
      </x:c>
      <x:c r="B130" t="n">
        <x:f>IF(MiniCase_Data!O130="불합격",1,0)</x:f>
        <x:v>0</x:v>
      </x:c>
      <x:c r="C130" t="str">
        <x:f>IF(ISBLANK(MiniCase_Data!H130),"missing",IF(OR(MiniCase_Data!H130&lt;27,MiniCase_Data!H130&gt;33),"밖","안"))</x:f>
        <x:v>안</x:v>
      </x:c>
      <x:c r="D130" t="n">
        <x:f>IF(ISBLANK(MiniCase_Data!H130),VLOOKUP(A130,센서로그!$A$2:$C$13,3,FALSE),MiniCase_Data!H130)</x:f>
        <x:v>29.89</x:v>
      </x:c>
      <x:c r="E130" t="n">
        <x:f>IF(AND(MiniCase_Data!C130="야간",MiniCase_Data!F130="M03"),1,0)</x:f>
        <x:v>0</x:v>
      </x:c>
      <x:c r="F130" t="n">
        <x:f>IF(C130="밖",1,0)</x:f>
        <x:v>0</x:v>
      </x:c>
      <x:c r="G130" t="n">
        <x:f>IF(OR(F130=1,E130=1),1,0)</x:f>
        <x:v>0</x:v>
      </x:c>
      <x:c r="H130" t="str">
        <x:f>IF(B130=1,IF(F130=1,"TP","FN"),IF(F130=1,"FP","TN"))</x:f>
        <x:v>TN</x:v>
      </x:c>
      <x:c r="I130" t="str">
        <x:f>IF(B130=1,IF(G130=1,"TP","FN"),IF(G130=1,"FP","TN"))</x:f>
        <x:v>TN</x:v>
      </x:c>
    </x:row>
    <x:row r="131">
      <x:c r="A131" t="str">
        <x:f>MiniCase_Data!A131</x:f>
        <x:v>R00130</x:v>
      </x:c>
      <x:c r="B131" t="n">
        <x:f>IF(MiniCase_Data!O131="불합격",1,0)</x:f>
        <x:v>0</x:v>
      </x:c>
      <x:c r="C131" t="str">
        <x:f>IF(ISBLANK(MiniCase_Data!H131),"missing",IF(OR(MiniCase_Data!H131&lt;27,MiniCase_Data!H131&gt;33),"밖","안"))</x:f>
        <x:v>안</x:v>
      </x:c>
      <x:c r="D131" t="n">
        <x:f>IF(ISBLANK(MiniCase_Data!H131),VLOOKUP(A131,센서로그!$A$2:$C$13,3,FALSE),MiniCase_Data!H131)</x:f>
        <x:v>27.37</x:v>
      </x:c>
      <x:c r="E131" t="n">
        <x:f>IF(AND(MiniCase_Data!C131="야간",MiniCase_Data!F131="M03"),1,0)</x:f>
        <x:v>0</x:v>
      </x:c>
      <x:c r="F131" t="n">
        <x:f>IF(C131="밖",1,0)</x:f>
        <x:v>0</x:v>
      </x:c>
      <x:c r="G131" t="n">
        <x:f>IF(OR(F131=1,E131=1),1,0)</x:f>
        <x:v>0</x:v>
      </x:c>
      <x:c r="H131" t="str">
        <x:f>IF(B131=1,IF(F131=1,"TP","FN"),IF(F131=1,"FP","TN"))</x:f>
        <x:v>TN</x:v>
      </x:c>
      <x:c r="I131" t="str">
        <x:f>IF(B131=1,IF(G131=1,"TP","FN"),IF(G131=1,"FP","TN"))</x:f>
        <x:v>TN</x:v>
      </x:c>
    </x:row>
    <x:row r="132">
      <x:c r="A132" t="str">
        <x:f>MiniCase_Data!A132</x:f>
        <x:v>R00131</x:v>
      </x:c>
      <x:c r="B132" t="n">
        <x:f>IF(MiniCase_Data!O132="불합격",1,0)</x:f>
        <x:v>0</x:v>
      </x:c>
      <x:c r="C132" t="str">
        <x:f>IF(ISBLANK(MiniCase_Data!H132),"missing",IF(OR(MiniCase_Data!H132&lt;27,MiniCase_Data!H132&gt;33),"밖","안"))</x:f>
        <x:v>안</x:v>
      </x:c>
      <x:c r="D132" t="n">
        <x:f>IF(ISBLANK(MiniCase_Data!H132),VLOOKUP(A132,센서로그!$A$2:$C$13,3,FALSE),MiniCase_Data!H132)</x:f>
        <x:v>29.76</x:v>
      </x:c>
      <x:c r="E132" t="n">
        <x:f>IF(AND(MiniCase_Data!C132="야간",MiniCase_Data!F132="M03"),1,0)</x:f>
        <x:v>0</x:v>
      </x:c>
      <x:c r="F132" t="n">
        <x:f>IF(C132="밖",1,0)</x:f>
        <x:v>0</x:v>
      </x:c>
      <x:c r="G132" t="n">
        <x:f>IF(OR(F132=1,E132=1),1,0)</x:f>
        <x:v>0</x:v>
      </x:c>
      <x:c r="H132" t="str">
        <x:f>IF(B132=1,IF(F132=1,"TP","FN"),IF(F132=1,"FP","TN"))</x:f>
        <x:v>TN</x:v>
      </x:c>
      <x:c r="I132" t="str">
        <x:f>IF(B132=1,IF(G132=1,"TP","FN"),IF(G132=1,"FP","TN"))</x:f>
        <x:v>TN</x:v>
      </x:c>
    </x:row>
    <x:row r="133">
      <x:c r="A133" t="str">
        <x:f>MiniCase_Data!A133</x:f>
        <x:v>R00132</x:v>
      </x:c>
      <x:c r="B133" t="n">
        <x:f>IF(MiniCase_Data!O133="불합격",1,0)</x:f>
        <x:v>0</x:v>
      </x:c>
      <x:c r="C133" t="str">
        <x:f>IF(ISBLANK(MiniCase_Data!H133),"missing",IF(OR(MiniCase_Data!H133&lt;27,MiniCase_Data!H133&gt;33),"밖","안"))</x:f>
        <x:v>안</x:v>
      </x:c>
      <x:c r="D133" t="n">
        <x:f>IF(ISBLANK(MiniCase_Data!H133),VLOOKUP(A133,센서로그!$A$2:$C$13,3,FALSE),MiniCase_Data!H133)</x:f>
        <x:v>31.65</x:v>
      </x:c>
      <x:c r="E133" t="n">
        <x:f>IF(AND(MiniCase_Data!C133="야간",MiniCase_Data!F133="M03"),1,0)</x:f>
        <x:v>0</x:v>
      </x:c>
      <x:c r="F133" t="n">
        <x:f>IF(C133="밖",1,0)</x:f>
        <x:v>0</x:v>
      </x:c>
      <x:c r="G133" t="n">
        <x:f>IF(OR(F133=1,E133=1),1,0)</x:f>
        <x:v>0</x:v>
      </x:c>
      <x:c r="H133" t="str">
        <x:f>IF(B133=1,IF(F133=1,"TP","FN"),IF(F133=1,"FP","TN"))</x:f>
        <x:v>TN</x:v>
      </x:c>
      <x:c r="I133" t="str">
        <x:f>IF(B133=1,IF(G133=1,"TP","FN"),IF(G133=1,"FP","TN"))</x:f>
        <x:v>TN</x:v>
      </x:c>
    </x:row>
    <x:row r="134">
      <x:c r="A134" t="str">
        <x:f>MiniCase_Data!A134</x:f>
        <x:v>R00133</x:v>
      </x:c>
      <x:c r="B134" t="n">
        <x:f>IF(MiniCase_Data!O134="불합격",1,0)</x:f>
        <x:v>0</x:v>
      </x:c>
      <x:c r="C134" t="str">
        <x:f>IF(ISBLANK(MiniCase_Data!H134),"missing",IF(OR(MiniCase_Data!H134&lt;27,MiniCase_Data!H134&gt;33),"밖","안"))</x:f>
        <x:v>안</x:v>
      </x:c>
      <x:c r="D134" t="n">
        <x:f>IF(ISBLANK(MiniCase_Data!H134),VLOOKUP(A134,센서로그!$A$2:$C$13,3,FALSE),MiniCase_Data!H134)</x:f>
        <x:v>32.3</x:v>
      </x:c>
      <x:c r="E134" t="n">
        <x:f>IF(AND(MiniCase_Data!C134="야간",MiniCase_Data!F134="M03"),1,0)</x:f>
        <x:v>0</x:v>
      </x:c>
      <x:c r="F134" t="n">
        <x:f>IF(C134="밖",1,0)</x:f>
        <x:v>0</x:v>
      </x:c>
      <x:c r="G134" t="n">
        <x:f>IF(OR(F134=1,E134=1),1,0)</x:f>
        <x:v>0</x:v>
      </x:c>
      <x:c r="H134" t="str">
        <x:f>IF(B134=1,IF(F134=1,"TP","FN"),IF(F134=1,"FP","TN"))</x:f>
        <x:v>TN</x:v>
      </x:c>
      <x:c r="I134" t="str">
        <x:f>IF(B134=1,IF(G134=1,"TP","FN"),IF(G134=1,"FP","TN"))</x:f>
        <x:v>TN</x:v>
      </x:c>
    </x:row>
    <x:row r="135">
      <x:c r="A135" t="str">
        <x:f>MiniCase_Data!A135</x:f>
        <x:v>R00134</x:v>
      </x:c>
      <x:c r="B135" t="n">
        <x:f>IF(MiniCase_Data!O135="불합격",1,0)</x:f>
        <x:v>0</x:v>
      </x:c>
      <x:c r="C135" t="str">
        <x:f>IF(ISBLANK(MiniCase_Data!H135),"missing",IF(OR(MiniCase_Data!H135&lt;27,MiniCase_Data!H135&gt;33),"밖","안"))</x:f>
        <x:v>안</x:v>
      </x:c>
      <x:c r="D135" t="n">
        <x:f>IF(ISBLANK(MiniCase_Data!H135),VLOOKUP(A135,센서로그!$A$2:$C$13,3,FALSE),MiniCase_Data!H135)</x:f>
        <x:v>27.99</x:v>
      </x:c>
      <x:c r="E135" t="n">
        <x:f>IF(AND(MiniCase_Data!C135="야간",MiniCase_Data!F135="M03"),1,0)</x:f>
        <x:v>0</x:v>
      </x:c>
      <x:c r="F135" t="n">
        <x:f>IF(C135="밖",1,0)</x:f>
        <x:v>0</x:v>
      </x:c>
      <x:c r="G135" t="n">
        <x:f>IF(OR(F135=1,E135=1),1,0)</x:f>
        <x:v>0</x:v>
      </x:c>
      <x:c r="H135" t="str">
        <x:f>IF(B135=1,IF(F135=1,"TP","FN"),IF(F135=1,"FP","TN"))</x:f>
        <x:v>TN</x:v>
      </x:c>
      <x:c r="I135" t="str">
        <x:f>IF(B135=1,IF(G135=1,"TP","FN"),IF(G135=1,"FP","TN"))</x:f>
        <x:v>TN</x:v>
      </x:c>
    </x:row>
    <x:row r="136">
      <x:c r="A136" t="str">
        <x:f>MiniCase_Data!A136</x:f>
        <x:v>R00135</x:v>
      </x:c>
      <x:c r="B136" t="n">
        <x:f>IF(MiniCase_Data!O136="불합격",1,0)</x:f>
        <x:v>0</x:v>
      </x:c>
      <x:c r="C136" t="str">
        <x:f>IF(ISBLANK(MiniCase_Data!H136),"missing",IF(OR(MiniCase_Data!H136&lt;27,MiniCase_Data!H136&gt;33),"밖","안"))</x:f>
        <x:v>안</x:v>
      </x:c>
      <x:c r="D136" t="n">
        <x:f>IF(ISBLANK(MiniCase_Data!H136),VLOOKUP(A136,센서로그!$A$2:$C$13,3,FALSE),MiniCase_Data!H136)</x:f>
        <x:v>31.35</x:v>
      </x:c>
      <x:c r="E136" t="n">
        <x:f>IF(AND(MiniCase_Data!C136="야간",MiniCase_Data!F136="M03"),1,0)</x:f>
        <x:v>0</x:v>
      </x:c>
      <x:c r="F136" t="n">
        <x:f>IF(C136="밖",1,0)</x:f>
        <x:v>0</x:v>
      </x:c>
      <x:c r="G136" t="n">
        <x:f>IF(OR(F136=1,E136=1),1,0)</x:f>
        <x:v>0</x:v>
      </x:c>
      <x:c r="H136" t="str">
        <x:f>IF(B136=1,IF(F136=1,"TP","FN"),IF(F136=1,"FP","TN"))</x:f>
        <x:v>TN</x:v>
      </x:c>
      <x:c r="I136" t="str">
        <x:f>IF(B136=1,IF(G136=1,"TP","FN"),IF(G136=1,"FP","TN"))</x:f>
        <x:v>TN</x:v>
      </x:c>
    </x:row>
    <x:row r="137">
      <x:c r="A137" t="str">
        <x:f>MiniCase_Data!A137</x:f>
        <x:v>R00136</x:v>
      </x:c>
      <x:c r="B137" t="n">
        <x:f>IF(MiniCase_Data!O137="불합격",1,0)</x:f>
        <x:v>0</x:v>
      </x:c>
      <x:c r="C137" t="str">
        <x:f>IF(ISBLANK(MiniCase_Data!H137),"missing",IF(OR(MiniCase_Data!H137&lt;27,MiniCase_Data!H137&gt;33),"밖","안"))</x:f>
        <x:v>안</x:v>
      </x:c>
      <x:c r="D137" t="n">
        <x:f>IF(ISBLANK(MiniCase_Data!H137),VLOOKUP(A137,센서로그!$A$2:$C$13,3,FALSE),MiniCase_Data!H137)</x:f>
        <x:v>28.24</x:v>
      </x:c>
      <x:c r="E137" t="n">
        <x:f>IF(AND(MiniCase_Data!C137="야간",MiniCase_Data!F137="M03"),1,0)</x:f>
        <x:v>0</x:v>
      </x:c>
      <x:c r="F137" t="n">
        <x:f>IF(C137="밖",1,0)</x:f>
        <x:v>0</x:v>
      </x:c>
      <x:c r="G137" t="n">
        <x:f>IF(OR(F137=1,E137=1),1,0)</x:f>
        <x:v>0</x:v>
      </x:c>
      <x:c r="H137" t="str">
        <x:f>IF(B137=1,IF(F137=1,"TP","FN"),IF(F137=1,"FP","TN"))</x:f>
        <x:v>TN</x:v>
      </x:c>
      <x:c r="I137" t="str">
        <x:f>IF(B137=1,IF(G137=1,"TP","FN"),IF(G137=1,"FP","TN"))</x:f>
        <x:v>TN</x:v>
      </x:c>
    </x:row>
    <x:row r="138">
      <x:c r="A138" t="str">
        <x:f>MiniCase_Data!A138</x:f>
        <x:v>R00137</x:v>
      </x:c>
      <x:c r="B138" t="n">
        <x:f>IF(MiniCase_Data!O138="불합격",1,0)</x:f>
        <x:v>0</x:v>
      </x:c>
      <x:c r="C138" t="str">
        <x:f>IF(ISBLANK(MiniCase_Data!H138),"missing",IF(OR(MiniCase_Data!H138&lt;27,MiniCase_Data!H138&gt;33),"밖","안"))</x:f>
        <x:v>안</x:v>
      </x:c>
      <x:c r="D138" t="n">
        <x:f>IF(ISBLANK(MiniCase_Data!H138),VLOOKUP(A138,센서로그!$A$2:$C$13,3,FALSE),MiniCase_Data!H138)</x:f>
        <x:v>31.44</x:v>
      </x:c>
      <x:c r="E138" t="n">
        <x:f>IF(AND(MiniCase_Data!C138="야간",MiniCase_Data!F138="M03"),1,0)</x:f>
        <x:v>0</x:v>
      </x:c>
      <x:c r="F138" t="n">
        <x:f>IF(C138="밖",1,0)</x:f>
        <x:v>0</x:v>
      </x:c>
      <x:c r="G138" t="n">
        <x:f>IF(OR(F138=1,E138=1),1,0)</x:f>
        <x:v>0</x:v>
      </x:c>
      <x:c r="H138" t="str">
        <x:f>IF(B138=1,IF(F138=1,"TP","FN"),IF(F138=1,"FP","TN"))</x:f>
        <x:v>TN</x:v>
      </x:c>
      <x:c r="I138" t="str">
        <x:f>IF(B138=1,IF(G138=1,"TP","FN"),IF(G138=1,"FP","TN"))</x:f>
        <x:v>TN</x:v>
      </x:c>
    </x:row>
    <x:row r="139">
      <x:c r="A139" t="str">
        <x:f>MiniCase_Data!A139</x:f>
        <x:v>R00138</x:v>
      </x:c>
      <x:c r="B139" t="n">
        <x:f>IF(MiniCase_Data!O139="불합격",1,0)</x:f>
        <x:v>0</x:v>
      </x:c>
      <x:c r="C139" t="str">
        <x:f>IF(ISBLANK(MiniCase_Data!H139),"missing",IF(OR(MiniCase_Data!H139&lt;27,MiniCase_Data!H139&gt;33),"밖","안"))</x:f>
        <x:v>안</x:v>
      </x:c>
      <x:c r="D139" t="n">
        <x:f>IF(ISBLANK(MiniCase_Data!H139),VLOOKUP(A139,센서로그!$A$2:$C$13,3,FALSE),MiniCase_Data!H139)</x:f>
        <x:v>30.83</x:v>
      </x:c>
      <x:c r="E139" t="n">
        <x:f>IF(AND(MiniCase_Data!C139="야간",MiniCase_Data!F139="M03"),1,0)</x:f>
        <x:v>0</x:v>
      </x:c>
      <x:c r="F139" t="n">
        <x:f>IF(C139="밖",1,0)</x:f>
        <x:v>0</x:v>
      </x:c>
      <x:c r="G139" t="n">
        <x:f>IF(OR(F139=1,E139=1),1,0)</x:f>
        <x:v>0</x:v>
      </x:c>
      <x:c r="H139" t="str">
        <x:f>IF(B139=1,IF(F139=1,"TP","FN"),IF(F139=1,"FP","TN"))</x:f>
        <x:v>TN</x:v>
      </x:c>
      <x:c r="I139" t="str">
        <x:f>IF(B139=1,IF(G139=1,"TP","FN"),IF(G139=1,"FP","TN"))</x:f>
        <x:v>TN</x:v>
      </x:c>
    </x:row>
    <x:row r="140">
      <x:c r="A140" t="str">
        <x:f>MiniCase_Data!A140</x:f>
        <x:v>R00139</x:v>
      </x:c>
      <x:c r="B140" t="n">
        <x:f>IF(MiniCase_Data!O140="불합격",1,0)</x:f>
        <x:v>0</x:v>
      </x:c>
      <x:c r="C140" t="str">
        <x:f>IF(ISBLANK(MiniCase_Data!H140),"missing",IF(OR(MiniCase_Data!H140&lt;27,MiniCase_Data!H140&gt;33),"밖","안"))</x:f>
        <x:v>안</x:v>
      </x:c>
      <x:c r="D140" t="n">
        <x:f>IF(ISBLANK(MiniCase_Data!H140),VLOOKUP(A140,센서로그!$A$2:$C$13,3,FALSE),MiniCase_Data!H140)</x:f>
        <x:v>29.97</x:v>
      </x:c>
      <x:c r="E140" t="n">
        <x:f>IF(AND(MiniCase_Data!C140="야간",MiniCase_Data!F140="M03"),1,0)</x:f>
        <x:v>0</x:v>
      </x:c>
      <x:c r="F140" t="n">
        <x:f>IF(C140="밖",1,0)</x:f>
        <x:v>0</x:v>
      </x:c>
      <x:c r="G140" t="n">
        <x:f>IF(OR(F140=1,E140=1),1,0)</x:f>
        <x:v>0</x:v>
      </x:c>
      <x:c r="H140" t="str">
        <x:f>IF(B140=1,IF(F140=1,"TP","FN"),IF(F140=1,"FP","TN"))</x:f>
        <x:v>TN</x:v>
      </x:c>
      <x:c r="I140" t="str">
        <x:f>IF(B140=1,IF(G140=1,"TP","FN"),IF(G140=1,"FP","TN"))</x:f>
        <x:v>TN</x:v>
      </x:c>
    </x:row>
    <x:row r="141">
      <x:c r="A141" t="str">
        <x:f>MiniCase_Data!A141</x:f>
        <x:v>R00140</x:v>
      </x:c>
      <x:c r="B141" t="n">
        <x:f>IF(MiniCase_Data!O141="불합격",1,0)</x:f>
        <x:v>0</x:v>
      </x:c>
      <x:c r="C141" t="str">
        <x:f>IF(ISBLANK(MiniCase_Data!H141),"missing",IF(OR(MiniCase_Data!H141&lt;27,MiniCase_Data!H141&gt;33),"밖","안"))</x:f>
        <x:v>안</x:v>
      </x:c>
      <x:c r="D141" t="n">
        <x:f>IF(ISBLANK(MiniCase_Data!H141),VLOOKUP(A141,센서로그!$A$2:$C$13,3,FALSE),MiniCase_Data!H141)</x:f>
        <x:v>30.66</x:v>
      </x:c>
      <x:c r="E141" t="n">
        <x:f>IF(AND(MiniCase_Data!C141="야간",MiniCase_Data!F141="M03"),1,0)</x:f>
        <x:v>0</x:v>
      </x:c>
      <x:c r="F141" t="n">
        <x:f>IF(C141="밖",1,0)</x:f>
        <x:v>0</x:v>
      </x:c>
      <x:c r="G141" t="n">
        <x:f>IF(OR(F141=1,E141=1),1,0)</x:f>
        <x:v>0</x:v>
      </x:c>
      <x:c r="H141" t="str">
        <x:f>IF(B141=1,IF(F141=1,"TP","FN"),IF(F141=1,"FP","TN"))</x:f>
        <x:v>TN</x:v>
      </x:c>
      <x:c r="I141" t="str">
        <x:f>IF(B141=1,IF(G141=1,"TP","FN"),IF(G141=1,"FP","TN"))</x:f>
        <x:v>TN</x:v>
      </x:c>
    </x:row>
    <x:row r="142">
      <x:c r="A142" t="str">
        <x:f>MiniCase_Data!A142</x:f>
        <x:v>R00141</x:v>
      </x:c>
      <x:c r="B142" t="n">
        <x:f>IF(MiniCase_Data!O142="불합격",1,0)</x:f>
        <x:v>0</x:v>
      </x:c>
      <x:c r="C142" t="str">
        <x:f>IF(ISBLANK(MiniCase_Data!H142),"missing",IF(OR(MiniCase_Data!H142&lt;27,MiniCase_Data!H142&gt;33),"밖","안"))</x:f>
        <x:v>안</x:v>
      </x:c>
      <x:c r="D142" t="n">
        <x:f>IF(ISBLANK(MiniCase_Data!H142),VLOOKUP(A142,센서로그!$A$2:$C$13,3,FALSE),MiniCase_Data!H142)</x:f>
        <x:v>30.16</x:v>
      </x:c>
      <x:c r="E142" t="n">
        <x:f>IF(AND(MiniCase_Data!C142="야간",MiniCase_Data!F142="M03"),1,0)</x:f>
        <x:v>0</x:v>
      </x:c>
      <x:c r="F142" t="n">
        <x:f>IF(C142="밖",1,0)</x:f>
        <x:v>0</x:v>
      </x:c>
      <x:c r="G142" t="n">
        <x:f>IF(OR(F142=1,E142=1),1,0)</x:f>
        <x:v>0</x:v>
      </x:c>
      <x:c r="H142" t="str">
        <x:f>IF(B142=1,IF(F142=1,"TP","FN"),IF(F142=1,"FP","TN"))</x:f>
        <x:v>TN</x:v>
      </x:c>
      <x:c r="I142" t="str">
        <x:f>IF(B142=1,IF(G142=1,"TP","FN"),IF(G142=1,"FP","TN"))</x:f>
        <x:v>TN</x:v>
      </x:c>
    </x:row>
    <x:row r="143">
      <x:c r="A143" t="str">
        <x:f>MiniCase_Data!A143</x:f>
        <x:v>R00142</x:v>
      </x:c>
      <x:c r="B143" t="n">
        <x:f>IF(MiniCase_Data!O143="불합격",1,0)</x:f>
        <x:v>0</x:v>
      </x:c>
      <x:c r="C143" t="str">
        <x:f>IF(ISBLANK(MiniCase_Data!H143),"missing",IF(OR(MiniCase_Data!H143&lt;27,MiniCase_Data!H143&gt;33),"밖","안"))</x:f>
        <x:v>안</x:v>
      </x:c>
      <x:c r="D143" t="n">
        <x:f>IF(ISBLANK(MiniCase_Data!H143),VLOOKUP(A143,센서로그!$A$2:$C$13,3,FALSE),MiniCase_Data!H143)</x:f>
        <x:v>31.72</x:v>
      </x:c>
      <x:c r="E143" t="n">
        <x:f>IF(AND(MiniCase_Data!C143="야간",MiniCase_Data!F143="M03"),1,0)</x:f>
        <x:v>0</x:v>
      </x:c>
      <x:c r="F143" t="n">
        <x:f>IF(C143="밖",1,0)</x:f>
        <x:v>0</x:v>
      </x:c>
      <x:c r="G143" t="n">
        <x:f>IF(OR(F143=1,E143=1),1,0)</x:f>
        <x:v>0</x:v>
      </x:c>
      <x:c r="H143" t="str">
        <x:f>IF(B143=1,IF(F143=1,"TP","FN"),IF(F143=1,"FP","TN"))</x:f>
        <x:v>TN</x:v>
      </x:c>
      <x:c r="I143" t="str">
        <x:f>IF(B143=1,IF(G143=1,"TP","FN"),IF(G143=1,"FP","TN"))</x:f>
        <x:v>TN</x:v>
      </x:c>
    </x:row>
    <x:row r="144">
      <x:c r="A144" t="str">
        <x:f>MiniCase_Data!A144</x:f>
        <x:v>R00143</x:v>
      </x:c>
      <x:c r="B144" t="n">
        <x:f>IF(MiniCase_Data!O144="불합격",1,0)</x:f>
        <x:v>0</x:v>
      </x:c>
      <x:c r="C144" t="str">
        <x:f>IF(ISBLANK(MiniCase_Data!H144),"missing",IF(OR(MiniCase_Data!H144&lt;27,MiniCase_Data!H144&gt;33),"밖","안"))</x:f>
        <x:v>밖</x:v>
      </x:c>
      <x:c r="D144" t="n">
        <x:f>IF(ISBLANK(MiniCase_Data!H144),VLOOKUP(A144,센서로그!$A$2:$C$13,3,FALSE),MiniCase_Data!H144)</x:f>
        <x:v>34.12</x:v>
      </x:c>
      <x:c r="E144" t="n">
        <x:f>IF(AND(MiniCase_Data!C144="야간",MiniCase_Data!F144="M03"),1,0)</x:f>
        <x:v>1</x:v>
      </x:c>
      <x:c r="F144" t="n">
        <x:f>IF(C144="밖",1,0)</x:f>
        <x:v>1</x:v>
      </x:c>
      <x:c r="G144" t="n">
        <x:f>IF(OR(F144=1,E144=1),1,0)</x:f>
        <x:v>1</x:v>
      </x:c>
      <x:c r="H144" t="str">
        <x:f>IF(B144=1,IF(F144=1,"TP","FN"),IF(F144=1,"FP","TN"))</x:f>
        <x:v>FP</x:v>
      </x:c>
      <x:c r="I144" t="str">
        <x:f>IF(B144=1,IF(G144=1,"TP","FN"),IF(G144=1,"FP","TN"))</x:f>
        <x:v>FP</x:v>
      </x:c>
    </x:row>
    <x:row r="145">
      <x:c r="A145" t="str">
        <x:f>MiniCase_Data!A145</x:f>
        <x:v>R00144</x:v>
      </x:c>
      <x:c r="B145" t="n">
        <x:f>IF(MiniCase_Data!O145="불합격",1,0)</x:f>
        <x:v>0</x:v>
      </x:c>
      <x:c r="C145" t="str">
        <x:f>IF(ISBLANK(MiniCase_Data!H145),"missing",IF(OR(MiniCase_Data!H145&lt;27,MiniCase_Data!H145&gt;33),"밖","안"))</x:f>
        <x:v>안</x:v>
      </x:c>
      <x:c r="D145" t="n">
        <x:f>IF(ISBLANK(MiniCase_Data!H145),VLOOKUP(A145,센서로그!$A$2:$C$13,3,FALSE),MiniCase_Data!H145)</x:f>
        <x:v>30.71</x:v>
      </x:c>
      <x:c r="E145" t="n">
        <x:f>IF(AND(MiniCase_Data!C145="야간",MiniCase_Data!F145="M03"),1,0)</x:f>
        <x:v>0</x:v>
      </x:c>
      <x:c r="F145" t="n">
        <x:f>IF(C145="밖",1,0)</x:f>
        <x:v>0</x:v>
      </x:c>
      <x:c r="G145" t="n">
        <x:f>IF(OR(F145=1,E145=1),1,0)</x:f>
        <x:v>0</x:v>
      </x:c>
      <x:c r="H145" t="str">
        <x:f>IF(B145=1,IF(F145=1,"TP","FN"),IF(F145=1,"FP","TN"))</x:f>
        <x:v>TN</x:v>
      </x:c>
      <x:c r="I145" t="str">
        <x:f>IF(B145=1,IF(G145=1,"TP","FN"),IF(G145=1,"FP","TN"))</x:f>
        <x:v>TN</x:v>
      </x:c>
    </x:row>
    <x:row r="146">
      <x:c r="A146" t="str">
        <x:f>MiniCase_Data!A146</x:f>
        <x:v>R00145</x:v>
      </x:c>
      <x:c r="B146" t="n">
        <x:f>IF(MiniCase_Data!O146="불합격",1,0)</x:f>
        <x:v>0</x:v>
      </x:c>
      <x:c r="C146" t="str">
        <x:f>IF(ISBLANK(MiniCase_Data!H146),"missing",IF(OR(MiniCase_Data!H146&lt;27,MiniCase_Data!H146&gt;33),"밖","안"))</x:f>
        <x:v>안</x:v>
      </x:c>
      <x:c r="D146" t="n">
        <x:f>IF(ISBLANK(MiniCase_Data!H146),VLOOKUP(A146,센서로그!$A$2:$C$13,3,FALSE),MiniCase_Data!H146)</x:f>
        <x:v>27.31</x:v>
      </x:c>
      <x:c r="E146" t="n">
        <x:f>IF(AND(MiniCase_Data!C146="야간",MiniCase_Data!F146="M03"),1,0)</x:f>
        <x:v>0</x:v>
      </x:c>
      <x:c r="F146" t="n">
        <x:f>IF(C146="밖",1,0)</x:f>
        <x:v>0</x:v>
      </x:c>
      <x:c r="G146" t="n">
        <x:f>IF(OR(F146=1,E146=1),1,0)</x:f>
        <x:v>0</x:v>
      </x:c>
      <x:c r="H146" t="str">
        <x:f>IF(B146=1,IF(F146=1,"TP","FN"),IF(F146=1,"FP","TN"))</x:f>
        <x:v>TN</x:v>
      </x:c>
      <x:c r="I146" t="str">
        <x:f>IF(B146=1,IF(G146=1,"TP","FN"),IF(G146=1,"FP","TN"))</x:f>
        <x:v>TN</x:v>
      </x:c>
    </x:row>
    <x:row r="147">
      <x:c r="A147" t="str">
        <x:f>MiniCase_Data!A147</x:f>
        <x:v>R00146</x:v>
      </x:c>
      <x:c r="B147" t="n">
        <x:f>IF(MiniCase_Data!O147="불합격",1,0)</x:f>
        <x:v>0</x:v>
      </x:c>
      <x:c r="C147" t="str">
        <x:f>IF(ISBLANK(MiniCase_Data!H147),"missing",IF(OR(MiniCase_Data!H147&lt;27,MiniCase_Data!H147&gt;33),"밖","안"))</x:f>
        <x:v>안</x:v>
      </x:c>
      <x:c r="D147" t="n">
        <x:f>IF(ISBLANK(MiniCase_Data!H147),VLOOKUP(A147,센서로그!$A$2:$C$13,3,FALSE),MiniCase_Data!H147)</x:f>
        <x:v>27.88</x:v>
      </x:c>
      <x:c r="E147" t="n">
        <x:f>IF(AND(MiniCase_Data!C147="야간",MiniCase_Data!F147="M03"),1,0)</x:f>
        <x:v>0</x:v>
      </x:c>
      <x:c r="F147" t="n">
        <x:f>IF(C147="밖",1,0)</x:f>
        <x:v>0</x:v>
      </x:c>
      <x:c r="G147" t="n">
        <x:f>IF(OR(F147=1,E147=1),1,0)</x:f>
        <x:v>0</x:v>
      </x:c>
      <x:c r="H147" t="str">
        <x:f>IF(B147=1,IF(F147=1,"TP","FN"),IF(F147=1,"FP","TN"))</x:f>
        <x:v>TN</x:v>
      </x:c>
      <x:c r="I147" t="str">
        <x:f>IF(B147=1,IF(G147=1,"TP","FN"),IF(G147=1,"FP","TN"))</x:f>
        <x:v>TN</x:v>
      </x:c>
    </x:row>
    <x:row r="148">
      <x:c r="A148" t="str">
        <x:f>MiniCase_Data!A148</x:f>
        <x:v>R00147</x:v>
      </x:c>
      <x:c r="B148" t="n">
        <x:f>IF(MiniCase_Data!O148="불합격",1,0)</x:f>
        <x:v>0</x:v>
      </x:c>
      <x:c r="C148" t="str">
        <x:f>IF(ISBLANK(MiniCase_Data!H148),"missing",IF(OR(MiniCase_Data!H148&lt;27,MiniCase_Data!H148&gt;33),"밖","안"))</x:f>
        <x:v>안</x:v>
      </x:c>
      <x:c r="D148" t="n">
        <x:f>IF(ISBLANK(MiniCase_Data!H148),VLOOKUP(A148,센서로그!$A$2:$C$13,3,FALSE),MiniCase_Data!H148)</x:f>
        <x:v>30.08</x:v>
      </x:c>
      <x:c r="E148" t="n">
        <x:f>IF(AND(MiniCase_Data!C148="야간",MiniCase_Data!F148="M03"),1,0)</x:f>
        <x:v>0</x:v>
      </x:c>
      <x:c r="F148" t="n">
        <x:f>IF(C148="밖",1,0)</x:f>
        <x:v>0</x:v>
      </x:c>
      <x:c r="G148" t="n">
        <x:f>IF(OR(F148=1,E148=1),1,0)</x:f>
        <x:v>0</x:v>
      </x:c>
      <x:c r="H148" t="str">
        <x:f>IF(B148=1,IF(F148=1,"TP","FN"),IF(F148=1,"FP","TN"))</x:f>
        <x:v>TN</x:v>
      </x:c>
      <x:c r="I148" t="str">
        <x:f>IF(B148=1,IF(G148=1,"TP","FN"),IF(G148=1,"FP","TN"))</x:f>
        <x:v>TN</x:v>
      </x:c>
    </x:row>
    <x:row r="149">
      <x:c r="A149" t="str">
        <x:f>MiniCase_Data!A149</x:f>
        <x:v>R00148</x:v>
      </x:c>
      <x:c r="B149" t="n">
        <x:f>IF(MiniCase_Data!O149="불합격",1,0)</x:f>
        <x:v>0</x:v>
      </x:c>
      <x:c r="C149" t="str">
        <x:f>IF(ISBLANK(MiniCase_Data!H149),"missing",IF(OR(MiniCase_Data!H149&lt;27,MiniCase_Data!H149&gt;33),"밖","안"))</x:f>
        <x:v>안</x:v>
      </x:c>
      <x:c r="D149" t="n">
        <x:f>IF(ISBLANK(MiniCase_Data!H149),VLOOKUP(A149,센서로그!$A$2:$C$13,3,FALSE),MiniCase_Data!H149)</x:f>
        <x:v>31.56</x:v>
      </x:c>
      <x:c r="E149" t="n">
        <x:f>IF(AND(MiniCase_Data!C149="야간",MiniCase_Data!F149="M03"),1,0)</x:f>
        <x:v>0</x:v>
      </x:c>
      <x:c r="F149" t="n">
        <x:f>IF(C149="밖",1,0)</x:f>
        <x:v>0</x:v>
      </x:c>
      <x:c r="G149" t="n">
        <x:f>IF(OR(F149=1,E149=1),1,0)</x:f>
        <x:v>0</x:v>
      </x:c>
      <x:c r="H149" t="str">
        <x:f>IF(B149=1,IF(F149=1,"TP","FN"),IF(F149=1,"FP","TN"))</x:f>
        <x:v>TN</x:v>
      </x:c>
      <x:c r="I149" t="str">
        <x:f>IF(B149=1,IF(G149=1,"TP","FN"),IF(G149=1,"FP","TN"))</x:f>
        <x:v>TN</x:v>
      </x:c>
    </x:row>
    <x:row r="150">
      <x:c r="A150" t="str">
        <x:f>MiniCase_Data!A150</x:f>
        <x:v>R00149</x:v>
      </x:c>
      <x:c r="B150" t="n">
        <x:f>IF(MiniCase_Data!O150="불합격",1,0)</x:f>
        <x:v>0</x:v>
      </x:c>
      <x:c r="C150" t="str">
        <x:f>IF(ISBLANK(MiniCase_Data!H150),"missing",IF(OR(MiniCase_Data!H150&lt;27,MiniCase_Data!H150&gt;33),"밖","안"))</x:f>
        <x:v>안</x:v>
      </x:c>
      <x:c r="D150" t="n">
        <x:f>IF(ISBLANK(MiniCase_Data!H150),VLOOKUP(A150,센서로그!$A$2:$C$13,3,FALSE),MiniCase_Data!H150)</x:f>
        <x:v>28.02</x:v>
      </x:c>
      <x:c r="E150" t="n">
        <x:f>IF(AND(MiniCase_Data!C150="야간",MiniCase_Data!F150="M03"),1,0)</x:f>
        <x:v>0</x:v>
      </x:c>
      <x:c r="F150" t="n">
        <x:f>IF(C150="밖",1,0)</x:f>
        <x:v>0</x:v>
      </x:c>
      <x:c r="G150" t="n">
        <x:f>IF(OR(F150=1,E150=1),1,0)</x:f>
        <x:v>0</x:v>
      </x:c>
      <x:c r="H150" t="str">
        <x:f>IF(B150=1,IF(F150=1,"TP","FN"),IF(F150=1,"FP","TN"))</x:f>
        <x:v>TN</x:v>
      </x:c>
      <x:c r="I150" t="str">
        <x:f>IF(B150=1,IF(G150=1,"TP","FN"),IF(G150=1,"FP","TN"))</x:f>
        <x:v>TN</x:v>
      </x:c>
    </x:row>
    <x:row r="151">
      <x:c r="A151" t="str">
        <x:f>MiniCase_Data!A151</x:f>
        <x:v>R00150</x:v>
      </x:c>
      <x:c r="B151" t="n">
        <x:f>IF(MiniCase_Data!O151="불합격",1,0)</x:f>
        <x:v>0</x:v>
      </x:c>
      <x:c r="C151" t="str">
        <x:f>IF(ISBLANK(MiniCase_Data!H151),"missing",IF(OR(MiniCase_Data!H151&lt;27,MiniCase_Data!H151&gt;33),"밖","안"))</x:f>
        <x:v>안</x:v>
      </x:c>
      <x:c r="D151" t="n">
        <x:f>IF(ISBLANK(MiniCase_Data!H151),VLOOKUP(A151,센서로그!$A$2:$C$13,3,FALSE),MiniCase_Data!H151)</x:f>
        <x:v>29.87</x:v>
      </x:c>
      <x:c r="E151" t="n">
        <x:f>IF(AND(MiniCase_Data!C151="야간",MiniCase_Data!F151="M03"),1,0)</x:f>
        <x:v>0</x:v>
      </x:c>
      <x:c r="F151" t="n">
        <x:f>IF(C151="밖",1,0)</x:f>
        <x:v>0</x:v>
      </x:c>
      <x:c r="G151" t="n">
        <x:f>IF(OR(F151=1,E151=1),1,0)</x:f>
        <x:v>0</x:v>
      </x:c>
      <x:c r="H151" t="str">
        <x:f>IF(B151=1,IF(F151=1,"TP","FN"),IF(F151=1,"FP","TN"))</x:f>
        <x:v>TN</x:v>
      </x:c>
      <x:c r="I151" t="str">
        <x:f>IF(B151=1,IF(G151=1,"TP","FN"),IF(G151=1,"FP","TN"))</x:f>
        <x:v>TN</x:v>
      </x:c>
    </x:row>
    <x:row r="152">
      <x:c r="A152" t="str">
        <x:f>MiniCase_Data!A152</x:f>
        <x:v>R00151</x:v>
      </x:c>
      <x:c r="B152" t="n">
        <x:f>IF(MiniCase_Data!O152="불합격",1,0)</x:f>
        <x:v>0</x:v>
      </x:c>
      <x:c r="C152" t="str">
        <x:f>IF(ISBLANK(MiniCase_Data!H152),"missing",IF(OR(MiniCase_Data!H152&lt;27,MiniCase_Data!H152&gt;33),"밖","안"))</x:f>
        <x:v>안</x:v>
      </x:c>
      <x:c r="D152" t="n">
        <x:f>IF(ISBLANK(MiniCase_Data!H152),VLOOKUP(A152,센서로그!$A$2:$C$13,3,FALSE),MiniCase_Data!H152)</x:f>
        <x:v>31.46</x:v>
      </x:c>
      <x:c r="E152" t="n">
        <x:f>IF(AND(MiniCase_Data!C152="야간",MiniCase_Data!F152="M03"),1,0)</x:f>
        <x:v>0</x:v>
      </x:c>
      <x:c r="F152" t="n">
        <x:f>IF(C152="밖",1,0)</x:f>
        <x:v>0</x:v>
      </x:c>
      <x:c r="G152" t="n">
        <x:f>IF(OR(F152=1,E152=1),1,0)</x:f>
        <x:v>0</x:v>
      </x:c>
      <x:c r="H152" t="str">
        <x:f>IF(B152=1,IF(F152=1,"TP","FN"),IF(F152=1,"FP","TN"))</x:f>
        <x:v>TN</x:v>
      </x:c>
      <x:c r="I152" t="str">
        <x:f>IF(B152=1,IF(G152=1,"TP","FN"),IF(G152=1,"FP","TN"))</x:f>
        <x:v>TN</x:v>
      </x:c>
    </x:row>
    <x:row r="153">
      <x:c r="A153" t="str">
        <x:f>MiniCase_Data!A153</x:f>
        <x:v>R00152</x:v>
      </x:c>
      <x:c r="B153" t="n">
        <x:f>IF(MiniCase_Data!O153="불합격",1,0)</x:f>
        <x:v>0</x:v>
      </x:c>
      <x:c r="C153" t="str">
        <x:f>IF(ISBLANK(MiniCase_Data!H153),"missing",IF(OR(MiniCase_Data!H153&lt;27,MiniCase_Data!H153&gt;33),"밖","안"))</x:f>
        <x:v>안</x:v>
      </x:c>
      <x:c r="D153" t="n">
        <x:f>IF(ISBLANK(MiniCase_Data!H153),VLOOKUP(A153,센서로그!$A$2:$C$13,3,FALSE),MiniCase_Data!H153)</x:f>
        <x:v>27.78</x:v>
      </x:c>
      <x:c r="E153" t="n">
        <x:f>IF(AND(MiniCase_Data!C153="야간",MiniCase_Data!F153="M03"),1,0)</x:f>
        <x:v>0</x:v>
      </x:c>
      <x:c r="F153" t="n">
        <x:f>IF(C153="밖",1,0)</x:f>
        <x:v>0</x:v>
      </x:c>
      <x:c r="G153" t="n">
        <x:f>IF(OR(F153=1,E153=1),1,0)</x:f>
        <x:v>0</x:v>
      </x:c>
      <x:c r="H153" t="str">
        <x:f>IF(B153=1,IF(F153=1,"TP","FN"),IF(F153=1,"FP","TN"))</x:f>
        <x:v>TN</x:v>
      </x:c>
      <x:c r="I153" t="str">
        <x:f>IF(B153=1,IF(G153=1,"TP","FN"),IF(G153=1,"FP","TN"))</x:f>
        <x:v>TN</x:v>
      </x:c>
    </x:row>
    <x:row r="154">
      <x:c r="A154" t="str">
        <x:f>MiniCase_Data!A154</x:f>
        <x:v>R00153</x:v>
      </x:c>
      <x:c r="B154" t="n">
        <x:f>IF(MiniCase_Data!O154="불합격",1,0)</x:f>
        <x:v>0</x:v>
      </x:c>
      <x:c r="C154" t="str">
        <x:f>IF(ISBLANK(MiniCase_Data!H154),"missing",IF(OR(MiniCase_Data!H154&lt;27,MiniCase_Data!H154&gt;33),"밖","안"))</x:f>
        <x:v>안</x:v>
      </x:c>
      <x:c r="D154" t="n">
        <x:f>IF(ISBLANK(MiniCase_Data!H154),VLOOKUP(A154,센서로그!$A$2:$C$13,3,FALSE),MiniCase_Data!H154)</x:f>
        <x:v>31.03</x:v>
      </x:c>
      <x:c r="E154" t="n">
        <x:f>IF(AND(MiniCase_Data!C154="야간",MiniCase_Data!F154="M03"),1,0)</x:f>
        <x:v>0</x:v>
      </x:c>
      <x:c r="F154" t="n">
        <x:f>IF(C154="밖",1,0)</x:f>
        <x:v>0</x:v>
      </x:c>
      <x:c r="G154" t="n">
        <x:f>IF(OR(F154=1,E154=1),1,0)</x:f>
        <x:v>0</x:v>
      </x:c>
      <x:c r="H154" t="str">
        <x:f>IF(B154=1,IF(F154=1,"TP","FN"),IF(F154=1,"FP","TN"))</x:f>
        <x:v>TN</x:v>
      </x:c>
      <x:c r="I154" t="str">
        <x:f>IF(B154=1,IF(G154=1,"TP","FN"),IF(G154=1,"FP","TN"))</x:f>
        <x:v>TN</x:v>
      </x:c>
    </x:row>
    <x:row r="155">
      <x:c r="A155" t="str">
        <x:f>MiniCase_Data!A155</x:f>
        <x:v>R00154</x:v>
      </x:c>
      <x:c r="B155" t="n">
        <x:f>IF(MiniCase_Data!O155="불합격",1,0)</x:f>
        <x:v>0</x:v>
      </x:c>
      <x:c r="C155" t="str">
        <x:f>IF(ISBLANK(MiniCase_Data!H155),"missing",IF(OR(MiniCase_Data!H155&lt;27,MiniCase_Data!H155&gt;33),"밖","안"))</x:f>
        <x:v>안</x:v>
      </x:c>
      <x:c r="D155" t="n">
        <x:f>IF(ISBLANK(MiniCase_Data!H155),VLOOKUP(A155,센서로그!$A$2:$C$13,3,FALSE),MiniCase_Data!H155)</x:f>
        <x:v>29.3</x:v>
      </x:c>
      <x:c r="E155" t="n">
        <x:f>IF(AND(MiniCase_Data!C155="야간",MiniCase_Data!F155="M03"),1,0)</x:f>
        <x:v>0</x:v>
      </x:c>
      <x:c r="F155" t="n">
        <x:f>IF(C155="밖",1,0)</x:f>
        <x:v>0</x:v>
      </x:c>
      <x:c r="G155" t="n">
        <x:f>IF(OR(F155=1,E155=1),1,0)</x:f>
        <x:v>0</x:v>
      </x:c>
      <x:c r="H155" t="str">
        <x:f>IF(B155=1,IF(F155=1,"TP","FN"),IF(F155=1,"FP","TN"))</x:f>
        <x:v>TN</x:v>
      </x:c>
      <x:c r="I155" t="str">
        <x:f>IF(B155=1,IF(G155=1,"TP","FN"),IF(G155=1,"FP","TN"))</x:f>
        <x:v>TN</x:v>
      </x:c>
    </x:row>
    <x:row r="156">
      <x:c r="A156" t="str">
        <x:f>MiniCase_Data!A156</x:f>
        <x:v>R00155</x:v>
      </x:c>
      <x:c r="B156" t="n">
        <x:f>IF(MiniCase_Data!O156="불합격",1,0)</x:f>
        <x:v>0</x:v>
      </x:c>
      <x:c r="C156" t="str">
        <x:f>IF(ISBLANK(MiniCase_Data!H156),"missing",IF(OR(MiniCase_Data!H156&lt;27,MiniCase_Data!H156&gt;33),"밖","안"))</x:f>
        <x:v>안</x:v>
      </x:c>
      <x:c r="D156" t="n">
        <x:f>IF(ISBLANK(MiniCase_Data!H156),VLOOKUP(A156,센서로그!$A$2:$C$13,3,FALSE),MiniCase_Data!H156)</x:f>
        <x:v>27.52</x:v>
      </x:c>
      <x:c r="E156" t="n">
        <x:f>IF(AND(MiniCase_Data!C156="야간",MiniCase_Data!F156="M03"),1,0)</x:f>
        <x:v>0</x:v>
      </x:c>
      <x:c r="F156" t="n">
        <x:f>IF(C156="밖",1,0)</x:f>
        <x:v>0</x:v>
      </x:c>
      <x:c r="G156" t="n">
        <x:f>IF(OR(F156=1,E156=1),1,0)</x:f>
        <x:v>0</x:v>
      </x:c>
      <x:c r="H156" t="str">
        <x:f>IF(B156=1,IF(F156=1,"TP","FN"),IF(F156=1,"FP","TN"))</x:f>
        <x:v>TN</x:v>
      </x:c>
      <x:c r="I156" t="str">
        <x:f>IF(B156=1,IF(G156=1,"TP","FN"),IF(G156=1,"FP","TN"))</x:f>
        <x:v>TN</x:v>
      </x:c>
    </x:row>
    <x:row r="157">
      <x:c r="A157" t="str">
        <x:f>MiniCase_Data!A157</x:f>
        <x:v>R00156</x:v>
      </x:c>
      <x:c r="B157" t="n">
        <x:f>IF(MiniCase_Data!O157="불합격",1,0)</x:f>
        <x:v>0</x:v>
      </x:c>
      <x:c r="C157" t="str">
        <x:f>IF(ISBLANK(MiniCase_Data!H157),"missing",IF(OR(MiniCase_Data!H157&lt;27,MiniCase_Data!H157&gt;33),"밖","안"))</x:f>
        <x:v>안</x:v>
      </x:c>
      <x:c r="D157" t="n">
        <x:f>IF(ISBLANK(MiniCase_Data!H157),VLOOKUP(A157,센서로그!$A$2:$C$13,3,FALSE),MiniCase_Data!H157)</x:f>
        <x:v>28.55</x:v>
      </x:c>
      <x:c r="E157" t="n">
        <x:f>IF(AND(MiniCase_Data!C157="야간",MiniCase_Data!F157="M03"),1,0)</x:f>
        <x:v>0</x:v>
      </x:c>
      <x:c r="F157" t="n">
        <x:f>IF(C157="밖",1,0)</x:f>
        <x:v>0</x:v>
      </x:c>
      <x:c r="G157" t="n">
        <x:f>IF(OR(F157=1,E157=1),1,0)</x:f>
        <x:v>0</x:v>
      </x:c>
      <x:c r="H157" t="str">
        <x:f>IF(B157=1,IF(F157=1,"TP","FN"),IF(F157=1,"FP","TN"))</x:f>
        <x:v>TN</x:v>
      </x:c>
      <x:c r="I157" t="str">
        <x:f>IF(B157=1,IF(G157=1,"TP","FN"),IF(G157=1,"FP","TN"))</x:f>
        <x:v>TN</x:v>
      </x:c>
    </x:row>
    <x:row r="158">
      <x:c r="A158" t="str">
        <x:f>MiniCase_Data!A158</x:f>
        <x:v>R00157</x:v>
      </x:c>
      <x:c r="B158" t="n">
        <x:f>IF(MiniCase_Data!O158="불합격",1,0)</x:f>
        <x:v>0</x:v>
      </x:c>
      <x:c r="C158" t="str">
        <x:f>IF(ISBLANK(MiniCase_Data!H158),"missing",IF(OR(MiniCase_Data!H158&lt;27,MiniCase_Data!H158&gt;33),"밖","안"))</x:f>
        <x:v>안</x:v>
      </x:c>
      <x:c r="D158" t="n">
        <x:f>IF(ISBLANK(MiniCase_Data!H158),VLOOKUP(A158,센서로그!$A$2:$C$13,3,FALSE),MiniCase_Data!H158)</x:f>
        <x:v>29.48</x:v>
      </x:c>
      <x:c r="E158" t="n">
        <x:f>IF(AND(MiniCase_Data!C158="야간",MiniCase_Data!F158="M03"),1,0)</x:f>
        <x:v>0</x:v>
      </x:c>
      <x:c r="F158" t="n">
        <x:f>IF(C158="밖",1,0)</x:f>
        <x:v>0</x:v>
      </x:c>
      <x:c r="G158" t="n">
        <x:f>IF(OR(F158=1,E158=1),1,0)</x:f>
        <x:v>0</x:v>
      </x:c>
      <x:c r="H158" t="str">
        <x:f>IF(B158=1,IF(F158=1,"TP","FN"),IF(F158=1,"FP","TN"))</x:f>
        <x:v>TN</x:v>
      </x:c>
      <x:c r="I158" t="str">
        <x:f>IF(B158=1,IF(G158=1,"TP","FN"),IF(G158=1,"FP","TN"))</x:f>
        <x:v>TN</x:v>
      </x:c>
    </x:row>
    <x:row r="159">
      <x:c r="A159" t="str">
        <x:f>MiniCase_Data!A159</x:f>
        <x:v>R00158</x:v>
      </x:c>
      <x:c r="B159" t="n">
        <x:f>IF(MiniCase_Data!O159="불합격",1,0)</x:f>
        <x:v>0</x:v>
      </x:c>
      <x:c r="C159" t="str">
        <x:f>IF(ISBLANK(MiniCase_Data!H159),"missing",IF(OR(MiniCase_Data!H159&lt;27,MiniCase_Data!H159&gt;33),"밖","안"))</x:f>
        <x:v>안</x:v>
      </x:c>
      <x:c r="D159" t="n">
        <x:f>IF(ISBLANK(MiniCase_Data!H159),VLOOKUP(A159,센서로그!$A$2:$C$13,3,FALSE),MiniCase_Data!H159)</x:f>
        <x:v>29.14</x:v>
      </x:c>
      <x:c r="E159" t="n">
        <x:f>IF(AND(MiniCase_Data!C159="야간",MiniCase_Data!F159="M03"),1,0)</x:f>
        <x:v>0</x:v>
      </x:c>
      <x:c r="F159" t="n">
        <x:f>IF(C159="밖",1,0)</x:f>
        <x:v>0</x:v>
      </x:c>
      <x:c r="G159" t="n">
        <x:f>IF(OR(F159=1,E159=1),1,0)</x:f>
        <x:v>0</x:v>
      </x:c>
      <x:c r="H159" t="str">
        <x:f>IF(B159=1,IF(F159=1,"TP","FN"),IF(F159=1,"FP","TN"))</x:f>
        <x:v>TN</x:v>
      </x:c>
      <x:c r="I159" t="str">
        <x:f>IF(B159=1,IF(G159=1,"TP","FN"),IF(G159=1,"FP","TN"))</x:f>
        <x:v>TN</x:v>
      </x:c>
    </x:row>
    <x:row r="160">
      <x:c r="A160" t="str">
        <x:f>MiniCase_Data!A160</x:f>
        <x:v>R00159</x:v>
      </x:c>
      <x:c r="B160" t="n">
        <x:f>IF(MiniCase_Data!O160="불합격",1,0)</x:f>
        <x:v>0</x:v>
      </x:c>
      <x:c r="C160" t="str">
        <x:f>IF(ISBLANK(MiniCase_Data!H160),"missing",IF(OR(MiniCase_Data!H160&lt;27,MiniCase_Data!H160&gt;33),"밖","안"))</x:f>
        <x:v>안</x:v>
      </x:c>
      <x:c r="D160" t="n">
        <x:f>IF(ISBLANK(MiniCase_Data!H160),VLOOKUP(A160,센서로그!$A$2:$C$13,3,FALSE),MiniCase_Data!H160)</x:f>
        <x:v>32.17</x:v>
      </x:c>
      <x:c r="E160" t="n">
        <x:f>IF(AND(MiniCase_Data!C160="야간",MiniCase_Data!F160="M03"),1,0)</x:f>
        <x:v>0</x:v>
      </x:c>
      <x:c r="F160" t="n">
        <x:f>IF(C160="밖",1,0)</x:f>
        <x:v>0</x:v>
      </x:c>
      <x:c r="G160" t="n">
        <x:f>IF(OR(F160=1,E160=1),1,0)</x:f>
        <x:v>0</x:v>
      </x:c>
      <x:c r="H160" t="str">
        <x:f>IF(B160=1,IF(F160=1,"TP","FN"),IF(F160=1,"FP","TN"))</x:f>
        <x:v>TN</x:v>
      </x:c>
      <x:c r="I160" t="str">
        <x:f>IF(B160=1,IF(G160=1,"TP","FN"),IF(G160=1,"FP","TN"))</x:f>
        <x:v>TN</x:v>
      </x:c>
    </x:row>
    <x:row r="161">
      <x:c r="A161" t="str">
        <x:f>MiniCase_Data!A161</x:f>
        <x:v>R00160</x:v>
      </x:c>
      <x:c r="B161" t="n">
        <x:f>IF(MiniCase_Data!O161="불합격",1,0)</x:f>
        <x:v>1</x:v>
      </x:c>
      <x:c r="C161" t="str">
        <x:f>IF(ISBLANK(MiniCase_Data!H161),"missing",IF(OR(MiniCase_Data!H161&lt;27,MiniCase_Data!H161&gt;33),"밖","안"))</x:f>
        <x:v>밖</x:v>
      </x:c>
      <x:c r="D161" t="n">
        <x:f>IF(ISBLANK(MiniCase_Data!H161),VLOOKUP(A161,센서로그!$A$2:$C$13,3,FALSE),MiniCase_Data!H161)</x:f>
        <x:v>26.19</x:v>
      </x:c>
      <x:c r="E161" t="n">
        <x:f>IF(AND(MiniCase_Data!C161="야간",MiniCase_Data!F161="M03"),1,0)</x:f>
        <x:v>0</x:v>
      </x:c>
      <x:c r="F161" t="n">
        <x:f>IF(C161="밖",1,0)</x:f>
        <x:v>1</x:v>
      </x:c>
      <x:c r="G161" t="n">
        <x:f>IF(OR(F161=1,E161=1),1,0)</x:f>
        <x:v>1</x:v>
      </x:c>
      <x:c r="H161" t="str">
        <x:f>IF(B161=1,IF(F161=1,"TP","FN"),IF(F161=1,"FP","TN"))</x:f>
        <x:v>TP</x:v>
      </x:c>
      <x:c r="I161" t="str">
        <x:f>IF(B161=1,IF(G161=1,"TP","FN"),IF(G161=1,"FP","TN"))</x:f>
        <x:v>TP</x:v>
      </x:c>
    </x:row>
    <x:row r="162">
      <x:c r="A162" t="str">
        <x:f>MiniCase_Data!A162</x:f>
        <x:v>R00161</x:v>
      </x:c>
      <x:c r="B162" t="n">
        <x:f>IF(MiniCase_Data!O162="불합격",1,0)</x:f>
        <x:v>0</x:v>
      </x:c>
      <x:c r="C162" t="str">
        <x:f>IF(ISBLANK(MiniCase_Data!H162),"missing",IF(OR(MiniCase_Data!H162&lt;27,MiniCase_Data!H162&gt;33),"밖","안"))</x:f>
        <x:v>밖</x:v>
      </x:c>
      <x:c r="D162" t="n">
        <x:f>IF(ISBLANK(MiniCase_Data!H162),VLOOKUP(A162,센서로그!$A$2:$C$13,3,FALSE),MiniCase_Data!H162)</x:f>
        <x:v>33.66</x:v>
      </x:c>
      <x:c r="E162" t="n">
        <x:f>IF(AND(MiniCase_Data!C162="야간",MiniCase_Data!F162="M03"),1,0)</x:f>
        <x:v>1</x:v>
      </x:c>
      <x:c r="F162" t="n">
        <x:f>IF(C162="밖",1,0)</x:f>
        <x:v>1</x:v>
      </x:c>
      <x:c r="G162" t="n">
        <x:f>IF(OR(F162=1,E162=1),1,0)</x:f>
        <x:v>1</x:v>
      </x:c>
      <x:c r="H162" t="str">
        <x:f>IF(B162=1,IF(F162=1,"TP","FN"),IF(F162=1,"FP","TN"))</x:f>
        <x:v>FP</x:v>
      </x:c>
      <x:c r="I162" t="str">
        <x:f>IF(B162=1,IF(G162=1,"TP","FN"),IF(G162=1,"FP","TN"))</x:f>
        <x:v>FP</x:v>
      </x:c>
    </x:row>
    <x:row r="163">
      <x:c r="A163" t="str">
        <x:f>MiniCase_Data!A163</x:f>
        <x:v>R00162</x:v>
      </x:c>
      <x:c r="B163" t="n">
        <x:f>IF(MiniCase_Data!O163="불합격",1,0)</x:f>
        <x:v>0</x:v>
      </x:c>
      <x:c r="C163" t="str">
        <x:f>IF(ISBLANK(MiniCase_Data!H163),"missing",IF(OR(MiniCase_Data!H163&lt;27,MiniCase_Data!H163&gt;33),"밖","안"))</x:f>
        <x:v>안</x:v>
      </x:c>
      <x:c r="D163" t="n">
        <x:f>IF(ISBLANK(MiniCase_Data!H163),VLOOKUP(A163,센서로그!$A$2:$C$13,3,FALSE),MiniCase_Data!H163)</x:f>
        <x:v>28.87</x:v>
      </x:c>
      <x:c r="E163" t="n">
        <x:f>IF(AND(MiniCase_Data!C163="야간",MiniCase_Data!F163="M03"),1,0)</x:f>
        <x:v>0</x:v>
      </x:c>
      <x:c r="F163" t="n">
        <x:f>IF(C163="밖",1,0)</x:f>
        <x:v>0</x:v>
      </x:c>
      <x:c r="G163" t="n">
        <x:f>IF(OR(F163=1,E163=1),1,0)</x:f>
        <x:v>0</x:v>
      </x:c>
      <x:c r="H163" t="str">
        <x:f>IF(B163=1,IF(F163=1,"TP","FN"),IF(F163=1,"FP","TN"))</x:f>
        <x:v>TN</x:v>
      </x:c>
      <x:c r="I163" t="str">
        <x:f>IF(B163=1,IF(G163=1,"TP","FN"),IF(G163=1,"FP","TN"))</x:f>
        <x:v>TN</x:v>
      </x:c>
    </x:row>
    <x:row r="164">
      <x:c r="A164" t="str">
        <x:f>MiniCase_Data!A164</x:f>
        <x:v>R00163</x:v>
      </x:c>
      <x:c r="B164" t="n">
        <x:f>IF(MiniCase_Data!O164="불합격",1,0)</x:f>
        <x:v>0</x:v>
      </x:c>
      <x:c r="C164" t="str">
        <x:f>IF(ISBLANK(MiniCase_Data!H164),"missing",IF(OR(MiniCase_Data!H164&lt;27,MiniCase_Data!H164&gt;33),"밖","안"))</x:f>
        <x:v>안</x:v>
      </x:c>
      <x:c r="D164" t="n">
        <x:f>IF(ISBLANK(MiniCase_Data!H164),VLOOKUP(A164,센서로그!$A$2:$C$13,3,FALSE),MiniCase_Data!H164)</x:f>
        <x:v>29.53</x:v>
      </x:c>
      <x:c r="E164" t="n">
        <x:f>IF(AND(MiniCase_Data!C164="야간",MiniCase_Data!F164="M03"),1,0)</x:f>
        <x:v>0</x:v>
      </x:c>
      <x:c r="F164" t="n">
        <x:f>IF(C164="밖",1,0)</x:f>
        <x:v>0</x:v>
      </x:c>
      <x:c r="G164" t="n">
        <x:f>IF(OR(F164=1,E164=1),1,0)</x:f>
        <x:v>0</x:v>
      </x:c>
      <x:c r="H164" t="str">
        <x:f>IF(B164=1,IF(F164=1,"TP","FN"),IF(F164=1,"FP","TN"))</x:f>
        <x:v>TN</x:v>
      </x:c>
      <x:c r="I164" t="str">
        <x:f>IF(B164=1,IF(G164=1,"TP","FN"),IF(G164=1,"FP","TN"))</x:f>
        <x:v>TN</x:v>
      </x:c>
    </x:row>
    <x:row r="165">
      <x:c r="A165" t="str">
        <x:f>MiniCase_Data!A165</x:f>
        <x:v>R00164</x:v>
      </x:c>
      <x:c r="B165" t="n">
        <x:f>IF(MiniCase_Data!O165="불합격",1,0)</x:f>
        <x:v>0</x:v>
      </x:c>
      <x:c r="C165" t="str">
        <x:f>IF(ISBLANK(MiniCase_Data!H165),"missing",IF(OR(MiniCase_Data!H165&lt;27,MiniCase_Data!H165&gt;33),"밖","안"))</x:f>
        <x:v>안</x:v>
      </x:c>
      <x:c r="D165" t="n">
        <x:f>IF(ISBLANK(MiniCase_Data!H165),VLOOKUP(A165,센서로그!$A$2:$C$13,3,FALSE),MiniCase_Data!H165)</x:f>
        <x:v>30.38</x:v>
      </x:c>
      <x:c r="E165" t="n">
        <x:f>IF(AND(MiniCase_Data!C165="야간",MiniCase_Data!F165="M03"),1,0)</x:f>
        <x:v>0</x:v>
      </x:c>
      <x:c r="F165" t="n">
        <x:f>IF(C165="밖",1,0)</x:f>
        <x:v>0</x:v>
      </x:c>
      <x:c r="G165" t="n">
        <x:f>IF(OR(F165=1,E165=1),1,0)</x:f>
        <x:v>0</x:v>
      </x:c>
      <x:c r="H165" t="str">
        <x:f>IF(B165=1,IF(F165=1,"TP","FN"),IF(F165=1,"FP","TN"))</x:f>
        <x:v>TN</x:v>
      </x:c>
      <x:c r="I165" t="str">
        <x:f>IF(B165=1,IF(G165=1,"TP","FN"),IF(G165=1,"FP","TN"))</x:f>
        <x:v>TN</x:v>
      </x:c>
    </x:row>
    <x:row r="166">
      <x:c r="A166" t="str">
        <x:f>MiniCase_Data!A166</x:f>
        <x:v>R00165</x:v>
      </x:c>
      <x:c r="B166" t="n">
        <x:f>IF(MiniCase_Data!O166="불합격",1,0)</x:f>
        <x:v>0</x:v>
      </x:c>
      <x:c r="C166" t="str">
        <x:f>IF(ISBLANK(MiniCase_Data!H166),"missing",IF(OR(MiniCase_Data!H166&lt;27,MiniCase_Data!H166&gt;33),"밖","안"))</x:f>
        <x:v>안</x:v>
      </x:c>
      <x:c r="D166" t="n">
        <x:f>IF(ISBLANK(MiniCase_Data!H166),VLOOKUP(A166,센서로그!$A$2:$C$13,3,FALSE),MiniCase_Data!H166)</x:f>
        <x:v>31.48</x:v>
      </x:c>
      <x:c r="E166" t="n">
        <x:f>IF(AND(MiniCase_Data!C166="야간",MiniCase_Data!F166="M03"),1,0)</x:f>
        <x:v>0</x:v>
      </x:c>
      <x:c r="F166" t="n">
        <x:f>IF(C166="밖",1,0)</x:f>
        <x:v>0</x:v>
      </x:c>
      <x:c r="G166" t="n">
        <x:f>IF(OR(F166=1,E166=1),1,0)</x:f>
        <x:v>0</x:v>
      </x:c>
      <x:c r="H166" t="str">
        <x:f>IF(B166=1,IF(F166=1,"TP","FN"),IF(F166=1,"FP","TN"))</x:f>
        <x:v>TN</x:v>
      </x:c>
      <x:c r="I166" t="str">
        <x:f>IF(B166=1,IF(G166=1,"TP","FN"),IF(G166=1,"FP","TN"))</x:f>
        <x:v>TN</x:v>
      </x:c>
    </x:row>
    <x:row r="167">
      <x:c r="A167" t="str">
        <x:f>MiniCase_Data!A167</x:f>
        <x:v>R00166</x:v>
      </x:c>
      <x:c r="B167" t="n">
        <x:f>IF(MiniCase_Data!O167="불합격",1,0)</x:f>
        <x:v>0</x:v>
      </x:c>
      <x:c r="C167" t="str">
        <x:f>IF(ISBLANK(MiniCase_Data!H167),"missing",IF(OR(MiniCase_Data!H167&lt;27,MiniCase_Data!H167&gt;33),"밖","안"))</x:f>
        <x:v>안</x:v>
      </x:c>
      <x:c r="D167" t="n">
        <x:f>IF(ISBLANK(MiniCase_Data!H167),VLOOKUP(A167,센서로그!$A$2:$C$13,3,FALSE),MiniCase_Data!H167)</x:f>
        <x:v>31.42</x:v>
      </x:c>
      <x:c r="E167" t="n">
        <x:f>IF(AND(MiniCase_Data!C167="야간",MiniCase_Data!F167="M03"),1,0)</x:f>
        <x:v>0</x:v>
      </x:c>
      <x:c r="F167" t="n">
        <x:f>IF(C167="밖",1,0)</x:f>
        <x:v>0</x:v>
      </x:c>
      <x:c r="G167" t="n">
        <x:f>IF(OR(F167=1,E167=1),1,0)</x:f>
        <x:v>0</x:v>
      </x:c>
      <x:c r="H167" t="str">
        <x:f>IF(B167=1,IF(F167=1,"TP","FN"),IF(F167=1,"FP","TN"))</x:f>
        <x:v>TN</x:v>
      </x:c>
      <x:c r="I167" t="str">
        <x:f>IF(B167=1,IF(G167=1,"TP","FN"),IF(G167=1,"FP","TN"))</x:f>
        <x:v>TN</x:v>
      </x:c>
    </x:row>
    <x:row r="168">
      <x:c r="A168" t="str">
        <x:f>MiniCase_Data!A168</x:f>
        <x:v>R00167</x:v>
      </x:c>
      <x:c r="B168" t="n">
        <x:f>IF(MiniCase_Data!O168="불합격",1,0)</x:f>
        <x:v>0</x:v>
      </x:c>
      <x:c r="C168" t="str">
        <x:f>IF(ISBLANK(MiniCase_Data!H168),"missing",IF(OR(MiniCase_Data!H168&lt;27,MiniCase_Data!H168&gt;33),"밖","안"))</x:f>
        <x:v>밖</x:v>
      </x:c>
      <x:c r="D168" t="n">
        <x:f>IF(ISBLANK(MiniCase_Data!H168),VLOOKUP(A168,센서로그!$A$2:$C$13,3,FALSE),MiniCase_Data!H168)</x:f>
        <x:v>33.59</x:v>
      </x:c>
      <x:c r="E168" t="n">
        <x:f>IF(AND(MiniCase_Data!C168="야간",MiniCase_Data!F168="M03"),1,0)</x:f>
        <x:v>1</x:v>
      </x:c>
      <x:c r="F168" t="n">
        <x:f>IF(C168="밖",1,0)</x:f>
        <x:v>1</x:v>
      </x:c>
      <x:c r="G168" t="n">
        <x:f>IF(OR(F168=1,E168=1),1,0)</x:f>
        <x:v>1</x:v>
      </x:c>
      <x:c r="H168" t="str">
        <x:f>IF(B168=1,IF(F168=1,"TP","FN"),IF(F168=1,"FP","TN"))</x:f>
        <x:v>FP</x:v>
      </x:c>
      <x:c r="I168" t="str">
        <x:f>IF(B168=1,IF(G168=1,"TP","FN"),IF(G168=1,"FP","TN"))</x:f>
        <x:v>FP</x:v>
      </x:c>
    </x:row>
    <x:row r="169">
      <x:c r="A169" t="str">
        <x:f>MiniCase_Data!A169</x:f>
        <x:v>R00168</x:v>
      </x:c>
      <x:c r="B169" t="n">
        <x:f>IF(MiniCase_Data!O169="불합격",1,0)</x:f>
        <x:v>0</x:v>
      </x:c>
      <x:c r="C169" t="str">
        <x:f>IF(ISBLANK(MiniCase_Data!H169),"missing",IF(OR(MiniCase_Data!H169&lt;27,MiniCase_Data!H169&gt;33),"밖","안"))</x:f>
        <x:v>안</x:v>
      </x:c>
      <x:c r="D169" t="n">
        <x:f>IF(ISBLANK(MiniCase_Data!H169),VLOOKUP(A169,센서로그!$A$2:$C$13,3,FALSE),MiniCase_Data!H169)</x:f>
        <x:v>29.07</x:v>
      </x:c>
      <x:c r="E169" t="n">
        <x:f>IF(AND(MiniCase_Data!C169="야간",MiniCase_Data!F169="M03"),1,0)</x:f>
        <x:v>0</x:v>
      </x:c>
      <x:c r="F169" t="n">
        <x:f>IF(C169="밖",1,0)</x:f>
        <x:v>0</x:v>
      </x:c>
      <x:c r="G169" t="n">
        <x:f>IF(OR(F169=1,E169=1),1,0)</x:f>
        <x:v>0</x:v>
      </x:c>
      <x:c r="H169" t="str">
        <x:f>IF(B169=1,IF(F169=1,"TP","FN"),IF(F169=1,"FP","TN"))</x:f>
        <x:v>TN</x:v>
      </x:c>
      <x:c r="I169" t="str">
        <x:f>IF(B169=1,IF(G169=1,"TP","FN"),IF(G169=1,"FP","TN"))</x:f>
        <x:v>TN</x:v>
      </x:c>
    </x:row>
    <x:row r="170">
      <x:c r="A170" t="str">
        <x:f>MiniCase_Data!A170</x:f>
        <x:v>R00169</x:v>
      </x:c>
      <x:c r="B170" t="n">
        <x:f>IF(MiniCase_Data!O170="불합격",1,0)</x:f>
        <x:v>0</x:v>
      </x:c>
      <x:c r="C170" t="str">
        <x:f>IF(ISBLANK(MiniCase_Data!H170),"missing",IF(OR(MiniCase_Data!H170&lt;27,MiniCase_Data!H170&gt;33),"밖","안"))</x:f>
        <x:v>밖</x:v>
      </x:c>
      <x:c r="D170" t="n">
        <x:f>IF(ISBLANK(MiniCase_Data!H170),VLOOKUP(A170,센서로그!$A$2:$C$13,3,FALSE),MiniCase_Data!H170)</x:f>
        <x:v>33.25</x:v>
      </x:c>
      <x:c r="E170" t="n">
        <x:f>IF(AND(MiniCase_Data!C170="야간",MiniCase_Data!F170="M03"),1,0)</x:f>
        <x:v>1</x:v>
      </x:c>
      <x:c r="F170" t="n">
        <x:f>IF(C170="밖",1,0)</x:f>
        <x:v>1</x:v>
      </x:c>
      <x:c r="G170" t="n">
        <x:f>IF(OR(F170=1,E170=1),1,0)</x:f>
        <x:v>1</x:v>
      </x:c>
      <x:c r="H170" t="str">
        <x:f>IF(B170=1,IF(F170=1,"TP","FN"),IF(F170=1,"FP","TN"))</x:f>
        <x:v>FP</x:v>
      </x:c>
      <x:c r="I170" t="str">
        <x:f>IF(B170=1,IF(G170=1,"TP","FN"),IF(G170=1,"FP","TN"))</x:f>
        <x:v>FP</x:v>
      </x:c>
    </x:row>
    <x:row r="171">
      <x:c r="A171" t="str">
        <x:f>MiniCase_Data!A171</x:f>
        <x:v>R00170</x:v>
      </x:c>
      <x:c r="B171" t="n">
        <x:f>IF(MiniCase_Data!O171="불합격",1,0)</x:f>
        <x:v>0</x:v>
      </x:c>
      <x:c r="C171" t="str">
        <x:f>IF(ISBLANK(MiniCase_Data!H171),"missing",IF(OR(MiniCase_Data!H171&lt;27,MiniCase_Data!H171&gt;33),"밖","안"))</x:f>
        <x:v>안</x:v>
      </x:c>
      <x:c r="D171" t="n">
        <x:f>IF(ISBLANK(MiniCase_Data!H171),VLOOKUP(A171,센서로그!$A$2:$C$13,3,FALSE),MiniCase_Data!H171)</x:f>
        <x:v>30.18</x:v>
      </x:c>
      <x:c r="E171" t="n">
        <x:f>IF(AND(MiniCase_Data!C171="야간",MiniCase_Data!F171="M03"),1,0)</x:f>
        <x:v>0</x:v>
      </x:c>
      <x:c r="F171" t="n">
        <x:f>IF(C171="밖",1,0)</x:f>
        <x:v>0</x:v>
      </x:c>
      <x:c r="G171" t="n">
        <x:f>IF(OR(F171=1,E171=1),1,0)</x:f>
        <x:v>0</x:v>
      </x:c>
      <x:c r="H171" t="str">
        <x:f>IF(B171=1,IF(F171=1,"TP","FN"),IF(F171=1,"FP","TN"))</x:f>
        <x:v>TN</x:v>
      </x:c>
      <x:c r="I171" t="str">
        <x:f>IF(B171=1,IF(G171=1,"TP","FN"),IF(G171=1,"FP","TN"))</x:f>
        <x:v>TN</x:v>
      </x:c>
    </x:row>
    <x:row r="172">
      <x:c r="A172" t="str">
        <x:f>MiniCase_Data!A172</x:f>
        <x:v>R00171</x:v>
      </x:c>
      <x:c r="B172" t="n">
        <x:f>IF(MiniCase_Data!O172="불합격",1,0)</x:f>
        <x:v>0</x:v>
      </x:c>
      <x:c r="C172" t="str">
        <x:f>IF(ISBLANK(MiniCase_Data!H172),"missing",IF(OR(MiniCase_Data!H172&lt;27,MiniCase_Data!H172&gt;33),"밖","안"))</x:f>
        <x:v>안</x:v>
      </x:c>
      <x:c r="D172" t="n">
        <x:f>IF(ISBLANK(MiniCase_Data!H172),VLOOKUP(A172,센서로그!$A$2:$C$13,3,FALSE),MiniCase_Data!H172)</x:f>
        <x:v>29.88</x:v>
      </x:c>
      <x:c r="E172" t="n">
        <x:f>IF(AND(MiniCase_Data!C172="야간",MiniCase_Data!F172="M03"),1,0)</x:f>
        <x:v>0</x:v>
      </x:c>
      <x:c r="F172" t="n">
        <x:f>IF(C172="밖",1,0)</x:f>
        <x:v>0</x:v>
      </x:c>
      <x:c r="G172" t="n">
        <x:f>IF(OR(F172=1,E172=1),1,0)</x:f>
        <x:v>0</x:v>
      </x:c>
      <x:c r="H172" t="str">
        <x:f>IF(B172=1,IF(F172=1,"TP","FN"),IF(F172=1,"FP","TN"))</x:f>
        <x:v>TN</x:v>
      </x:c>
      <x:c r="I172" t="str">
        <x:f>IF(B172=1,IF(G172=1,"TP","FN"),IF(G172=1,"FP","TN"))</x:f>
        <x:v>TN</x:v>
      </x:c>
    </x:row>
    <x:row r="173">
      <x:c r="A173" t="str">
        <x:f>MiniCase_Data!A173</x:f>
        <x:v>R00172</x:v>
      </x:c>
      <x:c r="B173" t="n">
        <x:f>IF(MiniCase_Data!O173="불합격",1,0)</x:f>
        <x:v>0</x:v>
      </x:c>
      <x:c r="C173" t="str">
        <x:f>IF(ISBLANK(MiniCase_Data!H173),"missing",IF(OR(MiniCase_Data!H173&lt;27,MiniCase_Data!H173&gt;33),"밖","안"))</x:f>
        <x:v>안</x:v>
      </x:c>
      <x:c r="D173" t="n">
        <x:f>IF(ISBLANK(MiniCase_Data!H173),VLOOKUP(A173,센서로그!$A$2:$C$13,3,FALSE),MiniCase_Data!H173)</x:f>
        <x:v>29.26</x:v>
      </x:c>
      <x:c r="E173" t="n">
        <x:f>IF(AND(MiniCase_Data!C173="야간",MiniCase_Data!F173="M03"),1,0)</x:f>
        <x:v>0</x:v>
      </x:c>
      <x:c r="F173" t="n">
        <x:f>IF(C173="밖",1,0)</x:f>
        <x:v>0</x:v>
      </x:c>
      <x:c r="G173" t="n">
        <x:f>IF(OR(F173=1,E173=1),1,0)</x:f>
        <x:v>0</x:v>
      </x:c>
      <x:c r="H173" t="str">
        <x:f>IF(B173=1,IF(F173=1,"TP","FN"),IF(F173=1,"FP","TN"))</x:f>
        <x:v>TN</x:v>
      </x:c>
      <x:c r="I173" t="str">
        <x:f>IF(B173=1,IF(G173=1,"TP","FN"),IF(G173=1,"FP","TN"))</x:f>
        <x:v>TN</x:v>
      </x:c>
    </x:row>
    <x:row r="174">
      <x:c r="A174" t="str">
        <x:f>MiniCase_Data!A174</x:f>
        <x:v>R00173</x:v>
      </x:c>
      <x:c r="B174" t="n">
        <x:f>IF(MiniCase_Data!O174="불합격",1,0)</x:f>
        <x:v>0</x:v>
      </x:c>
      <x:c r="C174" t="str">
        <x:f>IF(ISBLANK(MiniCase_Data!H174),"missing",IF(OR(MiniCase_Data!H174&lt;27,MiniCase_Data!H174&gt;33),"밖","안"))</x:f>
        <x:v>안</x:v>
      </x:c>
      <x:c r="D174" t="n">
        <x:f>IF(ISBLANK(MiniCase_Data!H174),VLOOKUP(A174,센서로그!$A$2:$C$13,3,FALSE),MiniCase_Data!H174)</x:f>
        <x:v>27.34</x:v>
      </x:c>
      <x:c r="E174" t="n">
        <x:f>IF(AND(MiniCase_Data!C174="야간",MiniCase_Data!F174="M03"),1,0)</x:f>
        <x:v>0</x:v>
      </x:c>
      <x:c r="F174" t="n">
        <x:f>IF(C174="밖",1,0)</x:f>
        <x:v>0</x:v>
      </x:c>
      <x:c r="G174" t="n">
        <x:f>IF(OR(F174=1,E174=1),1,0)</x:f>
        <x:v>0</x:v>
      </x:c>
      <x:c r="H174" t="str">
        <x:f>IF(B174=1,IF(F174=1,"TP","FN"),IF(F174=1,"FP","TN"))</x:f>
        <x:v>TN</x:v>
      </x:c>
      <x:c r="I174" t="str">
        <x:f>IF(B174=1,IF(G174=1,"TP","FN"),IF(G174=1,"FP","TN"))</x:f>
        <x:v>TN</x:v>
      </x:c>
    </x:row>
    <x:row r="175">
      <x:c r="A175" t="str">
        <x:f>MiniCase_Data!A175</x:f>
        <x:v>R00174</x:v>
      </x:c>
      <x:c r="B175" t="n">
        <x:f>IF(MiniCase_Data!O175="불합격",1,0)</x:f>
        <x:v>0</x:v>
      </x:c>
      <x:c r="C175" t="str">
        <x:f>IF(ISBLANK(MiniCase_Data!H175),"missing",IF(OR(MiniCase_Data!H175&lt;27,MiniCase_Data!H175&gt;33),"밖","안"))</x:f>
        <x:v>안</x:v>
      </x:c>
      <x:c r="D175" t="n">
        <x:f>IF(ISBLANK(MiniCase_Data!H175),VLOOKUP(A175,센서로그!$A$2:$C$13,3,FALSE),MiniCase_Data!H175)</x:f>
        <x:v>27.89</x:v>
      </x:c>
      <x:c r="E175" t="n">
        <x:f>IF(AND(MiniCase_Data!C175="야간",MiniCase_Data!F175="M03"),1,0)</x:f>
        <x:v>0</x:v>
      </x:c>
      <x:c r="F175" t="n">
        <x:f>IF(C175="밖",1,0)</x:f>
        <x:v>0</x:v>
      </x:c>
      <x:c r="G175" t="n">
        <x:f>IF(OR(F175=1,E175=1),1,0)</x:f>
        <x:v>0</x:v>
      </x:c>
      <x:c r="H175" t="str">
        <x:f>IF(B175=1,IF(F175=1,"TP","FN"),IF(F175=1,"FP","TN"))</x:f>
        <x:v>TN</x:v>
      </x:c>
      <x:c r="I175" t="str">
        <x:f>IF(B175=1,IF(G175=1,"TP","FN"),IF(G175=1,"FP","TN"))</x:f>
        <x:v>TN</x:v>
      </x:c>
    </x:row>
    <x:row r="176">
      <x:c r="A176" t="str">
        <x:f>MiniCase_Data!A176</x:f>
        <x:v>R00175</x:v>
      </x:c>
      <x:c r="B176" t="n">
        <x:f>IF(MiniCase_Data!O176="불합격",1,0)</x:f>
        <x:v>0</x:v>
      </x:c>
      <x:c r="C176" t="str">
        <x:f>IF(ISBLANK(MiniCase_Data!H176),"missing",IF(OR(MiniCase_Data!H176&lt;27,MiniCase_Data!H176&gt;33),"밖","안"))</x:f>
        <x:v>안</x:v>
      </x:c>
      <x:c r="D176" t="n">
        <x:f>IF(ISBLANK(MiniCase_Data!H176),VLOOKUP(A176,센서로그!$A$2:$C$13,3,FALSE),MiniCase_Data!H176)</x:f>
        <x:v>27.71</x:v>
      </x:c>
      <x:c r="E176" t="n">
        <x:f>IF(AND(MiniCase_Data!C176="야간",MiniCase_Data!F176="M03"),1,0)</x:f>
        <x:v>0</x:v>
      </x:c>
      <x:c r="F176" t="n">
        <x:f>IF(C176="밖",1,0)</x:f>
        <x:v>0</x:v>
      </x:c>
      <x:c r="G176" t="n">
        <x:f>IF(OR(F176=1,E176=1),1,0)</x:f>
        <x:v>0</x:v>
      </x:c>
      <x:c r="H176" t="str">
        <x:f>IF(B176=1,IF(F176=1,"TP","FN"),IF(F176=1,"FP","TN"))</x:f>
        <x:v>TN</x:v>
      </x:c>
      <x:c r="I176" t="str">
        <x:f>IF(B176=1,IF(G176=1,"TP","FN"),IF(G176=1,"FP","TN"))</x:f>
        <x:v>TN</x:v>
      </x:c>
    </x:row>
    <x:row r="177">
      <x:c r="A177" t="str">
        <x:f>MiniCase_Data!A177</x:f>
        <x:v>R00176</x:v>
      </x:c>
      <x:c r="B177" t="n">
        <x:f>IF(MiniCase_Data!O177="불합격",1,0)</x:f>
        <x:v>1</x:v>
      </x:c>
      <x:c r="C177" t="str">
        <x:f>IF(ISBLANK(MiniCase_Data!H177),"missing",IF(OR(MiniCase_Data!H177&lt;27,MiniCase_Data!H177&gt;33),"밖","안"))</x:f>
        <x:v>안</x:v>
      </x:c>
      <x:c r="D177" t="n">
        <x:f>IF(ISBLANK(MiniCase_Data!H177),VLOOKUP(A177,센서로그!$A$2:$C$13,3,FALSE),MiniCase_Data!H177)</x:f>
        <x:v>29.53</x:v>
      </x:c>
      <x:c r="E177" t="n">
        <x:f>IF(AND(MiniCase_Data!C177="야간",MiniCase_Data!F177="M03"),1,0)</x:f>
        <x:v>0</x:v>
      </x:c>
      <x:c r="F177" t="n">
        <x:f>IF(C177="밖",1,0)</x:f>
        <x:v>0</x:v>
      </x:c>
      <x:c r="G177" t="n">
        <x:f>IF(OR(F177=1,E177=1),1,0)</x:f>
        <x:v>0</x:v>
      </x:c>
      <x:c r="H177" t="str">
        <x:f>IF(B177=1,IF(F177=1,"TP","FN"),IF(F177=1,"FP","TN"))</x:f>
        <x:v>FN</x:v>
      </x:c>
      <x:c r="I177" t="str">
        <x:f>IF(B177=1,IF(G177=1,"TP","FN"),IF(G177=1,"FP","TN"))</x:f>
        <x:v>FN</x:v>
      </x:c>
    </x:row>
    <x:row r="178">
      <x:c r="A178" t="str">
        <x:f>MiniCase_Data!A178</x:f>
        <x:v>R00177</x:v>
      </x:c>
      <x:c r="B178" t="n">
        <x:f>IF(MiniCase_Data!O178="불합격",1,0)</x:f>
        <x:v>0</x:v>
      </x:c>
      <x:c r="C178" t="str">
        <x:f>IF(ISBLANK(MiniCase_Data!H178),"missing",IF(OR(MiniCase_Data!H178&lt;27,MiniCase_Data!H178&gt;33),"밖","안"))</x:f>
        <x:v>안</x:v>
      </x:c>
      <x:c r="D178" t="n">
        <x:f>IF(ISBLANK(MiniCase_Data!H178),VLOOKUP(A178,센서로그!$A$2:$C$13,3,FALSE),MiniCase_Data!H178)</x:f>
        <x:v>31.1</x:v>
      </x:c>
      <x:c r="E178" t="n">
        <x:f>IF(AND(MiniCase_Data!C178="야간",MiniCase_Data!F178="M03"),1,0)</x:f>
        <x:v>0</x:v>
      </x:c>
      <x:c r="F178" t="n">
        <x:f>IF(C178="밖",1,0)</x:f>
        <x:v>0</x:v>
      </x:c>
      <x:c r="G178" t="n">
        <x:f>IF(OR(F178=1,E178=1),1,0)</x:f>
        <x:v>0</x:v>
      </x:c>
      <x:c r="H178" t="str">
        <x:f>IF(B178=1,IF(F178=1,"TP","FN"),IF(F178=1,"FP","TN"))</x:f>
        <x:v>TN</x:v>
      </x:c>
      <x:c r="I178" t="str">
        <x:f>IF(B178=1,IF(G178=1,"TP","FN"),IF(G178=1,"FP","TN"))</x:f>
        <x:v>TN</x:v>
      </x:c>
    </x:row>
    <x:row r="179">
      <x:c r="A179" t="str">
        <x:f>MiniCase_Data!A179</x:f>
        <x:v>R00178</x:v>
      </x:c>
      <x:c r="B179" t="n">
        <x:f>IF(MiniCase_Data!O179="불합격",1,0)</x:f>
        <x:v>0</x:v>
      </x:c>
      <x:c r="C179" t="str">
        <x:f>IF(ISBLANK(MiniCase_Data!H179),"missing",IF(OR(MiniCase_Data!H179&lt;27,MiniCase_Data!H179&gt;33),"밖","안"))</x:f>
        <x:v>안</x:v>
      </x:c>
      <x:c r="D179" t="n">
        <x:f>IF(ISBLANK(MiniCase_Data!H179),VLOOKUP(A179,센서로그!$A$2:$C$13,3,FALSE),MiniCase_Data!H179)</x:f>
        <x:v>32.07</x:v>
      </x:c>
      <x:c r="E179" t="n">
        <x:f>IF(AND(MiniCase_Data!C179="야간",MiniCase_Data!F179="M03"),1,0)</x:f>
        <x:v>0</x:v>
      </x:c>
      <x:c r="F179" t="n">
        <x:f>IF(C179="밖",1,0)</x:f>
        <x:v>0</x:v>
      </x:c>
      <x:c r="G179" t="n">
        <x:f>IF(OR(F179=1,E179=1),1,0)</x:f>
        <x:v>0</x:v>
      </x:c>
      <x:c r="H179" t="str">
        <x:f>IF(B179=1,IF(F179=1,"TP","FN"),IF(F179=1,"FP","TN"))</x:f>
        <x:v>TN</x:v>
      </x:c>
      <x:c r="I179" t="str">
        <x:f>IF(B179=1,IF(G179=1,"TP","FN"),IF(G179=1,"FP","TN"))</x:f>
        <x:v>TN</x:v>
      </x:c>
    </x:row>
    <x:row r="180">
      <x:c r="A180" t="str">
        <x:f>MiniCase_Data!A180</x:f>
        <x:v>R00179</x:v>
      </x:c>
      <x:c r="B180" t="n">
        <x:f>IF(MiniCase_Data!O180="불합격",1,0)</x:f>
        <x:v>0</x:v>
      </x:c>
      <x:c r="C180" t="str">
        <x:f>IF(ISBLANK(MiniCase_Data!H180),"missing",IF(OR(MiniCase_Data!H180&lt;27,MiniCase_Data!H180&gt;33),"밖","안"))</x:f>
        <x:v>안</x:v>
      </x:c>
      <x:c r="D180" t="n">
        <x:f>IF(ISBLANK(MiniCase_Data!H180),VLOOKUP(A180,센서로그!$A$2:$C$13,3,FALSE),MiniCase_Data!H180)</x:f>
        <x:v>31.94</x:v>
      </x:c>
      <x:c r="E180" t="n">
        <x:f>IF(AND(MiniCase_Data!C180="야간",MiniCase_Data!F180="M03"),1,0)</x:f>
        <x:v>0</x:v>
      </x:c>
      <x:c r="F180" t="n">
        <x:f>IF(C180="밖",1,0)</x:f>
        <x:v>0</x:v>
      </x:c>
      <x:c r="G180" t="n">
        <x:f>IF(OR(F180=1,E180=1),1,0)</x:f>
        <x:v>0</x:v>
      </x:c>
      <x:c r="H180" t="str">
        <x:f>IF(B180=1,IF(F180=1,"TP","FN"),IF(F180=1,"FP","TN"))</x:f>
        <x:v>TN</x:v>
      </x:c>
      <x:c r="I180" t="str">
        <x:f>IF(B180=1,IF(G180=1,"TP","FN"),IF(G180=1,"FP","TN"))</x:f>
        <x:v>TN</x:v>
      </x:c>
    </x:row>
    <x:row r="181">
      <x:c r="A181" t="str">
        <x:f>MiniCase_Data!A181</x:f>
        <x:v>R00180</x:v>
      </x:c>
      <x:c r="B181" t="n">
        <x:f>IF(MiniCase_Data!O181="불합격",1,0)</x:f>
        <x:v>1</x:v>
      </x:c>
      <x:c r="C181" t="str">
        <x:f>IF(ISBLANK(MiniCase_Data!H181),"missing",IF(OR(MiniCase_Data!H181&lt;27,MiniCase_Data!H181&gt;33),"밖","안"))</x:f>
        <x:v>안</x:v>
      </x:c>
      <x:c r="D181" t="n">
        <x:f>IF(ISBLANK(MiniCase_Data!H181),VLOOKUP(A181,센서로그!$A$2:$C$13,3,FALSE),MiniCase_Data!H181)</x:f>
        <x:v>31.16</x:v>
      </x:c>
      <x:c r="E181" t="n">
        <x:f>IF(AND(MiniCase_Data!C181="야간",MiniCase_Data!F181="M03"),1,0)</x:f>
        <x:v>0</x:v>
      </x:c>
      <x:c r="F181" t="n">
        <x:f>IF(C181="밖",1,0)</x:f>
        <x:v>0</x:v>
      </x:c>
      <x:c r="G181" t="n">
        <x:f>IF(OR(F181=1,E181=1),1,0)</x:f>
        <x:v>0</x:v>
      </x:c>
      <x:c r="H181" t="str">
        <x:f>IF(B181=1,IF(F181=1,"TP","FN"),IF(F181=1,"FP","TN"))</x:f>
        <x:v>FN</x:v>
      </x:c>
      <x:c r="I181" t="str">
        <x:f>IF(B181=1,IF(G181=1,"TP","FN"),IF(G181=1,"FP","TN"))</x:f>
        <x:v>FN</x:v>
      </x:c>
    </x:row>
    <x:row r="182">
      <x:c r="A182" t="str">
        <x:f>MiniCase_Data!A182</x:f>
        <x:v>R00181</x:v>
      </x:c>
      <x:c r="B182" t="n">
        <x:f>IF(MiniCase_Data!O182="불합격",1,0)</x:f>
        <x:v>0</x:v>
      </x:c>
      <x:c r="C182" t="str">
        <x:f>IF(ISBLANK(MiniCase_Data!H182),"missing",IF(OR(MiniCase_Data!H182&lt;27,MiniCase_Data!H182&gt;33),"밖","안"))</x:f>
        <x:v>안</x:v>
      </x:c>
      <x:c r="D182" t="n">
        <x:f>IF(ISBLANK(MiniCase_Data!H182),VLOOKUP(A182,센서로그!$A$2:$C$13,3,FALSE),MiniCase_Data!H182)</x:f>
        <x:v>28.24</x:v>
      </x:c>
      <x:c r="E182" t="n">
        <x:f>IF(AND(MiniCase_Data!C182="야간",MiniCase_Data!F182="M03"),1,0)</x:f>
        <x:v>0</x:v>
      </x:c>
      <x:c r="F182" t="n">
        <x:f>IF(C182="밖",1,0)</x:f>
        <x:v>0</x:v>
      </x:c>
      <x:c r="G182" t="n">
        <x:f>IF(OR(F182=1,E182=1),1,0)</x:f>
        <x:v>0</x:v>
      </x:c>
      <x:c r="H182" t="str">
        <x:f>IF(B182=1,IF(F182=1,"TP","FN"),IF(F182=1,"FP","TN"))</x:f>
        <x:v>TN</x:v>
      </x:c>
      <x:c r="I182" t="str">
        <x:f>IF(B182=1,IF(G182=1,"TP","FN"),IF(G182=1,"FP","TN"))</x:f>
        <x:v>TN</x:v>
      </x:c>
    </x:row>
    <x:row r="183">
      <x:c r="A183" t="str">
        <x:f>MiniCase_Data!A183</x:f>
        <x:v>R00182</x:v>
      </x:c>
      <x:c r="B183" t="n">
        <x:f>IF(MiniCase_Data!O183="불합격",1,0)</x:f>
        <x:v>0</x:v>
      </x:c>
      <x:c r="C183" t="str">
        <x:f>IF(ISBLANK(MiniCase_Data!H183),"missing",IF(OR(MiniCase_Data!H183&lt;27,MiniCase_Data!H183&gt;33),"밖","안"))</x:f>
        <x:v>밖</x:v>
      </x:c>
      <x:c r="D183" t="n">
        <x:f>IF(ISBLANK(MiniCase_Data!H183),VLOOKUP(A183,센서로그!$A$2:$C$13,3,FALSE),MiniCase_Data!H183)</x:f>
        <x:v>26.54</x:v>
      </x:c>
      <x:c r="E183" t="n">
        <x:f>IF(AND(MiniCase_Data!C183="야간",MiniCase_Data!F183="M03"),1,0)</x:f>
        <x:v>1</x:v>
      </x:c>
      <x:c r="F183" t="n">
        <x:f>IF(C183="밖",1,0)</x:f>
        <x:v>1</x:v>
      </x:c>
      <x:c r="G183" t="n">
        <x:f>IF(OR(F183=1,E183=1),1,0)</x:f>
        <x:v>1</x:v>
      </x:c>
      <x:c r="H183" t="str">
        <x:f>IF(B183=1,IF(F183=1,"TP","FN"),IF(F183=1,"FP","TN"))</x:f>
        <x:v>FP</x:v>
      </x:c>
      <x:c r="I183" t="str">
        <x:f>IF(B183=1,IF(G183=1,"TP","FN"),IF(G183=1,"FP","TN"))</x:f>
        <x:v>FP</x:v>
      </x:c>
    </x:row>
    <x:row r="184">
      <x:c r="A184" t="str">
        <x:f>MiniCase_Data!A184</x:f>
        <x:v>R00183</x:v>
      </x:c>
      <x:c r="B184" t="n">
        <x:f>IF(MiniCase_Data!O184="불합격",1,0)</x:f>
        <x:v>0</x:v>
      </x:c>
      <x:c r="C184" t="str">
        <x:f>IF(ISBLANK(MiniCase_Data!H184),"missing",IF(OR(MiniCase_Data!H184&lt;27,MiniCase_Data!H184&gt;33),"밖","안"))</x:f>
        <x:v>안</x:v>
      </x:c>
      <x:c r="D184" t="n">
        <x:f>IF(ISBLANK(MiniCase_Data!H184),VLOOKUP(A184,센서로그!$A$2:$C$13,3,FALSE),MiniCase_Data!H184)</x:f>
        <x:v>29</x:v>
      </x:c>
      <x:c r="E184" t="n">
        <x:f>IF(AND(MiniCase_Data!C184="야간",MiniCase_Data!F184="M03"),1,0)</x:f>
        <x:v>0</x:v>
      </x:c>
      <x:c r="F184" t="n">
        <x:f>IF(C184="밖",1,0)</x:f>
        <x:v>0</x:v>
      </x:c>
      <x:c r="G184" t="n">
        <x:f>IF(OR(F184=1,E184=1),1,0)</x:f>
        <x:v>0</x:v>
      </x:c>
      <x:c r="H184" t="str">
        <x:f>IF(B184=1,IF(F184=1,"TP","FN"),IF(F184=1,"FP","TN"))</x:f>
        <x:v>TN</x:v>
      </x:c>
      <x:c r="I184" t="str">
        <x:f>IF(B184=1,IF(G184=1,"TP","FN"),IF(G184=1,"FP","TN"))</x:f>
        <x:v>TN</x:v>
      </x:c>
    </x:row>
    <x:row r="185">
      <x:c r="A185" t="str">
        <x:f>MiniCase_Data!A185</x:f>
        <x:v>R00184</x:v>
      </x:c>
      <x:c r="B185" t="n">
        <x:f>IF(MiniCase_Data!O185="불합격",1,0)</x:f>
        <x:v>1</x:v>
      </x:c>
      <x:c r="C185" t="str">
        <x:f>IF(ISBLANK(MiniCase_Data!H185),"missing",IF(OR(MiniCase_Data!H185&lt;27,MiniCase_Data!H185&gt;33),"밖","안"))</x:f>
        <x:v>밖</x:v>
      </x:c>
      <x:c r="D185" t="n">
        <x:f>IF(ISBLANK(MiniCase_Data!H185),VLOOKUP(A185,센서로그!$A$2:$C$13,3,FALSE),MiniCase_Data!H185)</x:f>
        <x:v>26.13</x:v>
      </x:c>
      <x:c r="E185" t="n">
        <x:f>IF(AND(MiniCase_Data!C185="야간",MiniCase_Data!F185="M03"),1,0)</x:f>
        <x:v>0</x:v>
      </x:c>
      <x:c r="F185" t="n">
        <x:f>IF(C185="밖",1,0)</x:f>
        <x:v>1</x:v>
      </x:c>
      <x:c r="G185" t="n">
        <x:f>IF(OR(F185=1,E185=1),1,0)</x:f>
        <x:v>1</x:v>
      </x:c>
      <x:c r="H185" t="str">
        <x:f>IF(B185=1,IF(F185=1,"TP","FN"),IF(F185=1,"FP","TN"))</x:f>
        <x:v>TP</x:v>
      </x:c>
      <x:c r="I185" t="str">
        <x:f>IF(B185=1,IF(G185=1,"TP","FN"),IF(G185=1,"FP","TN"))</x:f>
        <x:v>TP</x:v>
      </x:c>
    </x:row>
    <x:row r="186">
      <x:c r="A186" t="str">
        <x:f>MiniCase_Data!A186</x:f>
        <x:v>R00185</x:v>
      </x:c>
      <x:c r="B186" t="n">
        <x:f>IF(MiniCase_Data!O186="불합격",1,0)</x:f>
        <x:v>0</x:v>
      </x:c>
      <x:c r="C186" t="str">
        <x:f>IF(ISBLANK(MiniCase_Data!H186),"missing",IF(OR(MiniCase_Data!H186&lt;27,MiniCase_Data!H186&gt;33),"밖","안"))</x:f>
        <x:v>안</x:v>
      </x:c>
      <x:c r="D186" t="n">
        <x:f>IF(ISBLANK(MiniCase_Data!H186),VLOOKUP(A186,센서로그!$A$2:$C$13,3,FALSE),MiniCase_Data!H186)</x:f>
        <x:v>30.08</x:v>
      </x:c>
      <x:c r="E186" t="n">
        <x:f>IF(AND(MiniCase_Data!C186="야간",MiniCase_Data!F186="M03"),1,0)</x:f>
        <x:v>0</x:v>
      </x:c>
      <x:c r="F186" t="n">
        <x:f>IF(C186="밖",1,0)</x:f>
        <x:v>0</x:v>
      </x:c>
      <x:c r="G186" t="n">
        <x:f>IF(OR(F186=1,E186=1),1,0)</x:f>
        <x:v>0</x:v>
      </x:c>
      <x:c r="H186" t="str">
        <x:f>IF(B186=1,IF(F186=1,"TP","FN"),IF(F186=1,"FP","TN"))</x:f>
        <x:v>TN</x:v>
      </x:c>
      <x:c r="I186" t="str">
        <x:f>IF(B186=1,IF(G186=1,"TP","FN"),IF(G186=1,"FP","TN"))</x:f>
        <x:v>TN</x:v>
      </x:c>
    </x:row>
    <x:row r="187">
      <x:c r="A187" t="str">
        <x:f>MiniCase_Data!A187</x:f>
        <x:v>R00186</x:v>
      </x:c>
      <x:c r="B187" t="n">
        <x:f>IF(MiniCase_Data!O187="불합격",1,0)</x:f>
        <x:v>0</x:v>
      </x:c>
      <x:c r="C187" t="str">
        <x:f>IF(ISBLANK(MiniCase_Data!H187),"missing",IF(OR(MiniCase_Data!H187&lt;27,MiniCase_Data!H187&gt;33),"밖","안"))</x:f>
        <x:v>안</x:v>
      </x:c>
      <x:c r="D187" t="n">
        <x:f>IF(ISBLANK(MiniCase_Data!H187),VLOOKUP(A187,센서로그!$A$2:$C$13,3,FALSE),MiniCase_Data!H187)</x:f>
        <x:v>27.79</x:v>
      </x:c>
      <x:c r="E187" t="n">
        <x:f>IF(AND(MiniCase_Data!C187="야간",MiniCase_Data!F187="M03"),1,0)</x:f>
        <x:v>0</x:v>
      </x:c>
      <x:c r="F187" t="n">
        <x:f>IF(C187="밖",1,0)</x:f>
        <x:v>0</x:v>
      </x:c>
      <x:c r="G187" t="n">
        <x:f>IF(OR(F187=1,E187=1),1,0)</x:f>
        <x:v>0</x:v>
      </x:c>
      <x:c r="H187" t="str">
        <x:f>IF(B187=1,IF(F187=1,"TP","FN"),IF(F187=1,"FP","TN"))</x:f>
        <x:v>TN</x:v>
      </x:c>
      <x:c r="I187" t="str">
        <x:f>IF(B187=1,IF(G187=1,"TP","FN"),IF(G187=1,"FP","TN"))</x:f>
        <x:v>TN</x:v>
      </x:c>
    </x:row>
    <x:row r="188">
      <x:c r="A188" t="str">
        <x:f>MiniCase_Data!A188</x:f>
        <x:v>R00187</x:v>
      </x:c>
      <x:c r="B188" t="n">
        <x:f>IF(MiniCase_Data!O188="불합격",1,0)</x:f>
        <x:v>0</x:v>
      </x:c>
      <x:c r="C188" t="str">
        <x:f>IF(ISBLANK(MiniCase_Data!H188),"missing",IF(OR(MiniCase_Data!H188&lt;27,MiniCase_Data!H188&gt;33),"밖","안"))</x:f>
        <x:v>안</x:v>
      </x:c>
      <x:c r="D188" t="n">
        <x:f>IF(ISBLANK(MiniCase_Data!H188),VLOOKUP(A188,센서로그!$A$2:$C$13,3,FALSE),MiniCase_Data!H188)</x:f>
        <x:v>31.01</x:v>
      </x:c>
      <x:c r="E188" t="n">
        <x:f>IF(AND(MiniCase_Data!C188="야간",MiniCase_Data!F188="M03"),1,0)</x:f>
        <x:v>0</x:v>
      </x:c>
      <x:c r="F188" t="n">
        <x:f>IF(C188="밖",1,0)</x:f>
        <x:v>0</x:v>
      </x:c>
      <x:c r="G188" t="n">
        <x:f>IF(OR(F188=1,E188=1),1,0)</x:f>
        <x:v>0</x:v>
      </x:c>
      <x:c r="H188" t="str">
        <x:f>IF(B188=1,IF(F188=1,"TP","FN"),IF(F188=1,"FP","TN"))</x:f>
        <x:v>TN</x:v>
      </x:c>
      <x:c r="I188" t="str">
        <x:f>IF(B188=1,IF(G188=1,"TP","FN"),IF(G188=1,"FP","TN"))</x:f>
        <x:v>TN</x:v>
      </x:c>
    </x:row>
    <x:row r="189">
      <x:c r="A189" t="str">
        <x:f>MiniCase_Data!A189</x:f>
        <x:v>R00188</x:v>
      </x:c>
      <x:c r="B189" t="n">
        <x:f>IF(MiniCase_Data!O189="불합격",1,0)</x:f>
        <x:v>0</x:v>
      </x:c>
      <x:c r="C189" t="str">
        <x:f>IF(ISBLANK(MiniCase_Data!H189),"missing",IF(OR(MiniCase_Data!H189&lt;27,MiniCase_Data!H189&gt;33),"밖","안"))</x:f>
        <x:v>안</x:v>
      </x:c>
      <x:c r="D189" t="n">
        <x:f>IF(ISBLANK(MiniCase_Data!H189),VLOOKUP(A189,센서로그!$A$2:$C$13,3,FALSE),MiniCase_Data!H189)</x:f>
        <x:v>30.33</x:v>
      </x:c>
      <x:c r="E189" t="n">
        <x:f>IF(AND(MiniCase_Data!C189="야간",MiniCase_Data!F189="M03"),1,0)</x:f>
        <x:v>0</x:v>
      </x:c>
      <x:c r="F189" t="n">
        <x:f>IF(C189="밖",1,0)</x:f>
        <x:v>0</x:v>
      </x:c>
      <x:c r="G189" t="n">
        <x:f>IF(OR(F189=1,E189=1),1,0)</x:f>
        <x:v>0</x:v>
      </x:c>
      <x:c r="H189" t="str">
        <x:f>IF(B189=1,IF(F189=1,"TP","FN"),IF(F189=1,"FP","TN"))</x:f>
        <x:v>TN</x:v>
      </x:c>
      <x:c r="I189" t="str">
        <x:f>IF(B189=1,IF(G189=1,"TP","FN"),IF(G189=1,"FP","TN"))</x:f>
        <x:v>TN</x:v>
      </x:c>
    </x:row>
    <x:row r="190">
      <x:c r="A190" t="str">
        <x:f>MiniCase_Data!A190</x:f>
        <x:v>R00189</x:v>
      </x:c>
      <x:c r="B190" t="n">
        <x:f>IF(MiniCase_Data!O190="불합격",1,0)</x:f>
        <x:v>0</x:v>
      </x:c>
      <x:c r="C190" t="str">
        <x:f>IF(ISBLANK(MiniCase_Data!H190),"missing",IF(OR(MiniCase_Data!H190&lt;27,MiniCase_Data!H190&gt;33),"밖","안"))</x:f>
        <x:v>안</x:v>
      </x:c>
      <x:c r="D190" t="n">
        <x:f>IF(ISBLANK(MiniCase_Data!H190),VLOOKUP(A190,센서로그!$A$2:$C$13,3,FALSE),MiniCase_Data!H190)</x:f>
        <x:v>29.03</x:v>
      </x:c>
      <x:c r="E190" t="n">
        <x:f>IF(AND(MiniCase_Data!C190="야간",MiniCase_Data!F190="M03"),1,0)</x:f>
        <x:v>0</x:v>
      </x:c>
      <x:c r="F190" t="n">
        <x:f>IF(C190="밖",1,0)</x:f>
        <x:v>0</x:v>
      </x:c>
      <x:c r="G190" t="n">
        <x:f>IF(OR(F190=1,E190=1),1,0)</x:f>
        <x:v>0</x:v>
      </x:c>
      <x:c r="H190" t="str">
        <x:f>IF(B190=1,IF(F190=1,"TP","FN"),IF(F190=1,"FP","TN"))</x:f>
        <x:v>TN</x:v>
      </x:c>
      <x:c r="I190" t="str">
        <x:f>IF(B190=1,IF(G190=1,"TP","FN"),IF(G190=1,"FP","TN"))</x:f>
        <x:v>TN</x:v>
      </x:c>
    </x:row>
    <x:row r="191">
      <x:c r="A191" t="str">
        <x:f>MiniCase_Data!A191</x:f>
        <x:v>R00190</x:v>
      </x:c>
      <x:c r="B191" t="n">
        <x:f>IF(MiniCase_Data!O191="불합격",1,0)</x:f>
        <x:v>0</x:v>
      </x:c>
      <x:c r="C191" t="str">
        <x:f>IF(ISBLANK(MiniCase_Data!H191),"missing",IF(OR(MiniCase_Data!H191&lt;27,MiniCase_Data!H191&gt;33),"밖","안"))</x:f>
        <x:v>안</x:v>
      </x:c>
      <x:c r="D191" t="n">
        <x:f>IF(ISBLANK(MiniCase_Data!H191),VLOOKUP(A191,센서로그!$A$2:$C$13,3,FALSE),MiniCase_Data!H191)</x:f>
        <x:v>32.33</x:v>
      </x:c>
      <x:c r="E191" t="n">
        <x:f>IF(AND(MiniCase_Data!C191="야간",MiniCase_Data!F191="M03"),1,0)</x:f>
        <x:v>0</x:v>
      </x:c>
      <x:c r="F191" t="n">
        <x:f>IF(C191="밖",1,0)</x:f>
        <x:v>0</x:v>
      </x:c>
      <x:c r="G191" t="n">
        <x:f>IF(OR(F191=1,E191=1),1,0)</x:f>
        <x:v>0</x:v>
      </x:c>
      <x:c r="H191" t="str">
        <x:f>IF(B191=1,IF(F191=1,"TP","FN"),IF(F191=1,"FP","TN"))</x:f>
        <x:v>TN</x:v>
      </x:c>
      <x:c r="I191" t="str">
        <x:f>IF(B191=1,IF(G191=1,"TP","FN"),IF(G191=1,"FP","TN"))</x:f>
        <x:v>TN</x:v>
      </x:c>
    </x:row>
    <x:row r="192">
      <x:c r="A192" t="str">
        <x:f>MiniCase_Data!A192</x:f>
        <x:v>R00191</x:v>
      </x:c>
      <x:c r="B192" t="n">
        <x:f>IF(MiniCase_Data!O192="불합격",1,0)</x:f>
        <x:v>0</x:v>
      </x:c>
      <x:c r="C192" t="str">
        <x:f>IF(ISBLANK(MiniCase_Data!H192),"missing",IF(OR(MiniCase_Data!H192&lt;27,MiniCase_Data!H192&gt;33),"밖","안"))</x:f>
        <x:v>안</x:v>
      </x:c>
      <x:c r="D192" t="n">
        <x:f>IF(ISBLANK(MiniCase_Data!H192),VLOOKUP(A192,센서로그!$A$2:$C$13,3,FALSE),MiniCase_Data!H192)</x:f>
        <x:v>28.06</x:v>
      </x:c>
      <x:c r="E192" t="n">
        <x:f>IF(AND(MiniCase_Data!C192="야간",MiniCase_Data!F192="M03"),1,0)</x:f>
        <x:v>0</x:v>
      </x:c>
      <x:c r="F192" t="n">
        <x:f>IF(C192="밖",1,0)</x:f>
        <x:v>0</x:v>
      </x:c>
      <x:c r="G192" t="n">
        <x:f>IF(OR(F192=1,E192=1),1,0)</x:f>
        <x:v>0</x:v>
      </x:c>
      <x:c r="H192" t="str">
        <x:f>IF(B192=1,IF(F192=1,"TP","FN"),IF(F192=1,"FP","TN"))</x:f>
        <x:v>TN</x:v>
      </x:c>
      <x:c r="I192" t="str">
        <x:f>IF(B192=1,IF(G192=1,"TP","FN"),IF(G192=1,"FP","TN"))</x:f>
        <x:v>TN</x:v>
      </x:c>
    </x:row>
    <x:row r="193">
      <x:c r="A193" t="str">
        <x:f>MiniCase_Data!A193</x:f>
        <x:v>R00192</x:v>
      </x:c>
      <x:c r="B193" t="n">
        <x:f>IF(MiniCase_Data!O193="불합격",1,0)</x:f>
        <x:v>0</x:v>
      </x:c>
      <x:c r="C193" t="str">
        <x:f>IF(ISBLANK(MiniCase_Data!H193),"missing",IF(OR(MiniCase_Data!H193&lt;27,MiniCase_Data!H193&gt;33),"밖","안"))</x:f>
        <x:v>안</x:v>
      </x:c>
      <x:c r="D193" t="n">
        <x:f>IF(ISBLANK(MiniCase_Data!H193),VLOOKUP(A193,센서로그!$A$2:$C$13,3,FALSE),MiniCase_Data!H193)</x:f>
        <x:v>30.1</x:v>
      </x:c>
      <x:c r="E193" t="n">
        <x:f>IF(AND(MiniCase_Data!C193="야간",MiniCase_Data!F193="M03"),1,0)</x:f>
        <x:v>0</x:v>
      </x:c>
      <x:c r="F193" t="n">
        <x:f>IF(C193="밖",1,0)</x:f>
        <x:v>0</x:v>
      </x:c>
      <x:c r="G193" t="n">
        <x:f>IF(OR(F193=1,E193=1),1,0)</x:f>
        <x:v>0</x:v>
      </x:c>
      <x:c r="H193" t="str">
        <x:f>IF(B193=1,IF(F193=1,"TP","FN"),IF(F193=1,"FP","TN"))</x:f>
        <x:v>TN</x:v>
      </x:c>
      <x:c r="I193" t="str">
        <x:f>IF(B193=1,IF(G193=1,"TP","FN"),IF(G193=1,"FP","TN"))</x:f>
        <x:v>TN</x:v>
      </x:c>
    </x:row>
    <x:row r="194">
      <x:c r="A194" t="str">
        <x:f>MiniCase_Data!A194</x:f>
        <x:v>R00193</x:v>
      </x:c>
      <x:c r="B194" t="n">
        <x:f>IF(MiniCase_Data!O194="불합격",1,0)</x:f>
        <x:v>0</x:v>
      </x:c>
      <x:c r="C194" t="str">
        <x:f>IF(ISBLANK(MiniCase_Data!H194),"missing",IF(OR(MiniCase_Data!H194&lt;27,MiniCase_Data!H194&gt;33),"밖","안"))</x:f>
        <x:v>밖</x:v>
      </x:c>
      <x:c r="D194" t="n">
        <x:f>IF(ISBLANK(MiniCase_Data!H194),VLOOKUP(A194,센서로그!$A$2:$C$13,3,FALSE),MiniCase_Data!H194)</x:f>
        <x:v>34.08</x:v>
      </x:c>
      <x:c r="E194" t="n">
        <x:f>IF(AND(MiniCase_Data!C194="야간",MiniCase_Data!F194="M03"),1,0)</x:f>
        <x:v>1</x:v>
      </x:c>
      <x:c r="F194" t="n">
        <x:f>IF(C194="밖",1,0)</x:f>
        <x:v>1</x:v>
      </x:c>
      <x:c r="G194" t="n">
        <x:f>IF(OR(F194=1,E194=1),1,0)</x:f>
        <x:v>1</x:v>
      </x:c>
      <x:c r="H194" t="str">
        <x:f>IF(B194=1,IF(F194=1,"TP","FN"),IF(F194=1,"FP","TN"))</x:f>
        <x:v>FP</x:v>
      </x:c>
      <x:c r="I194" t="str">
        <x:f>IF(B194=1,IF(G194=1,"TP","FN"),IF(G194=1,"FP","TN"))</x:f>
        <x:v>FP</x:v>
      </x:c>
    </x:row>
    <x:row r="195">
      <x:c r="A195" t="str">
        <x:f>MiniCase_Data!A195</x:f>
        <x:v>R00194</x:v>
      </x:c>
      <x:c r="B195" t="n">
        <x:f>IF(MiniCase_Data!O195="불합격",1,0)</x:f>
        <x:v>0</x:v>
      </x:c>
      <x:c r="C195" t="str">
        <x:f>IF(ISBLANK(MiniCase_Data!H195),"missing",IF(OR(MiniCase_Data!H195&lt;27,MiniCase_Data!H195&gt;33),"밖","안"))</x:f>
        <x:v>안</x:v>
      </x:c>
      <x:c r="D195" t="n">
        <x:f>IF(ISBLANK(MiniCase_Data!H195),VLOOKUP(A195,센서로그!$A$2:$C$13,3,FALSE),MiniCase_Data!H195)</x:f>
        <x:v>27.41</x:v>
      </x:c>
      <x:c r="E195" t="n">
        <x:f>IF(AND(MiniCase_Data!C195="야간",MiniCase_Data!F195="M03"),1,0)</x:f>
        <x:v>0</x:v>
      </x:c>
      <x:c r="F195" t="n">
        <x:f>IF(C195="밖",1,0)</x:f>
        <x:v>0</x:v>
      </x:c>
      <x:c r="G195" t="n">
        <x:f>IF(OR(F195=1,E195=1),1,0)</x:f>
        <x:v>0</x:v>
      </x:c>
      <x:c r="H195" t="str">
        <x:f>IF(B195=1,IF(F195=1,"TP","FN"),IF(F195=1,"FP","TN"))</x:f>
        <x:v>TN</x:v>
      </x:c>
      <x:c r="I195" t="str">
        <x:f>IF(B195=1,IF(G195=1,"TP","FN"),IF(G195=1,"FP","TN"))</x:f>
        <x:v>TN</x:v>
      </x:c>
    </x:row>
    <x:row r="196">
      <x:c r="A196" t="str">
        <x:f>MiniCase_Data!A196</x:f>
        <x:v>R00195</x:v>
      </x:c>
      <x:c r="B196" t="n">
        <x:f>IF(MiniCase_Data!O196="불합격",1,0)</x:f>
        <x:v>0</x:v>
      </x:c>
      <x:c r="C196" t="str">
        <x:f>IF(ISBLANK(MiniCase_Data!H196),"missing",IF(OR(MiniCase_Data!H196&lt;27,MiniCase_Data!H196&gt;33),"밖","안"))</x:f>
        <x:v>안</x:v>
      </x:c>
      <x:c r="D196" t="n">
        <x:f>IF(ISBLANK(MiniCase_Data!H196),VLOOKUP(A196,센서로그!$A$2:$C$13,3,FALSE),MiniCase_Data!H196)</x:f>
        <x:v>29.05</x:v>
      </x:c>
      <x:c r="E196" t="n">
        <x:f>IF(AND(MiniCase_Data!C196="야간",MiniCase_Data!F196="M03"),1,0)</x:f>
        <x:v>0</x:v>
      </x:c>
      <x:c r="F196" t="n">
        <x:f>IF(C196="밖",1,0)</x:f>
        <x:v>0</x:v>
      </x:c>
      <x:c r="G196" t="n">
        <x:f>IF(OR(F196=1,E196=1),1,0)</x:f>
        <x:v>0</x:v>
      </x:c>
      <x:c r="H196" t="str">
        <x:f>IF(B196=1,IF(F196=1,"TP","FN"),IF(F196=1,"FP","TN"))</x:f>
        <x:v>TN</x:v>
      </x:c>
      <x:c r="I196" t="str">
        <x:f>IF(B196=1,IF(G196=1,"TP","FN"),IF(G196=1,"FP","TN"))</x:f>
        <x:v>TN</x:v>
      </x:c>
    </x:row>
    <x:row r="197">
      <x:c r="A197" t="str">
        <x:f>MiniCase_Data!A197</x:f>
        <x:v>R00196</x:v>
      </x:c>
      <x:c r="B197" t="n">
        <x:f>IF(MiniCase_Data!O197="불합격",1,0)</x:f>
        <x:v>0</x:v>
      </x:c>
      <x:c r="C197" t="str">
        <x:f>IF(ISBLANK(MiniCase_Data!H197),"missing",IF(OR(MiniCase_Data!H197&lt;27,MiniCase_Data!H197&gt;33),"밖","안"))</x:f>
        <x:v>missing</x:v>
      </x:c>
      <x:c r="D197" t="n">
        <x:f>IF(ISBLANK(MiniCase_Data!H197),VLOOKUP(A197,센서로그!$A$2:$C$13,3,FALSE),MiniCase_Data!H197)</x:f>
        <x:v>30.88</x:v>
      </x:c>
      <x:c r="E197" t="n">
        <x:f>IF(AND(MiniCase_Data!C197="야간",MiniCase_Data!F197="M03"),1,0)</x:f>
        <x:v>0</x:v>
      </x:c>
      <x:c r="F197" t="n">
        <x:f>IF(C197="밖",1,0)</x:f>
        <x:v>0</x:v>
      </x:c>
      <x:c r="G197" t="n">
        <x:f>IF(OR(F197=1,E197=1),1,0)</x:f>
        <x:v>0</x:v>
      </x:c>
      <x:c r="H197" t="str">
        <x:f>IF(B197=1,IF(F197=1,"TP","FN"),IF(F197=1,"FP","TN"))</x:f>
        <x:v>TN</x:v>
      </x:c>
      <x:c r="I197" t="str">
        <x:f>IF(B197=1,IF(G197=1,"TP","FN"),IF(G197=1,"FP","TN"))</x:f>
        <x:v>TN</x:v>
      </x:c>
    </x:row>
    <x:row r="198">
      <x:c r="A198" t="str">
        <x:f>MiniCase_Data!A198</x:f>
        <x:v>R00197</x:v>
      </x:c>
      <x:c r="B198" t="n">
        <x:f>IF(MiniCase_Data!O198="불합격",1,0)</x:f>
        <x:v>0</x:v>
      </x:c>
      <x:c r="C198" t="str">
        <x:f>IF(ISBLANK(MiniCase_Data!H198),"missing",IF(OR(MiniCase_Data!H198&lt;27,MiniCase_Data!H198&gt;33),"밖","안"))</x:f>
        <x:v>안</x:v>
      </x:c>
      <x:c r="D198" t="n">
        <x:f>IF(ISBLANK(MiniCase_Data!H198),VLOOKUP(A198,센서로그!$A$2:$C$13,3,FALSE),MiniCase_Data!H198)</x:f>
        <x:v>31.08</x:v>
      </x:c>
      <x:c r="E198" t="n">
        <x:f>IF(AND(MiniCase_Data!C198="야간",MiniCase_Data!F198="M03"),1,0)</x:f>
        <x:v>0</x:v>
      </x:c>
      <x:c r="F198" t="n">
        <x:f>IF(C198="밖",1,0)</x:f>
        <x:v>0</x:v>
      </x:c>
      <x:c r="G198" t="n">
        <x:f>IF(OR(F198=1,E198=1),1,0)</x:f>
        <x:v>0</x:v>
      </x:c>
      <x:c r="H198" t="str">
        <x:f>IF(B198=1,IF(F198=1,"TP","FN"),IF(F198=1,"FP","TN"))</x:f>
        <x:v>TN</x:v>
      </x:c>
      <x:c r="I198" t="str">
        <x:f>IF(B198=1,IF(G198=1,"TP","FN"),IF(G198=1,"FP","TN"))</x:f>
        <x:v>TN</x:v>
      </x:c>
    </x:row>
    <x:row r="199">
      <x:c r="A199" t="str">
        <x:f>MiniCase_Data!A199</x:f>
        <x:v>R00198</x:v>
      </x:c>
      <x:c r="B199" t="n">
        <x:f>IF(MiniCase_Data!O199="불합격",1,0)</x:f>
        <x:v>0</x:v>
      </x:c>
      <x:c r="C199" t="str">
        <x:f>IF(ISBLANK(MiniCase_Data!H199),"missing",IF(OR(MiniCase_Data!H199&lt;27,MiniCase_Data!H199&gt;33),"밖","안"))</x:f>
        <x:v>안</x:v>
      </x:c>
      <x:c r="D199" t="n">
        <x:f>IF(ISBLANK(MiniCase_Data!H199),VLOOKUP(A199,센서로그!$A$2:$C$13,3,FALSE),MiniCase_Data!H199)</x:f>
        <x:v>29.82</x:v>
      </x:c>
      <x:c r="E199" t="n">
        <x:f>IF(AND(MiniCase_Data!C199="야간",MiniCase_Data!F199="M03"),1,0)</x:f>
        <x:v>0</x:v>
      </x:c>
      <x:c r="F199" t="n">
        <x:f>IF(C199="밖",1,0)</x:f>
        <x:v>0</x:v>
      </x:c>
      <x:c r="G199" t="n">
        <x:f>IF(OR(F199=1,E199=1),1,0)</x:f>
        <x:v>0</x:v>
      </x:c>
      <x:c r="H199" t="str">
        <x:f>IF(B199=1,IF(F199=1,"TP","FN"),IF(F199=1,"FP","TN"))</x:f>
        <x:v>TN</x:v>
      </x:c>
      <x:c r="I199" t="str">
        <x:f>IF(B199=1,IF(G199=1,"TP","FN"),IF(G199=1,"FP","TN"))</x:f>
        <x:v>TN</x:v>
      </x:c>
    </x:row>
    <x:row r="200">
      <x:c r="A200" t="str">
        <x:f>MiniCase_Data!A200</x:f>
        <x:v>R00199</x:v>
      </x:c>
      <x:c r="B200" t="n">
        <x:f>IF(MiniCase_Data!O200="불합격",1,0)</x:f>
        <x:v>0</x:v>
      </x:c>
      <x:c r="C200" t="str">
        <x:f>IF(ISBLANK(MiniCase_Data!H200),"missing",IF(OR(MiniCase_Data!H200&lt;27,MiniCase_Data!H200&gt;33),"밖","안"))</x:f>
        <x:v>안</x:v>
      </x:c>
      <x:c r="D200" t="n">
        <x:f>IF(ISBLANK(MiniCase_Data!H200),VLOOKUP(A200,센서로그!$A$2:$C$13,3,FALSE),MiniCase_Data!H200)</x:f>
        <x:v>30.35</x:v>
      </x:c>
      <x:c r="E200" t="n">
        <x:f>IF(AND(MiniCase_Data!C200="야간",MiniCase_Data!F200="M03"),1,0)</x:f>
        <x:v>0</x:v>
      </x:c>
      <x:c r="F200" t="n">
        <x:f>IF(C200="밖",1,0)</x:f>
        <x:v>0</x:v>
      </x:c>
      <x:c r="G200" t="n">
        <x:f>IF(OR(F200=1,E200=1),1,0)</x:f>
        <x:v>0</x:v>
      </x:c>
      <x:c r="H200" t="str">
        <x:f>IF(B200=1,IF(F200=1,"TP","FN"),IF(F200=1,"FP","TN"))</x:f>
        <x:v>TN</x:v>
      </x:c>
      <x:c r="I200" t="str">
        <x:f>IF(B200=1,IF(G200=1,"TP","FN"),IF(G200=1,"FP","TN"))</x:f>
        <x:v>TN</x:v>
      </x:c>
    </x:row>
    <x:row r="201">
      <x:c r="A201" t="str">
        <x:f>MiniCase_Data!A201</x:f>
        <x:v>R00200</x:v>
      </x:c>
      <x:c r="B201" t="n">
        <x:f>IF(MiniCase_Data!O201="불합격",1,0)</x:f>
        <x:v>0</x:v>
      </x:c>
      <x:c r="C201" t="str">
        <x:f>IF(ISBLANK(MiniCase_Data!H201),"missing",IF(OR(MiniCase_Data!H201&lt;27,MiniCase_Data!H201&gt;33),"밖","안"))</x:f>
        <x:v>안</x:v>
      </x:c>
      <x:c r="D201" t="n">
        <x:f>IF(ISBLANK(MiniCase_Data!H201),VLOOKUP(A201,센서로그!$A$2:$C$13,3,FALSE),MiniCase_Data!H201)</x:f>
        <x:v>29.7</x:v>
      </x:c>
      <x:c r="E201" t="n">
        <x:f>IF(AND(MiniCase_Data!C201="야간",MiniCase_Data!F201="M03"),1,0)</x:f>
        <x:v>0</x:v>
      </x:c>
      <x:c r="F201" t="n">
        <x:f>IF(C201="밖",1,0)</x:f>
        <x:v>0</x:v>
      </x:c>
      <x:c r="G201" t="n">
        <x:f>IF(OR(F201=1,E201=1),1,0)</x:f>
        <x:v>0</x:v>
      </x:c>
      <x:c r="H201" t="str">
        <x:f>IF(B201=1,IF(F201=1,"TP","FN"),IF(F201=1,"FP","TN"))</x:f>
        <x:v>TN</x:v>
      </x:c>
      <x:c r="I201" t="str">
        <x:f>IF(B201=1,IF(G201=1,"TP","FN"),IF(G201=1,"FP","TN"))</x:f>
        <x:v>TN</x:v>
      </x:c>
    </x:row>
    <x:row r="202">
      <x:c r="A202" t="str">
        <x:f>MiniCase_Data!A202</x:f>
        <x:v>R00201</x:v>
      </x:c>
      <x:c r="B202" t="n">
        <x:f>IF(MiniCase_Data!O202="불합격",1,0)</x:f>
        <x:v>0</x:v>
      </x:c>
      <x:c r="C202" t="str">
        <x:f>IF(ISBLANK(MiniCase_Data!H202),"missing",IF(OR(MiniCase_Data!H202&lt;27,MiniCase_Data!H202&gt;33),"밖","안"))</x:f>
        <x:v>안</x:v>
      </x:c>
      <x:c r="D202" t="n">
        <x:f>IF(ISBLANK(MiniCase_Data!H202),VLOOKUP(A202,센서로그!$A$2:$C$13,3,FALSE),MiniCase_Data!H202)</x:f>
        <x:v>27.53</x:v>
      </x:c>
      <x:c r="E202" t="n">
        <x:f>IF(AND(MiniCase_Data!C202="야간",MiniCase_Data!F202="M03"),1,0)</x:f>
        <x:v>0</x:v>
      </x:c>
      <x:c r="F202" t="n">
        <x:f>IF(C202="밖",1,0)</x:f>
        <x:v>0</x:v>
      </x:c>
      <x:c r="G202" t="n">
        <x:f>IF(OR(F202=1,E202=1),1,0)</x:f>
        <x:v>0</x:v>
      </x:c>
      <x:c r="H202" t="str">
        <x:f>IF(B202=1,IF(F202=1,"TP","FN"),IF(F202=1,"FP","TN"))</x:f>
        <x:v>TN</x:v>
      </x:c>
      <x:c r="I202" t="str">
        <x:f>IF(B202=1,IF(G202=1,"TP","FN"),IF(G202=1,"FP","TN"))</x:f>
        <x:v>TN</x:v>
      </x:c>
    </x:row>
    <x:row r="203">
      <x:c r="A203" t="str">
        <x:f>MiniCase_Data!A203</x:f>
        <x:v>R00202</x:v>
      </x:c>
      <x:c r="B203" t="n">
        <x:f>IF(MiniCase_Data!O203="불합격",1,0)</x:f>
        <x:v>0</x:v>
      </x:c>
      <x:c r="C203" t="str">
        <x:f>IF(ISBLANK(MiniCase_Data!H203),"missing",IF(OR(MiniCase_Data!H203&lt;27,MiniCase_Data!H203&gt;33),"밖","안"))</x:f>
        <x:v>안</x:v>
      </x:c>
      <x:c r="D203" t="n">
        <x:f>IF(ISBLANK(MiniCase_Data!H203),VLOOKUP(A203,센서로그!$A$2:$C$13,3,FALSE),MiniCase_Data!H203)</x:f>
        <x:v>30.72</x:v>
      </x:c>
      <x:c r="E203" t="n">
        <x:f>IF(AND(MiniCase_Data!C203="야간",MiniCase_Data!F203="M03"),1,0)</x:f>
        <x:v>0</x:v>
      </x:c>
      <x:c r="F203" t="n">
        <x:f>IF(C203="밖",1,0)</x:f>
        <x:v>0</x:v>
      </x:c>
      <x:c r="G203" t="n">
        <x:f>IF(OR(F203=1,E203=1),1,0)</x:f>
        <x:v>0</x:v>
      </x:c>
      <x:c r="H203" t="str">
        <x:f>IF(B203=1,IF(F203=1,"TP","FN"),IF(F203=1,"FP","TN"))</x:f>
        <x:v>TN</x:v>
      </x:c>
      <x:c r="I203" t="str">
        <x:f>IF(B203=1,IF(G203=1,"TP","FN"),IF(G203=1,"FP","TN"))</x:f>
        <x:v>TN</x:v>
      </x:c>
    </x:row>
    <x:row r="204">
      <x:c r="A204" t="str">
        <x:f>MiniCase_Data!A204</x:f>
        <x:v>R00203</x:v>
      </x:c>
      <x:c r="B204" t="n">
        <x:f>IF(MiniCase_Data!O204="불합격",1,0)</x:f>
        <x:v>0</x:v>
      </x:c>
      <x:c r="C204" t="str">
        <x:f>IF(ISBLANK(MiniCase_Data!H204),"missing",IF(OR(MiniCase_Data!H204&lt;27,MiniCase_Data!H204&gt;33),"밖","안"))</x:f>
        <x:v>안</x:v>
      </x:c>
      <x:c r="D204" t="n">
        <x:f>IF(ISBLANK(MiniCase_Data!H204),VLOOKUP(A204,센서로그!$A$2:$C$13,3,FALSE),MiniCase_Data!H204)</x:f>
        <x:v>30.68</x:v>
      </x:c>
      <x:c r="E204" t="n">
        <x:f>IF(AND(MiniCase_Data!C204="야간",MiniCase_Data!F204="M03"),1,0)</x:f>
        <x:v>0</x:v>
      </x:c>
      <x:c r="F204" t="n">
        <x:f>IF(C204="밖",1,0)</x:f>
        <x:v>0</x:v>
      </x:c>
      <x:c r="G204" t="n">
        <x:f>IF(OR(F204=1,E204=1),1,0)</x:f>
        <x:v>0</x:v>
      </x:c>
      <x:c r="H204" t="str">
        <x:f>IF(B204=1,IF(F204=1,"TP","FN"),IF(F204=1,"FP","TN"))</x:f>
        <x:v>TN</x:v>
      </x:c>
      <x:c r="I204" t="str">
        <x:f>IF(B204=1,IF(G204=1,"TP","FN"),IF(G204=1,"FP","TN"))</x:f>
        <x:v>TN</x:v>
      </x:c>
    </x:row>
    <x:row r="205">
      <x:c r="A205" t="str">
        <x:f>MiniCase_Data!A205</x:f>
        <x:v>R00204</x:v>
      </x:c>
      <x:c r="B205" t="n">
        <x:f>IF(MiniCase_Data!O205="불합격",1,0)</x:f>
        <x:v>0</x:v>
      </x:c>
      <x:c r="C205" t="str">
        <x:f>IF(ISBLANK(MiniCase_Data!H205),"missing",IF(OR(MiniCase_Data!H205&lt;27,MiniCase_Data!H205&gt;33),"밖","안"))</x:f>
        <x:v>밖</x:v>
      </x:c>
      <x:c r="D205" t="n">
        <x:f>IF(ISBLANK(MiniCase_Data!H205),VLOOKUP(A205,센서로그!$A$2:$C$13,3,FALSE),MiniCase_Data!H205)</x:f>
        <x:v>26.72</x:v>
      </x:c>
      <x:c r="E205" t="n">
        <x:f>IF(AND(MiniCase_Data!C205="야간",MiniCase_Data!F205="M03"),1,0)</x:f>
        <x:v>1</x:v>
      </x:c>
      <x:c r="F205" t="n">
        <x:f>IF(C205="밖",1,0)</x:f>
        <x:v>1</x:v>
      </x:c>
      <x:c r="G205" t="n">
        <x:f>IF(OR(F205=1,E205=1),1,0)</x:f>
        <x:v>1</x:v>
      </x:c>
      <x:c r="H205" t="str">
        <x:f>IF(B205=1,IF(F205=1,"TP","FN"),IF(F205=1,"FP","TN"))</x:f>
        <x:v>FP</x:v>
      </x:c>
      <x:c r="I205" t="str">
        <x:f>IF(B205=1,IF(G205=1,"TP","FN"),IF(G205=1,"FP","TN"))</x:f>
        <x:v>FP</x:v>
      </x:c>
    </x:row>
    <x:row r="206">
      <x:c r="A206" t="str">
        <x:f>MiniCase_Data!A206</x:f>
        <x:v>R00205</x:v>
      </x:c>
      <x:c r="B206" t="n">
        <x:f>IF(MiniCase_Data!O206="불합격",1,0)</x:f>
        <x:v>0</x:v>
      </x:c>
      <x:c r="C206" t="str">
        <x:f>IF(ISBLANK(MiniCase_Data!H206),"missing",IF(OR(MiniCase_Data!H206&lt;27,MiniCase_Data!H206&gt;33),"밖","안"))</x:f>
        <x:v>안</x:v>
      </x:c>
      <x:c r="D206" t="n">
        <x:f>IF(ISBLANK(MiniCase_Data!H206),VLOOKUP(A206,센서로그!$A$2:$C$13,3,FALSE),MiniCase_Data!H206)</x:f>
        <x:v>27.63</x:v>
      </x:c>
      <x:c r="E206" t="n">
        <x:f>IF(AND(MiniCase_Data!C206="야간",MiniCase_Data!F206="M03"),1,0)</x:f>
        <x:v>0</x:v>
      </x:c>
      <x:c r="F206" t="n">
        <x:f>IF(C206="밖",1,0)</x:f>
        <x:v>0</x:v>
      </x:c>
      <x:c r="G206" t="n">
        <x:f>IF(OR(F206=1,E206=1),1,0)</x:f>
        <x:v>0</x:v>
      </x:c>
      <x:c r="H206" t="str">
        <x:f>IF(B206=1,IF(F206=1,"TP","FN"),IF(F206=1,"FP","TN"))</x:f>
        <x:v>TN</x:v>
      </x:c>
      <x:c r="I206" t="str">
        <x:f>IF(B206=1,IF(G206=1,"TP","FN"),IF(G206=1,"FP","TN"))</x:f>
        <x:v>TN</x:v>
      </x:c>
    </x:row>
    <x:row r="207">
      <x:c r="A207" t="str">
        <x:f>MiniCase_Data!A207</x:f>
        <x:v>R00206</x:v>
      </x:c>
      <x:c r="B207" t="n">
        <x:f>IF(MiniCase_Data!O207="불합격",1,0)</x:f>
        <x:v>0</x:v>
      </x:c>
      <x:c r="C207" t="str">
        <x:f>IF(ISBLANK(MiniCase_Data!H207),"missing",IF(OR(MiniCase_Data!H207&lt;27,MiniCase_Data!H207&gt;33),"밖","안"))</x:f>
        <x:v>안</x:v>
      </x:c>
      <x:c r="D207" t="n">
        <x:f>IF(ISBLANK(MiniCase_Data!H207),VLOOKUP(A207,센서로그!$A$2:$C$13,3,FALSE),MiniCase_Data!H207)</x:f>
        <x:v>28.74</x:v>
      </x:c>
      <x:c r="E207" t="n">
        <x:f>IF(AND(MiniCase_Data!C207="야간",MiniCase_Data!F207="M03"),1,0)</x:f>
        <x:v>0</x:v>
      </x:c>
      <x:c r="F207" t="n">
        <x:f>IF(C207="밖",1,0)</x:f>
        <x:v>0</x:v>
      </x:c>
      <x:c r="G207" t="n">
        <x:f>IF(OR(F207=1,E207=1),1,0)</x:f>
        <x:v>0</x:v>
      </x:c>
      <x:c r="H207" t="str">
        <x:f>IF(B207=1,IF(F207=1,"TP","FN"),IF(F207=1,"FP","TN"))</x:f>
        <x:v>TN</x:v>
      </x:c>
      <x:c r="I207" t="str">
        <x:f>IF(B207=1,IF(G207=1,"TP","FN"),IF(G207=1,"FP","TN"))</x:f>
        <x:v>TN</x:v>
      </x:c>
    </x:row>
    <x:row r="208">
      <x:c r="A208" t="str">
        <x:f>MiniCase_Data!A208</x:f>
        <x:v>R00207</x:v>
      </x:c>
      <x:c r="B208" t="n">
        <x:f>IF(MiniCase_Data!O208="불합격",1,0)</x:f>
        <x:v>0</x:v>
      </x:c>
      <x:c r="C208" t="str">
        <x:f>IF(ISBLANK(MiniCase_Data!H208),"missing",IF(OR(MiniCase_Data!H208&lt;27,MiniCase_Data!H208&gt;33),"밖","안"))</x:f>
        <x:v>안</x:v>
      </x:c>
      <x:c r="D208" t="n">
        <x:f>IF(ISBLANK(MiniCase_Data!H208),VLOOKUP(A208,센서로그!$A$2:$C$13,3,FALSE),MiniCase_Data!H208)</x:f>
        <x:v>32.1</x:v>
      </x:c>
      <x:c r="E208" t="n">
        <x:f>IF(AND(MiniCase_Data!C208="야간",MiniCase_Data!F208="M03"),1,0)</x:f>
        <x:v>0</x:v>
      </x:c>
      <x:c r="F208" t="n">
        <x:f>IF(C208="밖",1,0)</x:f>
        <x:v>0</x:v>
      </x:c>
      <x:c r="G208" t="n">
        <x:f>IF(OR(F208=1,E208=1),1,0)</x:f>
        <x:v>0</x:v>
      </x:c>
      <x:c r="H208" t="str">
        <x:f>IF(B208=1,IF(F208=1,"TP","FN"),IF(F208=1,"FP","TN"))</x:f>
        <x:v>TN</x:v>
      </x:c>
      <x:c r="I208" t="str">
        <x:f>IF(B208=1,IF(G208=1,"TP","FN"),IF(G208=1,"FP","TN"))</x:f>
        <x:v>TN</x:v>
      </x:c>
    </x:row>
    <x:row r="209">
      <x:c r="A209" t="str">
        <x:f>MiniCase_Data!A209</x:f>
        <x:v>R00208</x:v>
      </x:c>
      <x:c r="B209" t="n">
        <x:f>IF(MiniCase_Data!O209="불합격",1,0)</x:f>
        <x:v>0</x:v>
      </x:c>
      <x:c r="C209" t="str">
        <x:f>IF(ISBLANK(MiniCase_Data!H209),"missing",IF(OR(MiniCase_Data!H209&lt;27,MiniCase_Data!H209&gt;33),"밖","안"))</x:f>
        <x:v>안</x:v>
      </x:c>
      <x:c r="D209" t="n">
        <x:f>IF(ISBLANK(MiniCase_Data!H209),VLOOKUP(A209,센서로그!$A$2:$C$13,3,FALSE),MiniCase_Data!H209)</x:f>
        <x:v>31.48</x:v>
      </x:c>
      <x:c r="E209" t="n">
        <x:f>IF(AND(MiniCase_Data!C209="야간",MiniCase_Data!F209="M03"),1,0)</x:f>
        <x:v>1</x:v>
      </x:c>
      <x:c r="F209" t="n">
        <x:f>IF(C209="밖",1,0)</x:f>
        <x:v>0</x:v>
      </x:c>
      <x:c r="G209" t="n">
        <x:f>IF(OR(F209=1,E209=1),1,0)</x:f>
        <x:v>1</x:v>
      </x:c>
      <x:c r="H209" t="str">
        <x:f>IF(B209=1,IF(F209=1,"TP","FN"),IF(F209=1,"FP","TN"))</x:f>
        <x:v>TN</x:v>
      </x:c>
      <x:c r="I209" t="str">
        <x:f>IF(B209=1,IF(G209=1,"TP","FN"),IF(G209=1,"FP","TN"))</x:f>
        <x:v>FP</x:v>
      </x:c>
    </x:row>
    <x:row r="210">
      <x:c r="A210" t="str">
        <x:f>MiniCase_Data!A210</x:f>
        <x:v>R00209</x:v>
      </x:c>
      <x:c r="B210" t="n">
        <x:f>IF(MiniCase_Data!O210="불합격",1,0)</x:f>
        <x:v>1</x:v>
      </x:c>
      <x:c r="C210" t="str">
        <x:f>IF(ISBLANK(MiniCase_Data!H210),"missing",IF(OR(MiniCase_Data!H210&lt;27,MiniCase_Data!H210&gt;33),"밖","안"))</x:f>
        <x:v>밖</x:v>
      </x:c>
      <x:c r="D210" t="n">
        <x:f>IF(ISBLANK(MiniCase_Data!H210),VLOOKUP(A210,센서로그!$A$2:$C$13,3,FALSE),MiniCase_Data!H210)</x:f>
        <x:v>33.23</x:v>
      </x:c>
      <x:c r="E210" t="n">
        <x:f>IF(AND(MiniCase_Data!C210="야간",MiniCase_Data!F210="M03"),1,0)</x:f>
        <x:v>0</x:v>
      </x:c>
      <x:c r="F210" t="n">
        <x:f>IF(C210="밖",1,0)</x:f>
        <x:v>1</x:v>
      </x:c>
      <x:c r="G210" t="n">
        <x:f>IF(OR(F210=1,E210=1),1,0)</x:f>
        <x:v>1</x:v>
      </x:c>
      <x:c r="H210" t="str">
        <x:f>IF(B210=1,IF(F210=1,"TP","FN"),IF(F210=1,"FP","TN"))</x:f>
        <x:v>TP</x:v>
      </x:c>
      <x:c r="I210" t="str">
        <x:f>IF(B210=1,IF(G210=1,"TP","FN"),IF(G210=1,"FP","TN"))</x:f>
        <x:v>TP</x:v>
      </x:c>
    </x:row>
    <x:row r="211">
      <x:c r="A211" t="str">
        <x:f>MiniCase_Data!A211</x:f>
        <x:v>R00210</x:v>
      </x:c>
      <x:c r="B211" t="n">
        <x:f>IF(MiniCase_Data!O211="불합격",1,0)</x:f>
        <x:v>0</x:v>
      </x:c>
      <x:c r="C211" t="str">
        <x:f>IF(ISBLANK(MiniCase_Data!H211),"missing",IF(OR(MiniCase_Data!H211&lt;27,MiniCase_Data!H211&gt;33),"밖","안"))</x:f>
        <x:v>안</x:v>
      </x:c>
      <x:c r="D211" t="n">
        <x:f>IF(ISBLANK(MiniCase_Data!H211),VLOOKUP(A211,센서로그!$A$2:$C$13,3,FALSE),MiniCase_Data!H211)</x:f>
        <x:v>29.09</x:v>
      </x:c>
      <x:c r="E211" t="n">
        <x:f>IF(AND(MiniCase_Data!C211="야간",MiniCase_Data!F211="M03"),1,0)</x:f>
        <x:v>0</x:v>
      </x:c>
      <x:c r="F211" t="n">
        <x:f>IF(C211="밖",1,0)</x:f>
        <x:v>0</x:v>
      </x:c>
      <x:c r="G211" t="n">
        <x:f>IF(OR(F211=1,E211=1),1,0)</x:f>
        <x:v>0</x:v>
      </x:c>
      <x:c r="H211" t="str">
        <x:f>IF(B211=1,IF(F211=1,"TP","FN"),IF(F211=1,"FP","TN"))</x:f>
        <x:v>TN</x:v>
      </x:c>
      <x:c r="I211" t="str">
        <x:f>IF(B211=1,IF(G211=1,"TP","FN"),IF(G211=1,"FP","TN"))</x:f>
        <x:v>TN</x:v>
      </x:c>
    </x:row>
    <x:row r="212">
      <x:c r="A212" t="str">
        <x:f>MiniCase_Data!A212</x:f>
        <x:v>R00211</x:v>
      </x:c>
      <x:c r="B212" t="n">
        <x:f>IF(MiniCase_Data!O212="불합격",1,0)</x:f>
        <x:v>0</x:v>
      </x:c>
      <x:c r="C212" t="str">
        <x:f>IF(ISBLANK(MiniCase_Data!H212),"missing",IF(OR(MiniCase_Data!H212&lt;27,MiniCase_Data!H212&gt;33),"밖","안"))</x:f>
        <x:v>안</x:v>
      </x:c>
      <x:c r="D212" t="n">
        <x:f>IF(ISBLANK(MiniCase_Data!H212),VLOOKUP(A212,센서로그!$A$2:$C$13,3,FALSE),MiniCase_Data!H212)</x:f>
        <x:v>30.5</x:v>
      </x:c>
      <x:c r="E212" t="n">
        <x:f>IF(AND(MiniCase_Data!C212="야간",MiniCase_Data!F212="M03"),1,0)</x:f>
        <x:v>0</x:v>
      </x:c>
      <x:c r="F212" t="n">
        <x:f>IF(C212="밖",1,0)</x:f>
        <x:v>0</x:v>
      </x:c>
      <x:c r="G212" t="n">
        <x:f>IF(OR(F212=1,E212=1),1,0)</x:f>
        <x:v>0</x:v>
      </x:c>
      <x:c r="H212" t="str">
        <x:f>IF(B212=1,IF(F212=1,"TP","FN"),IF(F212=1,"FP","TN"))</x:f>
        <x:v>TN</x:v>
      </x:c>
      <x:c r="I212" t="str">
        <x:f>IF(B212=1,IF(G212=1,"TP","FN"),IF(G212=1,"FP","TN"))</x:f>
        <x:v>TN</x:v>
      </x:c>
    </x:row>
    <x:row r="213">
      <x:c r="A213" t="str">
        <x:f>MiniCase_Data!A213</x:f>
        <x:v>R00212</x:v>
      </x:c>
      <x:c r="B213" t="n">
        <x:f>IF(MiniCase_Data!O213="불합격",1,0)</x:f>
        <x:v>0</x:v>
      </x:c>
      <x:c r="C213" t="str">
        <x:f>IF(ISBLANK(MiniCase_Data!H213),"missing",IF(OR(MiniCase_Data!H213&lt;27,MiniCase_Data!H213&gt;33),"밖","안"))</x:f>
        <x:v>안</x:v>
      </x:c>
      <x:c r="D213" t="n">
        <x:f>IF(ISBLANK(MiniCase_Data!H213),VLOOKUP(A213,센서로그!$A$2:$C$13,3,FALSE),MiniCase_Data!H213)</x:f>
        <x:v>31.9</x:v>
      </x:c>
      <x:c r="E213" t="n">
        <x:f>IF(AND(MiniCase_Data!C213="야간",MiniCase_Data!F213="M03"),1,0)</x:f>
        <x:v>0</x:v>
      </x:c>
      <x:c r="F213" t="n">
        <x:f>IF(C213="밖",1,0)</x:f>
        <x:v>0</x:v>
      </x:c>
      <x:c r="G213" t="n">
        <x:f>IF(OR(F213=1,E213=1),1,0)</x:f>
        <x:v>0</x:v>
      </x:c>
      <x:c r="H213" t="str">
        <x:f>IF(B213=1,IF(F213=1,"TP","FN"),IF(F213=1,"FP","TN"))</x:f>
        <x:v>TN</x:v>
      </x:c>
      <x:c r="I213" t="str">
        <x:f>IF(B213=1,IF(G213=1,"TP","FN"),IF(G213=1,"FP","TN"))</x:f>
        <x:v>TN</x:v>
      </x:c>
    </x:row>
    <x:row r="214">
      <x:c r="A214" t="str">
        <x:f>MiniCase_Data!A214</x:f>
        <x:v>R00213</x:v>
      </x:c>
      <x:c r="B214" t="n">
        <x:f>IF(MiniCase_Data!O214="불합격",1,0)</x:f>
        <x:v>0</x:v>
      </x:c>
      <x:c r="C214" t="str">
        <x:f>IF(ISBLANK(MiniCase_Data!H214),"missing",IF(OR(MiniCase_Data!H214&lt;27,MiniCase_Data!H214&gt;33),"밖","안"))</x:f>
        <x:v>안</x:v>
      </x:c>
      <x:c r="D214" t="n">
        <x:f>IF(ISBLANK(MiniCase_Data!H214),VLOOKUP(A214,센서로그!$A$2:$C$13,3,FALSE),MiniCase_Data!H214)</x:f>
        <x:v>31.55</x:v>
      </x:c>
      <x:c r="E214" t="n">
        <x:f>IF(AND(MiniCase_Data!C214="야간",MiniCase_Data!F214="M03"),1,0)</x:f>
        <x:v>0</x:v>
      </x:c>
      <x:c r="F214" t="n">
        <x:f>IF(C214="밖",1,0)</x:f>
        <x:v>0</x:v>
      </x:c>
      <x:c r="G214" t="n">
        <x:f>IF(OR(F214=1,E214=1),1,0)</x:f>
        <x:v>0</x:v>
      </x:c>
      <x:c r="H214" t="str">
        <x:f>IF(B214=1,IF(F214=1,"TP","FN"),IF(F214=1,"FP","TN"))</x:f>
        <x:v>TN</x:v>
      </x:c>
      <x:c r="I214" t="str">
        <x:f>IF(B214=1,IF(G214=1,"TP","FN"),IF(G214=1,"FP","TN"))</x:f>
        <x:v>TN</x:v>
      </x:c>
    </x:row>
    <x:row r="215">
      <x:c r="A215" t="str">
        <x:f>MiniCase_Data!A215</x:f>
        <x:v>R00214</x:v>
      </x:c>
      <x:c r="B215" t="n">
        <x:f>IF(MiniCase_Data!O215="불합격",1,0)</x:f>
        <x:v>0</x:v>
      </x:c>
      <x:c r="C215" t="str">
        <x:f>IF(ISBLANK(MiniCase_Data!H215),"missing",IF(OR(MiniCase_Data!H215&lt;27,MiniCase_Data!H215&gt;33),"밖","안"))</x:f>
        <x:v>안</x:v>
      </x:c>
      <x:c r="D215" t="n">
        <x:f>IF(ISBLANK(MiniCase_Data!H215),VLOOKUP(A215,센서로그!$A$2:$C$13,3,FALSE),MiniCase_Data!H215)</x:f>
        <x:v>32.43</x:v>
      </x:c>
      <x:c r="E215" t="n">
        <x:f>IF(AND(MiniCase_Data!C215="야간",MiniCase_Data!F215="M03"),1,0)</x:f>
        <x:v>0</x:v>
      </x:c>
      <x:c r="F215" t="n">
        <x:f>IF(C215="밖",1,0)</x:f>
        <x:v>0</x:v>
      </x:c>
      <x:c r="G215" t="n">
        <x:f>IF(OR(F215=1,E215=1),1,0)</x:f>
        <x:v>0</x:v>
      </x:c>
      <x:c r="H215" t="str">
        <x:f>IF(B215=1,IF(F215=1,"TP","FN"),IF(F215=1,"FP","TN"))</x:f>
        <x:v>TN</x:v>
      </x:c>
      <x:c r="I215" t="str">
        <x:f>IF(B215=1,IF(G215=1,"TP","FN"),IF(G215=1,"FP","TN"))</x:f>
        <x:v>TN</x:v>
      </x:c>
    </x:row>
    <x:row r="216">
      <x:c r="A216" t="str">
        <x:f>MiniCase_Data!A216</x:f>
        <x:v>R00215</x:v>
      </x:c>
      <x:c r="B216" t="n">
        <x:f>IF(MiniCase_Data!O216="불합격",1,0)</x:f>
        <x:v>0</x:v>
      </x:c>
      <x:c r="C216" t="str">
        <x:f>IF(ISBLANK(MiniCase_Data!H216),"missing",IF(OR(MiniCase_Data!H216&lt;27,MiniCase_Data!H216&gt;33),"밖","안"))</x:f>
        <x:v>안</x:v>
      </x:c>
      <x:c r="D216" t="n">
        <x:f>IF(ISBLANK(MiniCase_Data!H216),VLOOKUP(A216,센서로그!$A$2:$C$13,3,FALSE),MiniCase_Data!H216)</x:f>
        <x:v>29.08</x:v>
      </x:c>
      <x:c r="E216" t="n">
        <x:f>IF(AND(MiniCase_Data!C216="야간",MiniCase_Data!F216="M03"),1,0)</x:f>
        <x:v>0</x:v>
      </x:c>
      <x:c r="F216" t="n">
        <x:f>IF(C216="밖",1,0)</x:f>
        <x:v>0</x:v>
      </x:c>
      <x:c r="G216" t="n">
        <x:f>IF(OR(F216=1,E216=1),1,0)</x:f>
        <x:v>0</x:v>
      </x:c>
      <x:c r="H216" t="str">
        <x:f>IF(B216=1,IF(F216=1,"TP","FN"),IF(F216=1,"FP","TN"))</x:f>
        <x:v>TN</x:v>
      </x:c>
      <x:c r="I216" t="str">
        <x:f>IF(B216=1,IF(G216=1,"TP","FN"),IF(G216=1,"FP","TN"))</x:f>
        <x:v>TN</x:v>
      </x:c>
    </x:row>
    <x:row r="217">
      <x:c r="A217" t="str">
        <x:f>MiniCase_Data!A217</x:f>
        <x:v>R00216</x:v>
      </x:c>
      <x:c r="B217" t="n">
        <x:f>IF(MiniCase_Data!O217="불합격",1,0)</x:f>
        <x:v>0</x:v>
      </x:c>
      <x:c r="C217" t="str">
        <x:f>IF(ISBLANK(MiniCase_Data!H217),"missing",IF(OR(MiniCase_Data!H217&lt;27,MiniCase_Data!H217&gt;33),"밖","안"))</x:f>
        <x:v>안</x:v>
      </x:c>
      <x:c r="D217" t="n">
        <x:f>IF(ISBLANK(MiniCase_Data!H217),VLOOKUP(A217,센서로그!$A$2:$C$13,3,FALSE),MiniCase_Data!H217)</x:f>
        <x:v>31.57</x:v>
      </x:c>
      <x:c r="E217" t="n">
        <x:f>IF(AND(MiniCase_Data!C217="야간",MiniCase_Data!F217="M03"),1,0)</x:f>
        <x:v>0</x:v>
      </x:c>
      <x:c r="F217" t="n">
        <x:f>IF(C217="밖",1,0)</x:f>
        <x:v>0</x:v>
      </x:c>
      <x:c r="G217" t="n">
        <x:f>IF(OR(F217=1,E217=1),1,0)</x:f>
        <x:v>0</x:v>
      </x:c>
      <x:c r="H217" t="str">
        <x:f>IF(B217=1,IF(F217=1,"TP","FN"),IF(F217=1,"FP","TN"))</x:f>
        <x:v>TN</x:v>
      </x:c>
      <x:c r="I217" t="str">
        <x:f>IF(B217=1,IF(G217=1,"TP","FN"),IF(G217=1,"FP","TN"))</x:f>
        <x:v>TN</x:v>
      </x:c>
    </x:row>
    <x:row r="218">
      <x:c r="A218" t="str">
        <x:f>MiniCase_Data!A218</x:f>
        <x:v>R00217</x:v>
      </x:c>
      <x:c r="B218" t="n">
        <x:f>IF(MiniCase_Data!O218="불합격",1,0)</x:f>
        <x:v>0</x:v>
      </x:c>
      <x:c r="C218" t="str">
        <x:f>IF(ISBLANK(MiniCase_Data!H218),"missing",IF(OR(MiniCase_Data!H218&lt;27,MiniCase_Data!H218&gt;33),"밖","안"))</x:f>
        <x:v>안</x:v>
      </x:c>
      <x:c r="D218" t="n">
        <x:f>IF(ISBLANK(MiniCase_Data!H218),VLOOKUP(A218,센서로그!$A$2:$C$13,3,FALSE),MiniCase_Data!H218)</x:f>
        <x:v>32.13</x:v>
      </x:c>
      <x:c r="E218" t="n">
        <x:f>IF(AND(MiniCase_Data!C218="야간",MiniCase_Data!F218="M03"),1,0)</x:f>
        <x:v>0</x:v>
      </x:c>
      <x:c r="F218" t="n">
        <x:f>IF(C218="밖",1,0)</x:f>
        <x:v>0</x:v>
      </x:c>
      <x:c r="G218" t="n">
        <x:f>IF(OR(F218=1,E218=1),1,0)</x:f>
        <x:v>0</x:v>
      </x:c>
      <x:c r="H218" t="str">
        <x:f>IF(B218=1,IF(F218=1,"TP","FN"),IF(F218=1,"FP","TN"))</x:f>
        <x:v>TN</x:v>
      </x:c>
      <x:c r="I218" t="str">
        <x:f>IF(B218=1,IF(G218=1,"TP","FN"),IF(G218=1,"FP","TN"))</x:f>
        <x:v>TN</x:v>
      </x:c>
    </x:row>
    <x:row r="219">
      <x:c r="A219" t="str">
        <x:f>MiniCase_Data!A219</x:f>
        <x:v>R00218</x:v>
      </x:c>
      <x:c r="B219" t="n">
        <x:f>IF(MiniCase_Data!O219="불합격",1,0)</x:f>
        <x:v>0</x:v>
      </x:c>
      <x:c r="C219" t="str">
        <x:f>IF(ISBLANK(MiniCase_Data!H219),"missing",IF(OR(MiniCase_Data!H219&lt;27,MiniCase_Data!H219&gt;33),"밖","안"))</x:f>
        <x:v>안</x:v>
      </x:c>
      <x:c r="D219" t="n">
        <x:f>IF(ISBLANK(MiniCase_Data!H219),VLOOKUP(A219,센서로그!$A$2:$C$13,3,FALSE),MiniCase_Data!H219)</x:f>
        <x:v>30.85</x:v>
      </x:c>
      <x:c r="E219" t="n">
        <x:f>IF(AND(MiniCase_Data!C219="야간",MiniCase_Data!F219="M03"),1,0)</x:f>
        <x:v>0</x:v>
      </x:c>
      <x:c r="F219" t="n">
        <x:f>IF(C219="밖",1,0)</x:f>
        <x:v>0</x:v>
      </x:c>
      <x:c r="G219" t="n">
        <x:f>IF(OR(F219=1,E219=1),1,0)</x:f>
        <x:v>0</x:v>
      </x:c>
      <x:c r="H219" t="str">
        <x:f>IF(B219=1,IF(F219=1,"TP","FN"),IF(F219=1,"FP","TN"))</x:f>
        <x:v>TN</x:v>
      </x:c>
      <x:c r="I219" t="str">
        <x:f>IF(B219=1,IF(G219=1,"TP","FN"),IF(G219=1,"FP","TN"))</x:f>
        <x:v>TN</x:v>
      </x:c>
    </x:row>
    <x:row r="220">
      <x:c r="A220" t="str">
        <x:f>MiniCase_Data!A220</x:f>
        <x:v>R00219</x:v>
      </x:c>
      <x:c r="B220" t="n">
        <x:f>IF(MiniCase_Data!O220="불합격",1,0)</x:f>
        <x:v>0</x:v>
      </x:c>
      <x:c r="C220" t="str">
        <x:f>IF(ISBLANK(MiniCase_Data!H220),"missing",IF(OR(MiniCase_Data!H220&lt;27,MiniCase_Data!H220&gt;33),"밖","안"))</x:f>
        <x:v>안</x:v>
      </x:c>
      <x:c r="D220" t="n">
        <x:f>IF(ISBLANK(MiniCase_Data!H220),VLOOKUP(A220,센서로그!$A$2:$C$13,3,FALSE),MiniCase_Data!H220)</x:f>
        <x:v>28.05</x:v>
      </x:c>
      <x:c r="E220" t="n">
        <x:f>IF(AND(MiniCase_Data!C220="야간",MiniCase_Data!F220="M03"),1,0)</x:f>
        <x:v>0</x:v>
      </x:c>
      <x:c r="F220" t="n">
        <x:f>IF(C220="밖",1,0)</x:f>
        <x:v>0</x:v>
      </x:c>
      <x:c r="G220" t="n">
        <x:f>IF(OR(F220=1,E220=1),1,0)</x:f>
        <x:v>0</x:v>
      </x:c>
      <x:c r="H220" t="str">
        <x:f>IF(B220=1,IF(F220=1,"TP","FN"),IF(F220=1,"FP","TN"))</x:f>
        <x:v>TN</x:v>
      </x:c>
      <x:c r="I220" t="str">
        <x:f>IF(B220=1,IF(G220=1,"TP","FN"),IF(G220=1,"FP","TN"))</x:f>
        <x:v>TN</x:v>
      </x:c>
    </x:row>
    <x:row r="221">
      <x:c r="A221" t="str">
        <x:f>MiniCase_Data!A221</x:f>
        <x:v>R00220</x:v>
      </x:c>
      <x:c r="B221" t="n">
        <x:f>IF(MiniCase_Data!O221="불합격",1,0)</x:f>
        <x:v>0</x:v>
      </x:c>
      <x:c r="C221" t="str">
        <x:f>IF(ISBLANK(MiniCase_Data!H221),"missing",IF(OR(MiniCase_Data!H221&lt;27,MiniCase_Data!H221&gt;33),"밖","안"))</x:f>
        <x:v>안</x:v>
      </x:c>
      <x:c r="D221" t="n">
        <x:f>IF(ISBLANK(MiniCase_Data!H221),VLOOKUP(A221,센서로그!$A$2:$C$13,3,FALSE),MiniCase_Data!H221)</x:f>
        <x:v>29.33</x:v>
      </x:c>
      <x:c r="E221" t="n">
        <x:f>IF(AND(MiniCase_Data!C221="야간",MiniCase_Data!F221="M03"),1,0)</x:f>
        <x:v>0</x:v>
      </x:c>
      <x:c r="F221" t="n">
        <x:f>IF(C221="밖",1,0)</x:f>
        <x:v>0</x:v>
      </x:c>
      <x:c r="G221" t="n">
        <x:f>IF(OR(F221=1,E221=1),1,0)</x:f>
        <x:v>0</x:v>
      </x:c>
      <x:c r="H221" t="str">
        <x:f>IF(B221=1,IF(F221=1,"TP","FN"),IF(F221=1,"FP","TN"))</x:f>
        <x:v>TN</x:v>
      </x:c>
      <x:c r="I221" t="str">
        <x:f>IF(B221=1,IF(G221=1,"TP","FN"),IF(G221=1,"FP","TN"))</x:f>
        <x:v>TN</x:v>
      </x:c>
    </x:row>
    <x:row r="222">
      <x:c r="A222" t="str">
        <x:f>MiniCase_Data!A222</x:f>
        <x:v>R00221</x:v>
      </x:c>
      <x:c r="B222" t="n">
        <x:f>IF(MiniCase_Data!O222="불합격",1,0)</x:f>
        <x:v>0</x:v>
      </x:c>
      <x:c r="C222" t="str">
        <x:f>IF(ISBLANK(MiniCase_Data!H222),"missing",IF(OR(MiniCase_Data!H222&lt;27,MiniCase_Data!H222&gt;33),"밖","안"))</x:f>
        <x:v>안</x:v>
      </x:c>
      <x:c r="D222" t="n">
        <x:f>IF(ISBLANK(MiniCase_Data!H222),VLOOKUP(A222,센서로그!$A$2:$C$13,3,FALSE),MiniCase_Data!H222)</x:f>
        <x:v>29.16</x:v>
      </x:c>
      <x:c r="E222" t="n">
        <x:f>IF(AND(MiniCase_Data!C222="야간",MiniCase_Data!F222="M03"),1,0)</x:f>
        <x:v>0</x:v>
      </x:c>
      <x:c r="F222" t="n">
        <x:f>IF(C222="밖",1,0)</x:f>
        <x:v>0</x:v>
      </x:c>
      <x:c r="G222" t="n">
        <x:f>IF(OR(F222=1,E222=1),1,0)</x:f>
        <x:v>0</x:v>
      </x:c>
      <x:c r="H222" t="str">
        <x:f>IF(B222=1,IF(F222=1,"TP","FN"),IF(F222=1,"FP","TN"))</x:f>
        <x:v>TN</x:v>
      </x:c>
      <x:c r="I222" t="str">
        <x:f>IF(B222=1,IF(G222=1,"TP","FN"),IF(G222=1,"FP","TN"))</x:f>
        <x:v>TN</x:v>
      </x:c>
    </x:row>
    <x:row r="223">
      <x:c r="A223" t="str">
        <x:f>MiniCase_Data!A223</x:f>
        <x:v>R00222</x:v>
      </x:c>
      <x:c r="B223" t="n">
        <x:f>IF(MiniCase_Data!O223="불합격",1,0)</x:f>
        <x:v>0</x:v>
      </x:c>
      <x:c r="C223" t="str">
        <x:f>IF(ISBLANK(MiniCase_Data!H223),"missing",IF(OR(MiniCase_Data!H223&lt;27,MiniCase_Data!H223&gt;33),"밖","안"))</x:f>
        <x:v>안</x:v>
      </x:c>
      <x:c r="D223" t="n">
        <x:f>IF(ISBLANK(MiniCase_Data!H223),VLOOKUP(A223,센서로그!$A$2:$C$13,3,FALSE),MiniCase_Data!H223)</x:f>
        <x:v>28.26</x:v>
      </x:c>
      <x:c r="E223" t="n">
        <x:f>IF(AND(MiniCase_Data!C223="야간",MiniCase_Data!F223="M03"),1,0)</x:f>
        <x:v>0</x:v>
      </x:c>
      <x:c r="F223" t="n">
        <x:f>IF(C223="밖",1,0)</x:f>
        <x:v>0</x:v>
      </x:c>
      <x:c r="G223" t="n">
        <x:f>IF(OR(F223=1,E223=1),1,0)</x:f>
        <x:v>0</x:v>
      </x:c>
      <x:c r="H223" t="str">
        <x:f>IF(B223=1,IF(F223=1,"TP","FN"),IF(F223=1,"FP","TN"))</x:f>
        <x:v>TN</x:v>
      </x:c>
      <x:c r="I223" t="str">
        <x:f>IF(B223=1,IF(G223=1,"TP","FN"),IF(G223=1,"FP","TN"))</x:f>
        <x:v>TN</x:v>
      </x:c>
    </x:row>
    <x:row r="224">
      <x:c r="A224" t="str">
        <x:f>MiniCase_Data!A224</x:f>
        <x:v>R00223</x:v>
      </x:c>
      <x:c r="B224" t="n">
        <x:f>IF(MiniCase_Data!O224="불합격",1,0)</x:f>
        <x:v>0</x:v>
      </x:c>
      <x:c r="C224" t="str">
        <x:f>IF(ISBLANK(MiniCase_Data!H224),"missing",IF(OR(MiniCase_Data!H224&lt;27,MiniCase_Data!H224&gt;33),"밖","안"))</x:f>
        <x:v>안</x:v>
      </x:c>
      <x:c r="D224" t="n">
        <x:f>IF(ISBLANK(MiniCase_Data!H224),VLOOKUP(A224,센서로그!$A$2:$C$13,3,FALSE),MiniCase_Data!H224)</x:f>
        <x:v>29.99</x:v>
      </x:c>
      <x:c r="E224" t="n">
        <x:f>IF(AND(MiniCase_Data!C224="야간",MiniCase_Data!F224="M03"),1,0)</x:f>
        <x:v>0</x:v>
      </x:c>
      <x:c r="F224" t="n">
        <x:f>IF(C224="밖",1,0)</x:f>
        <x:v>0</x:v>
      </x:c>
      <x:c r="G224" t="n">
        <x:f>IF(OR(F224=1,E224=1),1,0)</x:f>
        <x:v>0</x:v>
      </x:c>
      <x:c r="H224" t="str">
        <x:f>IF(B224=1,IF(F224=1,"TP","FN"),IF(F224=1,"FP","TN"))</x:f>
        <x:v>TN</x:v>
      </x:c>
      <x:c r="I224" t="str">
        <x:f>IF(B224=1,IF(G224=1,"TP","FN"),IF(G224=1,"FP","TN"))</x:f>
        <x:v>TN</x:v>
      </x:c>
    </x:row>
    <x:row r="225">
      <x:c r="A225" t="str">
        <x:f>MiniCase_Data!A225</x:f>
        <x:v>R00224</x:v>
      </x:c>
      <x:c r="B225" t="n">
        <x:f>IF(MiniCase_Data!O225="불합격",1,0)</x:f>
        <x:v>0</x:v>
      </x:c>
      <x:c r="C225" t="str">
        <x:f>IF(ISBLANK(MiniCase_Data!H225),"missing",IF(OR(MiniCase_Data!H225&lt;27,MiniCase_Data!H225&gt;33),"밖","안"))</x:f>
        <x:v>안</x:v>
      </x:c>
      <x:c r="D225" t="n">
        <x:f>IF(ISBLANK(MiniCase_Data!H225),VLOOKUP(A225,센서로그!$A$2:$C$13,3,FALSE),MiniCase_Data!H225)</x:f>
        <x:v>30.18</x:v>
      </x:c>
      <x:c r="E225" t="n">
        <x:f>IF(AND(MiniCase_Data!C225="야간",MiniCase_Data!F225="M03"),1,0)</x:f>
        <x:v>0</x:v>
      </x:c>
      <x:c r="F225" t="n">
        <x:f>IF(C225="밖",1,0)</x:f>
        <x:v>0</x:v>
      </x:c>
      <x:c r="G225" t="n">
        <x:f>IF(OR(F225=1,E225=1),1,0)</x:f>
        <x:v>0</x:v>
      </x:c>
      <x:c r="H225" t="str">
        <x:f>IF(B225=1,IF(F225=1,"TP","FN"),IF(F225=1,"FP","TN"))</x:f>
        <x:v>TN</x:v>
      </x:c>
      <x:c r="I225" t="str">
        <x:f>IF(B225=1,IF(G225=1,"TP","FN"),IF(G225=1,"FP","TN"))</x:f>
        <x:v>TN</x:v>
      </x:c>
    </x:row>
    <x:row r="226">
      <x:c r="A226" t="str">
        <x:f>MiniCase_Data!A226</x:f>
        <x:v>R00225</x:v>
      </x:c>
      <x:c r="B226" t="n">
        <x:f>IF(MiniCase_Data!O226="불합격",1,0)</x:f>
        <x:v>0</x:v>
      </x:c>
      <x:c r="C226" t="str">
        <x:f>IF(ISBLANK(MiniCase_Data!H226),"missing",IF(OR(MiniCase_Data!H226&lt;27,MiniCase_Data!H226&gt;33),"밖","안"))</x:f>
        <x:v>안</x:v>
      </x:c>
      <x:c r="D226" t="n">
        <x:f>IF(ISBLANK(MiniCase_Data!H226),VLOOKUP(A226,센서로그!$A$2:$C$13,3,FALSE),MiniCase_Data!H226)</x:f>
        <x:v>27.83</x:v>
      </x:c>
      <x:c r="E226" t="n">
        <x:f>IF(AND(MiniCase_Data!C226="야간",MiniCase_Data!F226="M03"),1,0)</x:f>
        <x:v>1</x:v>
      </x:c>
      <x:c r="F226" t="n">
        <x:f>IF(C226="밖",1,0)</x:f>
        <x:v>0</x:v>
      </x:c>
      <x:c r="G226" t="n">
        <x:f>IF(OR(F226=1,E226=1),1,0)</x:f>
        <x:v>1</x:v>
      </x:c>
      <x:c r="H226" t="str">
        <x:f>IF(B226=1,IF(F226=1,"TP","FN"),IF(F226=1,"FP","TN"))</x:f>
        <x:v>TN</x:v>
      </x:c>
      <x:c r="I226" t="str">
        <x:f>IF(B226=1,IF(G226=1,"TP","FN"),IF(G226=1,"FP","TN"))</x:f>
        <x:v>FP</x:v>
      </x:c>
    </x:row>
    <x:row r="227">
      <x:c r="A227" t="str">
        <x:f>MiniCase_Data!A227</x:f>
        <x:v>R00226</x:v>
      </x:c>
      <x:c r="B227" t="n">
        <x:f>IF(MiniCase_Data!O227="불합격",1,0)</x:f>
        <x:v>0</x:v>
      </x:c>
      <x:c r="C227" t="str">
        <x:f>IF(ISBLANK(MiniCase_Data!H227),"missing",IF(OR(MiniCase_Data!H227&lt;27,MiniCase_Data!H227&gt;33),"밖","안"))</x:f>
        <x:v>밖</x:v>
      </x:c>
      <x:c r="D227" t="n">
        <x:f>IF(ISBLANK(MiniCase_Data!H227),VLOOKUP(A227,센서로그!$A$2:$C$13,3,FALSE),MiniCase_Data!H227)</x:f>
        <x:v>26.2</x:v>
      </x:c>
      <x:c r="E227" t="n">
        <x:f>IF(AND(MiniCase_Data!C227="야간",MiniCase_Data!F227="M03"),1,0)</x:f>
        <x:v>1</x:v>
      </x:c>
      <x:c r="F227" t="n">
        <x:f>IF(C227="밖",1,0)</x:f>
        <x:v>1</x:v>
      </x:c>
      <x:c r="G227" t="n">
        <x:f>IF(OR(F227=1,E227=1),1,0)</x:f>
        <x:v>1</x:v>
      </x:c>
      <x:c r="H227" t="str">
        <x:f>IF(B227=1,IF(F227=1,"TP","FN"),IF(F227=1,"FP","TN"))</x:f>
        <x:v>FP</x:v>
      </x:c>
      <x:c r="I227" t="str">
        <x:f>IF(B227=1,IF(G227=1,"TP","FN"),IF(G227=1,"FP","TN"))</x:f>
        <x:v>FP</x:v>
      </x:c>
    </x:row>
    <x:row r="228">
      <x:c r="A228" t="str">
        <x:f>MiniCase_Data!A228</x:f>
        <x:v>R00227</x:v>
      </x:c>
      <x:c r="B228" t="n">
        <x:f>IF(MiniCase_Data!O228="불합격",1,0)</x:f>
        <x:v>0</x:v>
      </x:c>
      <x:c r="C228" t="str">
        <x:f>IF(ISBLANK(MiniCase_Data!H228),"missing",IF(OR(MiniCase_Data!H228&lt;27,MiniCase_Data!H228&gt;33),"밖","안"))</x:f>
        <x:v>밖</x:v>
      </x:c>
      <x:c r="D228" t="n">
        <x:f>IF(ISBLANK(MiniCase_Data!H228),VLOOKUP(A228,센서로그!$A$2:$C$13,3,FALSE),MiniCase_Data!H228)</x:f>
        <x:v>33.27</x:v>
      </x:c>
      <x:c r="E228" t="n">
        <x:f>IF(AND(MiniCase_Data!C228="야간",MiniCase_Data!F228="M03"),1,0)</x:f>
        <x:v>1</x:v>
      </x:c>
      <x:c r="F228" t="n">
        <x:f>IF(C228="밖",1,0)</x:f>
        <x:v>1</x:v>
      </x:c>
      <x:c r="G228" t="n">
        <x:f>IF(OR(F228=1,E228=1),1,0)</x:f>
        <x:v>1</x:v>
      </x:c>
      <x:c r="H228" t="str">
        <x:f>IF(B228=1,IF(F228=1,"TP","FN"),IF(F228=1,"FP","TN"))</x:f>
        <x:v>FP</x:v>
      </x:c>
      <x:c r="I228" t="str">
        <x:f>IF(B228=1,IF(G228=1,"TP","FN"),IF(G228=1,"FP","TN"))</x:f>
        <x:v>FP</x:v>
      </x:c>
    </x:row>
    <x:row r="229">
      <x:c r="A229" t="str">
        <x:f>MiniCase_Data!A229</x:f>
        <x:v>R00228</x:v>
      </x:c>
      <x:c r="B229" t="n">
        <x:f>IF(MiniCase_Data!O229="불합격",1,0)</x:f>
        <x:v>0</x:v>
      </x:c>
      <x:c r="C229" t="str">
        <x:f>IF(ISBLANK(MiniCase_Data!H229),"missing",IF(OR(MiniCase_Data!H229&lt;27,MiniCase_Data!H229&gt;33),"밖","안"))</x:f>
        <x:v>안</x:v>
      </x:c>
      <x:c r="D229" t="n">
        <x:f>IF(ISBLANK(MiniCase_Data!H229),VLOOKUP(A229,센서로그!$A$2:$C$13,3,FALSE),MiniCase_Data!H229)</x:f>
        <x:v>27.92</x:v>
      </x:c>
      <x:c r="E229" t="n">
        <x:f>IF(AND(MiniCase_Data!C229="야간",MiniCase_Data!F229="M03"),1,0)</x:f>
        <x:v>0</x:v>
      </x:c>
      <x:c r="F229" t="n">
        <x:f>IF(C229="밖",1,0)</x:f>
        <x:v>0</x:v>
      </x:c>
      <x:c r="G229" t="n">
        <x:f>IF(OR(F229=1,E229=1),1,0)</x:f>
        <x:v>0</x:v>
      </x:c>
      <x:c r="H229" t="str">
        <x:f>IF(B229=1,IF(F229=1,"TP","FN"),IF(F229=1,"FP","TN"))</x:f>
        <x:v>TN</x:v>
      </x:c>
      <x:c r="I229" t="str">
        <x:f>IF(B229=1,IF(G229=1,"TP","FN"),IF(G229=1,"FP","TN"))</x:f>
        <x:v>TN</x:v>
      </x:c>
    </x:row>
    <x:row r="230">
      <x:c r="A230" t="str">
        <x:f>MiniCase_Data!A230</x:f>
        <x:v>R00229</x:v>
      </x:c>
      <x:c r="B230" t="n">
        <x:f>IF(MiniCase_Data!O230="불합격",1,0)</x:f>
        <x:v>0</x:v>
      </x:c>
      <x:c r="C230" t="str">
        <x:f>IF(ISBLANK(MiniCase_Data!H230),"missing",IF(OR(MiniCase_Data!H230&lt;27,MiniCase_Data!H230&gt;33),"밖","안"))</x:f>
        <x:v>안</x:v>
      </x:c>
      <x:c r="D230" t="n">
        <x:f>IF(ISBLANK(MiniCase_Data!H230),VLOOKUP(A230,센서로그!$A$2:$C$13,3,FALSE),MiniCase_Data!H230)</x:f>
        <x:v>27.72</x:v>
      </x:c>
      <x:c r="E230" t="n">
        <x:f>IF(AND(MiniCase_Data!C230="야간",MiniCase_Data!F230="M03"),1,0)</x:f>
        <x:v>0</x:v>
      </x:c>
      <x:c r="F230" t="n">
        <x:f>IF(C230="밖",1,0)</x:f>
        <x:v>0</x:v>
      </x:c>
      <x:c r="G230" t="n">
        <x:f>IF(OR(F230=1,E230=1),1,0)</x:f>
        <x:v>0</x:v>
      </x:c>
      <x:c r="H230" t="str">
        <x:f>IF(B230=1,IF(F230=1,"TP","FN"),IF(F230=1,"FP","TN"))</x:f>
        <x:v>TN</x:v>
      </x:c>
      <x:c r="I230" t="str">
        <x:f>IF(B230=1,IF(G230=1,"TP","FN"),IF(G230=1,"FP","TN"))</x:f>
        <x:v>TN</x:v>
      </x:c>
    </x:row>
    <x:row r="231">
      <x:c r="A231" t="str">
        <x:f>MiniCase_Data!A231</x:f>
        <x:v>R00230</x:v>
      </x:c>
      <x:c r="B231" t="n">
        <x:f>IF(MiniCase_Data!O231="불합격",1,0)</x:f>
        <x:v>0</x:v>
      </x:c>
      <x:c r="C231" t="str">
        <x:f>IF(ISBLANK(MiniCase_Data!H231),"missing",IF(OR(MiniCase_Data!H231&lt;27,MiniCase_Data!H231&gt;33),"밖","안"))</x:f>
        <x:v>밖</x:v>
      </x:c>
      <x:c r="D231" t="n">
        <x:f>IF(ISBLANK(MiniCase_Data!H231),VLOOKUP(A231,센서로그!$A$2:$C$13,3,FALSE),MiniCase_Data!H231)</x:f>
        <x:v>26.27</x:v>
      </x:c>
      <x:c r="E231" t="n">
        <x:f>IF(AND(MiniCase_Data!C231="야간",MiniCase_Data!F231="M03"),1,0)</x:f>
        <x:v>1</x:v>
      </x:c>
      <x:c r="F231" t="n">
        <x:f>IF(C231="밖",1,0)</x:f>
        <x:v>1</x:v>
      </x:c>
      <x:c r="G231" t="n">
        <x:f>IF(OR(F231=1,E231=1),1,0)</x:f>
        <x:v>1</x:v>
      </x:c>
      <x:c r="H231" t="str">
        <x:f>IF(B231=1,IF(F231=1,"TP","FN"),IF(F231=1,"FP","TN"))</x:f>
        <x:v>FP</x:v>
      </x:c>
      <x:c r="I231" t="str">
        <x:f>IF(B231=1,IF(G231=1,"TP","FN"),IF(G231=1,"FP","TN"))</x:f>
        <x:v>FP</x:v>
      </x:c>
    </x:row>
    <x:row r="232">
      <x:c r="A232" t="str">
        <x:f>MiniCase_Data!A232</x:f>
        <x:v>R00231</x:v>
      </x:c>
      <x:c r="B232" t="n">
        <x:f>IF(MiniCase_Data!O232="불합격",1,0)</x:f>
        <x:v>0</x:v>
      </x:c>
      <x:c r="C232" t="str">
        <x:f>IF(ISBLANK(MiniCase_Data!H232),"missing",IF(OR(MiniCase_Data!H232&lt;27,MiniCase_Data!H232&gt;33),"밖","안"))</x:f>
        <x:v>안</x:v>
      </x:c>
      <x:c r="D232" t="n">
        <x:f>IF(ISBLANK(MiniCase_Data!H232),VLOOKUP(A232,센서로그!$A$2:$C$13,3,FALSE),MiniCase_Data!H232)</x:f>
        <x:v>32.43</x:v>
      </x:c>
      <x:c r="E232" t="n">
        <x:f>IF(AND(MiniCase_Data!C232="야간",MiniCase_Data!F232="M03"),1,0)</x:f>
        <x:v>0</x:v>
      </x:c>
      <x:c r="F232" t="n">
        <x:f>IF(C232="밖",1,0)</x:f>
        <x:v>0</x:v>
      </x:c>
      <x:c r="G232" t="n">
        <x:f>IF(OR(F232=1,E232=1),1,0)</x:f>
        <x:v>0</x:v>
      </x:c>
      <x:c r="H232" t="str">
        <x:f>IF(B232=1,IF(F232=1,"TP","FN"),IF(F232=1,"FP","TN"))</x:f>
        <x:v>TN</x:v>
      </x:c>
      <x:c r="I232" t="str">
        <x:f>IF(B232=1,IF(G232=1,"TP","FN"),IF(G232=1,"FP","TN"))</x:f>
        <x:v>TN</x:v>
      </x:c>
    </x:row>
    <x:row r="233">
      <x:c r="A233" t="str">
        <x:f>MiniCase_Data!A233</x:f>
        <x:v>R00232</x:v>
      </x:c>
      <x:c r="B233" t="n">
        <x:f>IF(MiniCase_Data!O233="불합격",1,0)</x:f>
        <x:v>0</x:v>
      </x:c>
      <x:c r="C233" t="str">
        <x:f>IF(ISBLANK(MiniCase_Data!H233),"missing",IF(OR(MiniCase_Data!H233&lt;27,MiniCase_Data!H233&gt;33),"밖","안"))</x:f>
        <x:v>안</x:v>
      </x:c>
      <x:c r="D233" t="n">
        <x:f>IF(ISBLANK(MiniCase_Data!H233),VLOOKUP(A233,센서로그!$A$2:$C$13,3,FALSE),MiniCase_Data!H233)</x:f>
        <x:v>29.68</x:v>
      </x:c>
      <x:c r="E233" t="n">
        <x:f>IF(AND(MiniCase_Data!C233="야간",MiniCase_Data!F233="M03"),1,0)</x:f>
        <x:v>0</x:v>
      </x:c>
      <x:c r="F233" t="n">
        <x:f>IF(C233="밖",1,0)</x:f>
        <x:v>0</x:v>
      </x:c>
      <x:c r="G233" t="n">
        <x:f>IF(OR(F233=1,E233=1),1,0)</x:f>
        <x:v>0</x:v>
      </x:c>
      <x:c r="H233" t="str">
        <x:f>IF(B233=1,IF(F233=1,"TP","FN"),IF(F233=1,"FP","TN"))</x:f>
        <x:v>TN</x:v>
      </x:c>
      <x:c r="I233" t="str">
        <x:f>IF(B233=1,IF(G233=1,"TP","FN"),IF(G233=1,"FP","TN"))</x:f>
        <x:v>TN</x:v>
      </x:c>
    </x:row>
    <x:row r="234">
      <x:c r="A234" t="str">
        <x:f>MiniCase_Data!A234</x:f>
        <x:v>R00233</x:v>
      </x:c>
      <x:c r="B234" t="n">
        <x:f>IF(MiniCase_Data!O234="불합격",1,0)</x:f>
        <x:v>0</x:v>
      </x:c>
      <x:c r="C234" t="str">
        <x:f>IF(ISBLANK(MiniCase_Data!H234),"missing",IF(OR(MiniCase_Data!H234&lt;27,MiniCase_Data!H234&gt;33),"밖","안"))</x:f>
        <x:v>안</x:v>
      </x:c>
      <x:c r="D234" t="n">
        <x:f>IF(ISBLANK(MiniCase_Data!H234),VLOOKUP(A234,센서로그!$A$2:$C$13,3,FALSE),MiniCase_Data!H234)</x:f>
        <x:v>29.03</x:v>
      </x:c>
      <x:c r="E234" t="n">
        <x:f>IF(AND(MiniCase_Data!C234="야간",MiniCase_Data!F234="M03"),1,0)</x:f>
        <x:v>0</x:v>
      </x:c>
      <x:c r="F234" t="n">
        <x:f>IF(C234="밖",1,0)</x:f>
        <x:v>0</x:v>
      </x:c>
      <x:c r="G234" t="n">
        <x:f>IF(OR(F234=1,E234=1),1,0)</x:f>
        <x:v>0</x:v>
      </x:c>
      <x:c r="H234" t="str">
        <x:f>IF(B234=1,IF(F234=1,"TP","FN"),IF(F234=1,"FP","TN"))</x:f>
        <x:v>TN</x:v>
      </x:c>
      <x:c r="I234" t="str">
        <x:f>IF(B234=1,IF(G234=1,"TP","FN"),IF(G234=1,"FP","TN"))</x:f>
        <x:v>TN</x:v>
      </x:c>
    </x:row>
    <x:row r="235">
      <x:c r="A235" t="str">
        <x:f>MiniCase_Data!A235</x:f>
        <x:v>R00234</x:v>
      </x:c>
      <x:c r="B235" t="n">
        <x:f>IF(MiniCase_Data!O235="불합격",1,0)</x:f>
        <x:v>0</x:v>
      </x:c>
      <x:c r="C235" t="str">
        <x:f>IF(ISBLANK(MiniCase_Data!H235),"missing",IF(OR(MiniCase_Data!H235&lt;27,MiniCase_Data!H235&gt;33),"밖","안"))</x:f>
        <x:v>밖</x:v>
      </x:c>
      <x:c r="D235" t="n">
        <x:f>IF(ISBLANK(MiniCase_Data!H235),VLOOKUP(A235,센서로그!$A$2:$C$13,3,FALSE),MiniCase_Data!H235)</x:f>
        <x:v>26.79</x:v>
      </x:c>
      <x:c r="E235" t="n">
        <x:f>IF(AND(MiniCase_Data!C235="야간",MiniCase_Data!F235="M03"),1,0)</x:f>
        <x:v>1</x:v>
      </x:c>
      <x:c r="F235" t="n">
        <x:f>IF(C235="밖",1,0)</x:f>
        <x:v>1</x:v>
      </x:c>
      <x:c r="G235" t="n">
        <x:f>IF(OR(F235=1,E235=1),1,0)</x:f>
        <x:v>1</x:v>
      </x:c>
      <x:c r="H235" t="str">
        <x:f>IF(B235=1,IF(F235=1,"TP","FN"),IF(F235=1,"FP","TN"))</x:f>
        <x:v>FP</x:v>
      </x:c>
      <x:c r="I235" t="str">
        <x:f>IF(B235=1,IF(G235=1,"TP","FN"),IF(G235=1,"FP","TN"))</x:f>
        <x:v>FP</x:v>
      </x:c>
    </x:row>
    <x:row r="236">
      <x:c r="A236" t="str">
        <x:f>MiniCase_Data!A236</x:f>
        <x:v>R00235</x:v>
      </x:c>
      <x:c r="B236" t="n">
        <x:f>IF(MiniCase_Data!O236="불합격",1,0)</x:f>
        <x:v>0</x:v>
      </x:c>
      <x:c r="C236" t="str">
        <x:f>IF(ISBLANK(MiniCase_Data!H236),"missing",IF(OR(MiniCase_Data!H236&lt;27,MiniCase_Data!H236&gt;33),"밖","안"))</x:f>
        <x:v>안</x:v>
      </x:c>
      <x:c r="D236" t="n">
        <x:f>IF(ISBLANK(MiniCase_Data!H236),VLOOKUP(A236,센서로그!$A$2:$C$13,3,FALSE),MiniCase_Data!H236)</x:f>
        <x:v>29.06</x:v>
      </x:c>
      <x:c r="E236" t="n">
        <x:f>IF(AND(MiniCase_Data!C236="야간",MiniCase_Data!F236="M03"),1,0)</x:f>
        <x:v>0</x:v>
      </x:c>
      <x:c r="F236" t="n">
        <x:f>IF(C236="밖",1,0)</x:f>
        <x:v>0</x:v>
      </x:c>
      <x:c r="G236" t="n">
        <x:f>IF(OR(F236=1,E236=1),1,0)</x:f>
        <x:v>0</x:v>
      </x:c>
      <x:c r="H236" t="str">
        <x:f>IF(B236=1,IF(F236=1,"TP","FN"),IF(F236=1,"FP","TN"))</x:f>
        <x:v>TN</x:v>
      </x:c>
      <x:c r="I236" t="str">
        <x:f>IF(B236=1,IF(G236=1,"TP","FN"),IF(G236=1,"FP","TN"))</x:f>
        <x:v>TN</x:v>
      </x:c>
    </x:row>
    <x:row r="237">
      <x:c r="A237" t="str">
        <x:f>MiniCase_Data!A237</x:f>
        <x:v>R00236</x:v>
      </x:c>
      <x:c r="B237" t="n">
        <x:f>IF(MiniCase_Data!O237="불합격",1,0)</x:f>
        <x:v>0</x:v>
      </x:c>
      <x:c r="C237" t="str">
        <x:f>IF(ISBLANK(MiniCase_Data!H237),"missing",IF(OR(MiniCase_Data!H237&lt;27,MiniCase_Data!H237&gt;33),"밖","안"))</x:f>
        <x:v>안</x:v>
      </x:c>
      <x:c r="D237" t="n">
        <x:f>IF(ISBLANK(MiniCase_Data!H237),VLOOKUP(A237,센서로그!$A$2:$C$13,3,FALSE),MiniCase_Data!H237)</x:f>
        <x:v>29.96</x:v>
      </x:c>
      <x:c r="E237" t="n">
        <x:f>IF(AND(MiniCase_Data!C237="야간",MiniCase_Data!F237="M03"),1,0)</x:f>
        <x:v>0</x:v>
      </x:c>
      <x:c r="F237" t="n">
        <x:f>IF(C237="밖",1,0)</x:f>
        <x:v>0</x:v>
      </x:c>
      <x:c r="G237" t="n">
        <x:f>IF(OR(F237=1,E237=1),1,0)</x:f>
        <x:v>0</x:v>
      </x:c>
      <x:c r="H237" t="str">
        <x:f>IF(B237=1,IF(F237=1,"TP","FN"),IF(F237=1,"FP","TN"))</x:f>
        <x:v>TN</x:v>
      </x:c>
      <x:c r="I237" t="str">
        <x:f>IF(B237=1,IF(G237=1,"TP","FN"),IF(G237=1,"FP","TN"))</x:f>
        <x:v>TN</x:v>
      </x:c>
    </x:row>
    <x:row r="238">
      <x:c r="A238" t="str">
        <x:f>MiniCase_Data!A238</x:f>
        <x:v>R00237</x:v>
      </x:c>
      <x:c r="B238" t="n">
        <x:f>IF(MiniCase_Data!O238="불합격",1,0)</x:f>
        <x:v>0</x:v>
      </x:c>
      <x:c r="C238" t="str">
        <x:f>IF(ISBLANK(MiniCase_Data!H238),"missing",IF(OR(MiniCase_Data!H238&lt;27,MiniCase_Data!H238&gt;33),"밖","안"))</x:f>
        <x:v>안</x:v>
      </x:c>
      <x:c r="D238" t="n">
        <x:f>IF(ISBLANK(MiniCase_Data!H238),VLOOKUP(A238,센서로그!$A$2:$C$13,3,FALSE),MiniCase_Data!H238)</x:f>
        <x:v>30.86</x:v>
      </x:c>
      <x:c r="E238" t="n">
        <x:f>IF(AND(MiniCase_Data!C238="야간",MiniCase_Data!F238="M03"),1,0)</x:f>
        <x:v>0</x:v>
      </x:c>
      <x:c r="F238" t="n">
        <x:f>IF(C238="밖",1,0)</x:f>
        <x:v>0</x:v>
      </x:c>
      <x:c r="G238" t="n">
        <x:f>IF(OR(F238=1,E238=1),1,0)</x:f>
        <x:v>0</x:v>
      </x:c>
      <x:c r="H238" t="str">
        <x:f>IF(B238=1,IF(F238=1,"TP","FN"),IF(F238=1,"FP","TN"))</x:f>
        <x:v>TN</x:v>
      </x:c>
      <x:c r="I238" t="str">
        <x:f>IF(B238=1,IF(G238=1,"TP","FN"),IF(G238=1,"FP","TN"))</x:f>
        <x:v>TN</x:v>
      </x:c>
    </x:row>
    <x:row r="239">
      <x:c r="A239" t="str">
        <x:f>MiniCase_Data!A239</x:f>
        <x:v>R00238</x:v>
      </x:c>
      <x:c r="B239" t="n">
        <x:f>IF(MiniCase_Data!O239="불합격",1,0)</x:f>
        <x:v>0</x:v>
      </x:c>
      <x:c r="C239" t="str">
        <x:f>IF(ISBLANK(MiniCase_Data!H239),"missing",IF(OR(MiniCase_Data!H239&lt;27,MiniCase_Data!H239&gt;33),"밖","안"))</x:f>
        <x:v>안</x:v>
      </x:c>
      <x:c r="D239" t="n">
        <x:f>IF(ISBLANK(MiniCase_Data!H239),VLOOKUP(A239,센서로그!$A$2:$C$13,3,FALSE),MiniCase_Data!H239)</x:f>
        <x:v>29.27</x:v>
      </x:c>
      <x:c r="E239" t="n">
        <x:f>IF(AND(MiniCase_Data!C239="야간",MiniCase_Data!F239="M03"),1,0)</x:f>
        <x:v>0</x:v>
      </x:c>
      <x:c r="F239" t="n">
        <x:f>IF(C239="밖",1,0)</x:f>
        <x:v>0</x:v>
      </x:c>
      <x:c r="G239" t="n">
        <x:f>IF(OR(F239=1,E239=1),1,0)</x:f>
        <x:v>0</x:v>
      </x:c>
      <x:c r="H239" t="str">
        <x:f>IF(B239=1,IF(F239=1,"TP","FN"),IF(F239=1,"FP","TN"))</x:f>
        <x:v>TN</x:v>
      </x:c>
      <x:c r="I239" t="str">
        <x:f>IF(B239=1,IF(G239=1,"TP","FN"),IF(G239=1,"FP","TN"))</x:f>
        <x:v>TN</x:v>
      </x:c>
    </x:row>
    <x:row r="240">
      <x:c r="A240" t="str">
        <x:f>MiniCase_Data!A240</x:f>
        <x:v>R00239</x:v>
      </x:c>
      <x:c r="B240" t="n">
        <x:f>IF(MiniCase_Data!O240="불합격",1,0)</x:f>
        <x:v>0</x:v>
      </x:c>
      <x:c r="C240" t="str">
        <x:f>IF(ISBLANK(MiniCase_Data!H240),"missing",IF(OR(MiniCase_Data!H240&lt;27,MiniCase_Data!H240&gt;33),"밖","안"))</x:f>
        <x:v>안</x:v>
      </x:c>
      <x:c r="D240" t="n">
        <x:f>IF(ISBLANK(MiniCase_Data!H240),VLOOKUP(A240,센서로그!$A$2:$C$13,3,FALSE),MiniCase_Data!H240)</x:f>
        <x:v>29.92</x:v>
      </x:c>
      <x:c r="E240" t="n">
        <x:f>IF(AND(MiniCase_Data!C240="야간",MiniCase_Data!F240="M03"),1,0)</x:f>
        <x:v>0</x:v>
      </x:c>
      <x:c r="F240" t="n">
        <x:f>IF(C240="밖",1,0)</x:f>
        <x:v>0</x:v>
      </x:c>
      <x:c r="G240" t="n">
        <x:f>IF(OR(F240=1,E240=1),1,0)</x:f>
        <x:v>0</x:v>
      </x:c>
      <x:c r="H240" t="str">
        <x:f>IF(B240=1,IF(F240=1,"TP","FN"),IF(F240=1,"FP","TN"))</x:f>
        <x:v>TN</x:v>
      </x:c>
      <x:c r="I240" t="str">
        <x:f>IF(B240=1,IF(G240=1,"TP","FN"),IF(G240=1,"FP","TN"))</x:f>
        <x:v>TN</x:v>
      </x:c>
    </x:row>
    <x:row r="241">
      <x:c r="A241" t="str">
        <x:f>MiniCase_Data!A241</x:f>
        <x:v>R00240</x:v>
      </x:c>
      <x:c r="B241" t="n">
        <x:f>IF(MiniCase_Data!O241="불합격",1,0)</x:f>
        <x:v>0</x:v>
      </x:c>
      <x:c r="C241" t="str">
        <x:f>IF(ISBLANK(MiniCase_Data!H241),"missing",IF(OR(MiniCase_Data!H241&lt;27,MiniCase_Data!H241&gt;33),"밖","안"))</x:f>
        <x:v>밖</x:v>
      </x:c>
      <x:c r="D241" t="n">
        <x:f>IF(ISBLANK(MiniCase_Data!H241),VLOOKUP(A241,센서로그!$A$2:$C$13,3,FALSE),MiniCase_Data!H241)</x:f>
        <x:v>26.31</x:v>
      </x:c>
      <x:c r="E241" t="n">
        <x:f>IF(AND(MiniCase_Data!C241="야간",MiniCase_Data!F241="M03"),1,0)</x:f>
        <x:v>1</x:v>
      </x:c>
      <x:c r="F241" t="n">
        <x:f>IF(C241="밖",1,0)</x:f>
        <x:v>1</x:v>
      </x:c>
      <x:c r="G241" t="n">
        <x:f>IF(OR(F241=1,E241=1),1,0)</x:f>
        <x:v>1</x:v>
      </x:c>
      <x:c r="H241" t="str">
        <x:f>IF(B241=1,IF(F241=1,"TP","FN"),IF(F241=1,"FP","TN"))</x:f>
        <x:v>FP</x:v>
      </x:c>
      <x:c r="I241" t="str">
        <x:f>IF(B241=1,IF(G241=1,"TP","FN"),IF(G241=1,"FP","TN"))</x:f>
        <x:v>FP</x:v>
      </x:c>
    </x:row>
    <x:row r="242">
      <x:c r="A242" t="str">
        <x:f>MiniCase_Data!A242</x:f>
        <x:v>R00241</x:v>
      </x:c>
      <x:c r="B242" t="n">
        <x:f>IF(MiniCase_Data!O242="불합격",1,0)</x:f>
        <x:v>0</x:v>
      </x:c>
      <x:c r="C242" t="str">
        <x:f>IF(ISBLANK(MiniCase_Data!H242),"missing",IF(OR(MiniCase_Data!H242&lt;27,MiniCase_Data!H242&gt;33),"밖","안"))</x:f>
        <x:v>안</x:v>
      </x:c>
      <x:c r="D242" t="n">
        <x:f>IF(ISBLANK(MiniCase_Data!H242),VLOOKUP(A242,센서로그!$A$2:$C$13,3,FALSE),MiniCase_Data!H242)</x:f>
        <x:v>32.03</x:v>
      </x:c>
      <x:c r="E242" t="n">
        <x:f>IF(AND(MiniCase_Data!C242="야간",MiniCase_Data!F242="M03"),1,0)</x:f>
        <x:v>0</x:v>
      </x:c>
      <x:c r="F242" t="n">
        <x:f>IF(C242="밖",1,0)</x:f>
        <x:v>0</x:v>
      </x:c>
      <x:c r="G242" t="n">
        <x:f>IF(OR(F242=1,E242=1),1,0)</x:f>
        <x:v>0</x:v>
      </x:c>
      <x:c r="H242" t="str">
        <x:f>IF(B242=1,IF(F242=1,"TP","FN"),IF(F242=1,"FP","TN"))</x:f>
        <x:v>TN</x:v>
      </x:c>
      <x:c r="I242" t="str">
        <x:f>IF(B242=1,IF(G242=1,"TP","FN"),IF(G242=1,"FP","TN"))</x:f>
        <x:v>TN</x:v>
      </x:c>
    </x:row>
    <x:row r="243">
      <x:c r="A243" t="str">
        <x:f>MiniCase_Data!A243</x:f>
        <x:v>R00242</x:v>
      </x:c>
      <x:c r="B243" t="n">
        <x:f>IF(MiniCase_Data!O243="불합격",1,0)</x:f>
        <x:v>0</x:v>
      </x:c>
      <x:c r="C243" t="str">
        <x:f>IF(ISBLANK(MiniCase_Data!H243),"missing",IF(OR(MiniCase_Data!H243&lt;27,MiniCase_Data!H243&gt;33),"밖","안"))</x:f>
        <x:v>안</x:v>
      </x:c>
      <x:c r="D243" t="n">
        <x:f>IF(ISBLANK(MiniCase_Data!H243),VLOOKUP(A243,센서로그!$A$2:$C$13,3,FALSE),MiniCase_Data!H243)</x:f>
        <x:v>28.06</x:v>
      </x:c>
      <x:c r="E243" t="n">
        <x:f>IF(AND(MiniCase_Data!C243="야간",MiniCase_Data!F243="M03"),1,0)</x:f>
        <x:v>0</x:v>
      </x:c>
      <x:c r="F243" t="n">
        <x:f>IF(C243="밖",1,0)</x:f>
        <x:v>0</x:v>
      </x:c>
      <x:c r="G243" t="n">
        <x:f>IF(OR(F243=1,E243=1),1,0)</x:f>
        <x:v>0</x:v>
      </x:c>
      <x:c r="H243" t="str">
        <x:f>IF(B243=1,IF(F243=1,"TP","FN"),IF(F243=1,"FP","TN"))</x:f>
        <x:v>TN</x:v>
      </x:c>
      <x:c r="I243" t="str">
        <x:f>IF(B243=1,IF(G243=1,"TP","FN"),IF(G243=1,"FP","TN"))</x:f>
        <x:v>TN</x:v>
      </x:c>
    </x:row>
    <x:row r="244">
      <x:c r="A244" t="str">
        <x:f>MiniCase_Data!A244</x:f>
        <x:v>R00243</x:v>
      </x:c>
      <x:c r="B244" t="n">
        <x:f>IF(MiniCase_Data!O244="불합격",1,0)</x:f>
        <x:v>0</x:v>
      </x:c>
      <x:c r="C244" t="str">
        <x:f>IF(ISBLANK(MiniCase_Data!H244),"missing",IF(OR(MiniCase_Data!H244&lt;27,MiniCase_Data!H244&gt;33),"밖","안"))</x:f>
        <x:v>안</x:v>
      </x:c>
      <x:c r="D244" t="n">
        <x:f>IF(ISBLANK(MiniCase_Data!H244),VLOOKUP(A244,센서로그!$A$2:$C$13,3,FALSE),MiniCase_Data!H244)</x:f>
        <x:v>30.24</x:v>
      </x:c>
      <x:c r="E244" t="n">
        <x:f>IF(AND(MiniCase_Data!C244="야간",MiniCase_Data!F244="M03"),1,0)</x:f>
        <x:v>0</x:v>
      </x:c>
      <x:c r="F244" t="n">
        <x:f>IF(C244="밖",1,0)</x:f>
        <x:v>0</x:v>
      </x:c>
      <x:c r="G244" t="n">
        <x:f>IF(OR(F244=1,E244=1),1,0)</x:f>
        <x:v>0</x:v>
      </x:c>
      <x:c r="H244" t="str">
        <x:f>IF(B244=1,IF(F244=1,"TP","FN"),IF(F244=1,"FP","TN"))</x:f>
        <x:v>TN</x:v>
      </x:c>
      <x:c r="I244" t="str">
        <x:f>IF(B244=1,IF(G244=1,"TP","FN"),IF(G244=1,"FP","TN"))</x:f>
        <x:v>TN</x:v>
      </x:c>
    </x:row>
    <x:row r="245">
      <x:c r="A245" t="str">
        <x:f>MiniCase_Data!A245</x:f>
        <x:v>R00244</x:v>
      </x:c>
      <x:c r="B245" t="n">
        <x:f>IF(MiniCase_Data!O245="불합격",1,0)</x:f>
        <x:v>0</x:v>
      </x:c>
      <x:c r="C245" t="str">
        <x:f>IF(ISBLANK(MiniCase_Data!H245),"missing",IF(OR(MiniCase_Data!H245&lt;27,MiniCase_Data!H245&gt;33),"밖","안"))</x:f>
        <x:v>안</x:v>
      </x:c>
      <x:c r="D245" t="n">
        <x:f>IF(ISBLANK(MiniCase_Data!H245),VLOOKUP(A245,센서로그!$A$2:$C$13,3,FALSE),MiniCase_Data!H245)</x:f>
        <x:v>28.25</x:v>
      </x:c>
      <x:c r="E245" t="n">
        <x:f>IF(AND(MiniCase_Data!C245="야간",MiniCase_Data!F245="M03"),1,0)</x:f>
        <x:v>0</x:v>
      </x:c>
      <x:c r="F245" t="n">
        <x:f>IF(C245="밖",1,0)</x:f>
        <x:v>0</x:v>
      </x:c>
      <x:c r="G245" t="n">
        <x:f>IF(OR(F245=1,E245=1),1,0)</x:f>
        <x:v>0</x:v>
      </x:c>
      <x:c r="H245" t="str">
        <x:f>IF(B245=1,IF(F245=1,"TP","FN"),IF(F245=1,"FP","TN"))</x:f>
        <x:v>TN</x:v>
      </x:c>
      <x:c r="I245" t="str">
        <x:f>IF(B245=1,IF(G245=1,"TP","FN"),IF(G245=1,"FP","TN"))</x:f>
        <x:v>TN</x:v>
      </x:c>
    </x:row>
    <x:row r="246">
      <x:c r="A246" t="str">
        <x:f>MiniCase_Data!A246</x:f>
        <x:v>R00245</x:v>
      </x:c>
      <x:c r="B246" t="n">
        <x:f>IF(MiniCase_Data!O246="불합격",1,0)</x:f>
        <x:v>0</x:v>
      </x:c>
      <x:c r="C246" t="str">
        <x:f>IF(ISBLANK(MiniCase_Data!H246),"missing",IF(OR(MiniCase_Data!H246&lt;27,MiniCase_Data!H246&gt;33),"밖","안"))</x:f>
        <x:v>안</x:v>
      </x:c>
      <x:c r="D246" t="n">
        <x:f>IF(ISBLANK(MiniCase_Data!H246),VLOOKUP(A246,센서로그!$A$2:$C$13,3,FALSE),MiniCase_Data!H246)</x:f>
        <x:v>29.41</x:v>
      </x:c>
      <x:c r="E246" t="n">
        <x:f>IF(AND(MiniCase_Data!C246="야간",MiniCase_Data!F246="M03"),1,0)</x:f>
        <x:v>0</x:v>
      </x:c>
      <x:c r="F246" t="n">
        <x:f>IF(C246="밖",1,0)</x:f>
        <x:v>0</x:v>
      </x:c>
      <x:c r="G246" t="n">
        <x:f>IF(OR(F246=1,E246=1),1,0)</x:f>
        <x:v>0</x:v>
      </x:c>
      <x:c r="H246" t="str">
        <x:f>IF(B246=1,IF(F246=1,"TP","FN"),IF(F246=1,"FP","TN"))</x:f>
        <x:v>TN</x:v>
      </x:c>
      <x:c r="I246" t="str">
        <x:f>IF(B246=1,IF(G246=1,"TP","FN"),IF(G246=1,"FP","TN"))</x:f>
        <x:v>TN</x:v>
      </x:c>
    </x:row>
    <x:row r="247">
      <x:c r="A247" t="str">
        <x:f>MiniCase_Data!A247</x:f>
        <x:v>R00246</x:v>
      </x:c>
      <x:c r="B247" t="n">
        <x:f>IF(MiniCase_Data!O247="불합격",1,0)</x:f>
        <x:v>0</x:v>
      </x:c>
      <x:c r="C247" t="str">
        <x:f>IF(ISBLANK(MiniCase_Data!H247),"missing",IF(OR(MiniCase_Data!H247&lt;27,MiniCase_Data!H247&gt;33),"밖","안"))</x:f>
        <x:v>안</x:v>
      </x:c>
      <x:c r="D247" t="n">
        <x:f>IF(ISBLANK(MiniCase_Data!H247),VLOOKUP(A247,센서로그!$A$2:$C$13,3,FALSE),MiniCase_Data!H247)</x:f>
        <x:v>27.64</x:v>
      </x:c>
      <x:c r="E247" t="n">
        <x:f>IF(AND(MiniCase_Data!C247="야간",MiniCase_Data!F247="M03"),1,0)</x:f>
        <x:v>0</x:v>
      </x:c>
      <x:c r="F247" t="n">
        <x:f>IF(C247="밖",1,0)</x:f>
        <x:v>0</x:v>
      </x:c>
      <x:c r="G247" t="n">
        <x:f>IF(OR(F247=1,E247=1),1,0)</x:f>
        <x:v>0</x:v>
      </x:c>
      <x:c r="H247" t="str">
        <x:f>IF(B247=1,IF(F247=1,"TP","FN"),IF(F247=1,"FP","TN"))</x:f>
        <x:v>TN</x:v>
      </x:c>
      <x:c r="I247" t="str">
        <x:f>IF(B247=1,IF(G247=1,"TP","FN"),IF(G247=1,"FP","TN"))</x:f>
        <x:v>TN</x:v>
      </x:c>
    </x:row>
    <x:row r="248">
      <x:c r="A248" t="str">
        <x:f>MiniCase_Data!A248</x:f>
        <x:v>R00247</x:v>
      </x:c>
      <x:c r="B248" t="n">
        <x:f>IF(MiniCase_Data!O248="불합격",1,0)</x:f>
        <x:v>0</x:v>
      </x:c>
      <x:c r="C248" t="str">
        <x:f>IF(ISBLANK(MiniCase_Data!H248),"missing",IF(OR(MiniCase_Data!H248&lt;27,MiniCase_Data!H248&gt;33),"밖","안"))</x:f>
        <x:v>밖</x:v>
      </x:c>
      <x:c r="D248" t="n">
        <x:f>IF(ISBLANK(MiniCase_Data!H248),VLOOKUP(A248,센서로그!$A$2:$C$13,3,FALSE),MiniCase_Data!H248)</x:f>
        <x:v>34.09</x:v>
      </x:c>
      <x:c r="E248" t="n">
        <x:f>IF(AND(MiniCase_Data!C248="야간",MiniCase_Data!F248="M03"),1,0)</x:f>
        <x:v>1</x:v>
      </x:c>
      <x:c r="F248" t="n">
        <x:f>IF(C248="밖",1,0)</x:f>
        <x:v>1</x:v>
      </x:c>
      <x:c r="G248" t="n">
        <x:f>IF(OR(F248=1,E248=1),1,0)</x:f>
        <x:v>1</x:v>
      </x:c>
      <x:c r="H248" t="str">
        <x:f>IF(B248=1,IF(F248=1,"TP","FN"),IF(F248=1,"FP","TN"))</x:f>
        <x:v>FP</x:v>
      </x:c>
      <x:c r="I248" t="str">
        <x:f>IF(B248=1,IF(G248=1,"TP","FN"),IF(G248=1,"FP","TN"))</x:f>
        <x:v>FP</x:v>
      </x:c>
    </x:row>
    <x:row r="249">
      <x:c r="A249" t="str">
        <x:f>MiniCase_Data!A249</x:f>
        <x:v>R00248</x:v>
      </x:c>
      <x:c r="B249" t="n">
        <x:f>IF(MiniCase_Data!O249="불합격",1,0)</x:f>
        <x:v>0</x:v>
      </x:c>
      <x:c r="C249" t="str">
        <x:f>IF(ISBLANK(MiniCase_Data!H249),"missing",IF(OR(MiniCase_Data!H249&lt;27,MiniCase_Data!H249&gt;33),"밖","안"))</x:f>
        <x:v>안</x:v>
      </x:c>
      <x:c r="D249" t="n">
        <x:f>IF(ISBLANK(MiniCase_Data!H249),VLOOKUP(A249,센서로그!$A$2:$C$13,3,FALSE),MiniCase_Data!H249)</x:f>
        <x:v>29.74</x:v>
      </x:c>
      <x:c r="E249" t="n">
        <x:f>IF(AND(MiniCase_Data!C249="야간",MiniCase_Data!F249="M03"),1,0)</x:f>
        <x:v>0</x:v>
      </x:c>
      <x:c r="F249" t="n">
        <x:f>IF(C249="밖",1,0)</x:f>
        <x:v>0</x:v>
      </x:c>
      <x:c r="G249" t="n">
        <x:f>IF(OR(F249=1,E249=1),1,0)</x:f>
        <x:v>0</x:v>
      </x:c>
      <x:c r="H249" t="str">
        <x:f>IF(B249=1,IF(F249=1,"TP","FN"),IF(F249=1,"FP","TN"))</x:f>
        <x:v>TN</x:v>
      </x:c>
      <x:c r="I249" t="str">
        <x:f>IF(B249=1,IF(G249=1,"TP","FN"),IF(G249=1,"FP","TN"))</x:f>
        <x:v>TN</x:v>
      </x:c>
    </x:row>
    <x:row r="250">
      <x:c r="A250" t="str">
        <x:f>MiniCase_Data!A250</x:f>
        <x:v>R00249</x:v>
      </x:c>
      <x:c r="B250" t="n">
        <x:f>IF(MiniCase_Data!O250="불합격",1,0)</x:f>
        <x:v>0</x:v>
      </x:c>
      <x:c r="C250" t="str">
        <x:f>IF(ISBLANK(MiniCase_Data!H250),"missing",IF(OR(MiniCase_Data!H250&lt;27,MiniCase_Data!H250&gt;33),"밖","안"))</x:f>
        <x:v>안</x:v>
      </x:c>
      <x:c r="D250" t="n">
        <x:f>IF(ISBLANK(MiniCase_Data!H250),VLOOKUP(A250,센서로그!$A$2:$C$13,3,FALSE),MiniCase_Data!H250)</x:f>
        <x:v>29.85</x:v>
      </x:c>
      <x:c r="E250" t="n">
        <x:f>IF(AND(MiniCase_Data!C250="야간",MiniCase_Data!F250="M03"),1,0)</x:f>
        <x:v>0</x:v>
      </x:c>
      <x:c r="F250" t="n">
        <x:f>IF(C250="밖",1,0)</x:f>
        <x:v>0</x:v>
      </x:c>
      <x:c r="G250" t="n">
        <x:f>IF(OR(F250=1,E250=1),1,0)</x:f>
        <x:v>0</x:v>
      </x:c>
      <x:c r="H250" t="str">
        <x:f>IF(B250=1,IF(F250=1,"TP","FN"),IF(F250=1,"FP","TN"))</x:f>
        <x:v>TN</x:v>
      </x:c>
      <x:c r="I250" t="str">
        <x:f>IF(B250=1,IF(G250=1,"TP","FN"),IF(G250=1,"FP","TN"))</x:f>
        <x:v>TN</x:v>
      </x:c>
    </x:row>
    <x:row r="251">
      <x:c r="A251" t="str">
        <x:f>MiniCase_Data!A251</x:f>
        <x:v>R00250</x:v>
      </x:c>
      <x:c r="B251" t="n">
        <x:f>IF(MiniCase_Data!O251="불합격",1,0)</x:f>
        <x:v>0</x:v>
      </x:c>
      <x:c r="C251" t="str">
        <x:f>IF(ISBLANK(MiniCase_Data!H251),"missing",IF(OR(MiniCase_Data!H251&lt;27,MiniCase_Data!H251&gt;33),"밖","안"))</x:f>
        <x:v>안</x:v>
      </x:c>
      <x:c r="D251" t="n">
        <x:f>IF(ISBLANK(MiniCase_Data!H251),VLOOKUP(A251,센서로그!$A$2:$C$13,3,FALSE),MiniCase_Data!H251)</x:f>
        <x:v>28.4</x:v>
      </x:c>
      <x:c r="E251" t="n">
        <x:f>IF(AND(MiniCase_Data!C251="야간",MiniCase_Data!F251="M03"),1,0)</x:f>
        <x:v>0</x:v>
      </x:c>
      <x:c r="F251" t="n">
        <x:f>IF(C251="밖",1,0)</x:f>
        <x:v>0</x:v>
      </x:c>
      <x:c r="G251" t="n">
        <x:f>IF(OR(F251=1,E251=1),1,0)</x:f>
        <x:v>0</x:v>
      </x:c>
      <x:c r="H251" t="str">
        <x:f>IF(B251=1,IF(F251=1,"TP","FN"),IF(F251=1,"FP","TN"))</x:f>
        <x:v>TN</x:v>
      </x:c>
      <x:c r="I251" t="str">
        <x:f>IF(B251=1,IF(G251=1,"TP","FN"),IF(G251=1,"FP","TN"))</x:f>
        <x:v>TN</x:v>
      </x:c>
    </x:row>
    <x:row r="252">
      <x:c r="A252" t="str">
        <x:f>MiniCase_Data!A252</x:f>
        <x:v>R00251</x:v>
      </x:c>
      <x:c r="B252" t="n">
        <x:f>IF(MiniCase_Data!O252="불합격",1,0)</x:f>
        <x:v>0</x:v>
      </x:c>
      <x:c r="C252" t="str">
        <x:f>IF(ISBLANK(MiniCase_Data!H252),"missing",IF(OR(MiniCase_Data!H252&lt;27,MiniCase_Data!H252&gt;33),"밖","안"))</x:f>
        <x:v>안</x:v>
      </x:c>
      <x:c r="D252" t="n">
        <x:f>IF(ISBLANK(MiniCase_Data!H252),VLOOKUP(A252,센서로그!$A$2:$C$13,3,FALSE),MiniCase_Data!H252)</x:f>
        <x:v>30.41</x:v>
      </x:c>
      <x:c r="E252" t="n">
        <x:f>IF(AND(MiniCase_Data!C252="야간",MiniCase_Data!F252="M03"),1,0)</x:f>
        <x:v>0</x:v>
      </x:c>
      <x:c r="F252" t="n">
        <x:f>IF(C252="밖",1,0)</x:f>
        <x:v>0</x:v>
      </x:c>
      <x:c r="G252" t="n">
        <x:f>IF(OR(F252=1,E252=1),1,0)</x:f>
        <x:v>0</x:v>
      </x:c>
      <x:c r="H252" t="str">
        <x:f>IF(B252=1,IF(F252=1,"TP","FN"),IF(F252=1,"FP","TN"))</x:f>
        <x:v>TN</x:v>
      </x:c>
      <x:c r="I252" t="str">
        <x:f>IF(B252=1,IF(G252=1,"TP","FN"),IF(G252=1,"FP","TN"))</x:f>
        <x:v>TN</x:v>
      </x:c>
    </x:row>
    <x:row r="253">
      <x:c r="A253" t="str">
        <x:f>MiniCase_Data!A253</x:f>
        <x:v>R00252</x:v>
      </x:c>
      <x:c r="B253" t="n">
        <x:f>IF(MiniCase_Data!O253="불합격",1,0)</x:f>
        <x:v>0</x:v>
      </x:c>
      <x:c r="C253" t="str">
        <x:f>IF(ISBLANK(MiniCase_Data!H253),"missing",IF(OR(MiniCase_Data!H253&lt;27,MiniCase_Data!H253&gt;33),"밖","안"))</x:f>
        <x:v>안</x:v>
      </x:c>
      <x:c r="D253" t="n">
        <x:f>IF(ISBLANK(MiniCase_Data!H253),VLOOKUP(A253,센서로그!$A$2:$C$13,3,FALSE),MiniCase_Data!H253)</x:f>
        <x:v>29.41</x:v>
      </x:c>
      <x:c r="E253" t="n">
        <x:f>IF(AND(MiniCase_Data!C253="야간",MiniCase_Data!F253="M03"),1,0)</x:f>
        <x:v>0</x:v>
      </x:c>
      <x:c r="F253" t="n">
        <x:f>IF(C253="밖",1,0)</x:f>
        <x:v>0</x:v>
      </x:c>
      <x:c r="G253" t="n">
        <x:f>IF(OR(F253=1,E253=1),1,0)</x:f>
        <x:v>0</x:v>
      </x:c>
      <x:c r="H253" t="str">
        <x:f>IF(B253=1,IF(F253=1,"TP","FN"),IF(F253=1,"FP","TN"))</x:f>
        <x:v>TN</x:v>
      </x:c>
      <x:c r="I253" t="str">
        <x:f>IF(B253=1,IF(G253=1,"TP","FN"),IF(G253=1,"FP","TN"))</x:f>
        <x:v>TN</x:v>
      </x:c>
    </x:row>
    <x:row r="254">
      <x:c r="A254" t="str">
        <x:f>MiniCase_Data!A254</x:f>
        <x:v>R00253</x:v>
      </x:c>
      <x:c r="B254" t="n">
        <x:f>IF(MiniCase_Data!O254="불합격",1,0)</x:f>
        <x:v>0</x:v>
      </x:c>
      <x:c r="C254" t="str">
        <x:f>IF(ISBLANK(MiniCase_Data!H254),"missing",IF(OR(MiniCase_Data!H254&lt;27,MiniCase_Data!H254&gt;33),"밖","안"))</x:f>
        <x:v>안</x:v>
      </x:c>
      <x:c r="D254" t="n">
        <x:f>IF(ISBLANK(MiniCase_Data!H254),VLOOKUP(A254,센서로그!$A$2:$C$13,3,FALSE),MiniCase_Data!H254)</x:f>
        <x:v>31.7</x:v>
      </x:c>
      <x:c r="E254" t="n">
        <x:f>IF(AND(MiniCase_Data!C254="야간",MiniCase_Data!F254="M03"),1,0)</x:f>
        <x:v>0</x:v>
      </x:c>
      <x:c r="F254" t="n">
        <x:f>IF(C254="밖",1,0)</x:f>
        <x:v>0</x:v>
      </x:c>
      <x:c r="G254" t="n">
        <x:f>IF(OR(F254=1,E254=1),1,0)</x:f>
        <x:v>0</x:v>
      </x:c>
      <x:c r="H254" t="str">
        <x:f>IF(B254=1,IF(F254=1,"TP","FN"),IF(F254=1,"FP","TN"))</x:f>
        <x:v>TN</x:v>
      </x:c>
      <x:c r="I254" t="str">
        <x:f>IF(B254=1,IF(G254=1,"TP","FN"),IF(G254=1,"FP","TN"))</x:f>
        <x:v>TN</x:v>
      </x:c>
    </x:row>
    <x:row r="255">
      <x:c r="A255" t="str">
        <x:f>MiniCase_Data!A255</x:f>
        <x:v>R00254</x:v>
      </x:c>
      <x:c r="B255" t="n">
        <x:f>IF(MiniCase_Data!O255="불합격",1,0)</x:f>
        <x:v>0</x:v>
      </x:c>
      <x:c r="C255" t="str">
        <x:f>IF(ISBLANK(MiniCase_Data!H255),"missing",IF(OR(MiniCase_Data!H255&lt;27,MiniCase_Data!H255&gt;33),"밖","안"))</x:f>
        <x:v>안</x:v>
      </x:c>
      <x:c r="D255" t="n">
        <x:f>IF(ISBLANK(MiniCase_Data!H255),VLOOKUP(A255,센서로그!$A$2:$C$13,3,FALSE),MiniCase_Data!H255)</x:f>
        <x:v>32.3</x:v>
      </x:c>
      <x:c r="E255" t="n">
        <x:f>IF(AND(MiniCase_Data!C255="야간",MiniCase_Data!F255="M03"),1,0)</x:f>
        <x:v>0</x:v>
      </x:c>
      <x:c r="F255" t="n">
        <x:f>IF(C255="밖",1,0)</x:f>
        <x:v>0</x:v>
      </x:c>
      <x:c r="G255" t="n">
        <x:f>IF(OR(F255=1,E255=1),1,0)</x:f>
        <x:v>0</x:v>
      </x:c>
      <x:c r="H255" t="str">
        <x:f>IF(B255=1,IF(F255=1,"TP","FN"),IF(F255=1,"FP","TN"))</x:f>
        <x:v>TN</x:v>
      </x:c>
      <x:c r="I255" t="str">
        <x:f>IF(B255=1,IF(G255=1,"TP","FN"),IF(G255=1,"FP","TN"))</x:f>
        <x:v>TN</x:v>
      </x:c>
    </x:row>
    <x:row r="256">
      <x:c r="A256" t="str">
        <x:f>MiniCase_Data!A256</x:f>
        <x:v>R00255</x:v>
      </x:c>
      <x:c r="B256" t="n">
        <x:f>IF(MiniCase_Data!O256="불합격",1,0)</x:f>
        <x:v>0</x:v>
      </x:c>
      <x:c r="C256" t="str">
        <x:f>IF(ISBLANK(MiniCase_Data!H256),"missing",IF(OR(MiniCase_Data!H256&lt;27,MiniCase_Data!H256&gt;33),"밖","안"))</x:f>
        <x:v>안</x:v>
      </x:c>
      <x:c r="D256" t="n">
        <x:f>IF(ISBLANK(MiniCase_Data!H256),VLOOKUP(A256,센서로그!$A$2:$C$13,3,FALSE),MiniCase_Data!H256)</x:f>
        <x:v>30.42</x:v>
      </x:c>
      <x:c r="E256" t="n">
        <x:f>IF(AND(MiniCase_Data!C256="야간",MiniCase_Data!F256="M03"),1,0)</x:f>
        <x:v>0</x:v>
      </x:c>
      <x:c r="F256" t="n">
        <x:f>IF(C256="밖",1,0)</x:f>
        <x:v>0</x:v>
      </x:c>
      <x:c r="G256" t="n">
        <x:f>IF(OR(F256=1,E256=1),1,0)</x:f>
        <x:v>0</x:v>
      </x:c>
      <x:c r="H256" t="str">
        <x:f>IF(B256=1,IF(F256=1,"TP","FN"),IF(F256=1,"FP","TN"))</x:f>
        <x:v>TN</x:v>
      </x:c>
      <x:c r="I256" t="str">
        <x:f>IF(B256=1,IF(G256=1,"TP","FN"),IF(G256=1,"FP","TN"))</x:f>
        <x:v>TN</x:v>
      </x:c>
    </x:row>
    <x:row r="257">
      <x:c r="A257" t="str">
        <x:f>MiniCase_Data!A257</x:f>
        <x:v>R00256</x:v>
      </x:c>
      <x:c r="B257" t="n">
        <x:f>IF(MiniCase_Data!O257="불합격",1,0)</x:f>
        <x:v>0</x:v>
      </x:c>
      <x:c r="C257" t="str">
        <x:f>IF(ISBLANK(MiniCase_Data!H257),"missing",IF(OR(MiniCase_Data!H257&lt;27,MiniCase_Data!H257&gt;33),"밖","안"))</x:f>
        <x:v>안</x:v>
      </x:c>
      <x:c r="D257" t="n">
        <x:f>IF(ISBLANK(MiniCase_Data!H257),VLOOKUP(A257,센서로그!$A$2:$C$13,3,FALSE),MiniCase_Data!H257)</x:f>
        <x:v>28.42</x:v>
      </x:c>
      <x:c r="E257" t="n">
        <x:f>IF(AND(MiniCase_Data!C257="야간",MiniCase_Data!F257="M03"),1,0)</x:f>
        <x:v>0</x:v>
      </x:c>
      <x:c r="F257" t="n">
        <x:f>IF(C257="밖",1,0)</x:f>
        <x:v>0</x:v>
      </x:c>
      <x:c r="G257" t="n">
        <x:f>IF(OR(F257=1,E257=1),1,0)</x:f>
        <x:v>0</x:v>
      </x:c>
      <x:c r="H257" t="str">
        <x:f>IF(B257=1,IF(F257=1,"TP","FN"),IF(F257=1,"FP","TN"))</x:f>
        <x:v>TN</x:v>
      </x:c>
      <x:c r="I257" t="str">
        <x:f>IF(B257=1,IF(G257=1,"TP","FN"),IF(G257=1,"FP","TN"))</x:f>
        <x:v>TN</x:v>
      </x:c>
    </x:row>
    <x:row r="258">
      <x:c r="A258" t="str">
        <x:f>MiniCase_Data!A258</x:f>
        <x:v>R00257</x:v>
      </x:c>
      <x:c r="B258" t="n">
        <x:f>IF(MiniCase_Data!O258="불합격",1,0)</x:f>
        <x:v>0</x:v>
      </x:c>
      <x:c r="C258" t="str">
        <x:f>IF(ISBLANK(MiniCase_Data!H258),"missing",IF(OR(MiniCase_Data!H258&lt;27,MiniCase_Data!H258&gt;33),"밖","안"))</x:f>
        <x:v>안</x:v>
      </x:c>
      <x:c r="D258" t="n">
        <x:f>IF(ISBLANK(MiniCase_Data!H258),VLOOKUP(A258,센서로그!$A$2:$C$13,3,FALSE),MiniCase_Data!H258)</x:f>
        <x:v>31.01</x:v>
      </x:c>
      <x:c r="E258" t="n">
        <x:f>IF(AND(MiniCase_Data!C258="야간",MiniCase_Data!F258="M03"),1,0)</x:f>
        <x:v>0</x:v>
      </x:c>
      <x:c r="F258" t="n">
        <x:f>IF(C258="밖",1,0)</x:f>
        <x:v>0</x:v>
      </x:c>
      <x:c r="G258" t="n">
        <x:f>IF(OR(F258=1,E258=1),1,0)</x:f>
        <x:v>0</x:v>
      </x:c>
      <x:c r="H258" t="str">
        <x:f>IF(B258=1,IF(F258=1,"TP","FN"),IF(F258=1,"FP","TN"))</x:f>
        <x:v>TN</x:v>
      </x:c>
      <x:c r="I258" t="str">
        <x:f>IF(B258=1,IF(G258=1,"TP","FN"),IF(G258=1,"FP","TN"))</x:f>
        <x:v>TN</x:v>
      </x:c>
    </x:row>
    <x:row r="259">
      <x:c r="A259" t="str">
        <x:f>MiniCase_Data!A259</x:f>
        <x:v>R00258</x:v>
      </x:c>
      <x:c r="B259" t="n">
        <x:f>IF(MiniCase_Data!O259="불합격",1,0)</x:f>
        <x:v>0</x:v>
      </x:c>
      <x:c r="C259" t="str">
        <x:f>IF(ISBLANK(MiniCase_Data!H259),"missing",IF(OR(MiniCase_Data!H259&lt;27,MiniCase_Data!H259&gt;33),"밖","안"))</x:f>
        <x:v>안</x:v>
      </x:c>
      <x:c r="D259" t="n">
        <x:f>IF(ISBLANK(MiniCase_Data!H259),VLOOKUP(A259,센서로그!$A$2:$C$13,3,FALSE),MiniCase_Data!H259)</x:f>
        <x:v>32.57</x:v>
      </x:c>
      <x:c r="E259" t="n">
        <x:f>IF(AND(MiniCase_Data!C259="야간",MiniCase_Data!F259="M03"),1,0)</x:f>
        <x:v>0</x:v>
      </x:c>
      <x:c r="F259" t="n">
        <x:f>IF(C259="밖",1,0)</x:f>
        <x:v>0</x:v>
      </x:c>
      <x:c r="G259" t="n">
        <x:f>IF(OR(F259=1,E259=1),1,0)</x:f>
        <x:v>0</x:v>
      </x:c>
      <x:c r="H259" t="str">
        <x:f>IF(B259=1,IF(F259=1,"TP","FN"),IF(F259=1,"FP","TN"))</x:f>
        <x:v>TN</x:v>
      </x:c>
      <x:c r="I259" t="str">
        <x:f>IF(B259=1,IF(G259=1,"TP","FN"),IF(G259=1,"FP","TN"))</x:f>
        <x:v>TN</x:v>
      </x:c>
    </x:row>
    <x:row r="260">
      <x:c r="A260" t="str">
        <x:f>MiniCase_Data!A260</x:f>
        <x:v>R00259</x:v>
      </x:c>
      <x:c r="B260" t="n">
        <x:f>IF(MiniCase_Data!O260="불합격",1,0)</x:f>
        <x:v>0</x:v>
      </x:c>
      <x:c r="C260" t="str">
        <x:f>IF(ISBLANK(MiniCase_Data!H260),"missing",IF(OR(MiniCase_Data!H260&lt;27,MiniCase_Data!H260&gt;33),"밖","안"))</x:f>
        <x:v>안</x:v>
      </x:c>
      <x:c r="D260" t="n">
        <x:f>IF(ISBLANK(MiniCase_Data!H260),VLOOKUP(A260,센서로그!$A$2:$C$13,3,FALSE),MiniCase_Data!H260)</x:f>
        <x:v>32.76</x:v>
      </x:c>
      <x:c r="E260" t="n">
        <x:f>IF(AND(MiniCase_Data!C260="야간",MiniCase_Data!F260="M03"),1,0)</x:f>
        <x:v>0</x:v>
      </x:c>
      <x:c r="F260" t="n">
        <x:f>IF(C260="밖",1,0)</x:f>
        <x:v>0</x:v>
      </x:c>
      <x:c r="G260" t="n">
        <x:f>IF(OR(F260=1,E260=1),1,0)</x:f>
        <x:v>0</x:v>
      </x:c>
      <x:c r="H260" t="str">
        <x:f>IF(B260=1,IF(F260=1,"TP","FN"),IF(F260=1,"FP","TN"))</x:f>
        <x:v>TN</x:v>
      </x:c>
      <x:c r="I260" t="str">
        <x:f>IF(B260=1,IF(G260=1,"TP","FN"),IF(G260=1,"FP","TN"))</x:f>
        <x:v>TN</x:v>
      </x:c>
    </x:row>
    <x:row r="261">
      <x:c r="A261" t="str">
        <x:f>MiniCase_Data!A261</x:f>
        <x:v>R00260</x:v>
      </x:c>
      <x:c r="B261" t="n">
        <x:f>IF(MiniCase_Data!O261="불합격",1,0)</x:f>
        <x:v>0</x:v>
      </x:c>
      <x:c r="C261" t="str">
        <x:f>IF(ISBLANK(MiniCase_Data!H261),"missing",IF(OR(MiniCase_Data!H261&lt;27,MiniCase_Data!H261&gt;33),"밖","안"))</x:f>
        <x:v>밖</x:v>
      </x:c>
      <x:c r="D261" t="n">
        <x:f>IF(ISBLANK(MiniCase_Data!H261),VLOOKUP(A261,센서로그!$A$2:$C$13,3,FALSE),MiniCase_Data!H261)</x:f>
        <x:v>26.58</x:v>
      </x:c>
      <x:c r="E261" t="n">
        <x:f>IF(AND(MiniCase_Data!C261="야간",MiniCase_Data!F261="M03"),1,0)</x:f>
        <x:v>1</x:v>
      </x:c>
      <x:c r="F261" t="n">
        <x:f>IF(C261="밖",1,0)</x:f>
        <x:v>1</x:v>
      </x:c>
      <x:c r="G261" t="n">
        <x:f>IF(OR(F261=1,E261=1),1,0)</x:f>
        <x:v>1</x:v>
      </x:c>
      <x:c r="H261" t="str">
        <x:f>IF(B261=1,IF(F261=1,"TP","FN"),IF(F261=1,"FP","TN"))</x:f>
        <x:v>FP</x:v>
      </x:c>
      <x:c r="I261" t="str">
        <x:f>IF(B261=1,IF(G261=1,"TP","FN"),IF(G261=1,"FP","TN"))</x:f>
        <x:v>FP</x:v>
      </x:c>
    </x:row>
    <x:row r="262">
      <x:c r="A262" t="str">
        <x:f>MiniCase_Data!A262</x:f>
        <x:v>R00261</x:v>
      </x:c>
      <x:c r="B262" t="n">
        <x:f>IF(MiniCase_Data!O262="불합격",1,0)</x:f>
        <x:v>0</x:v>
      </x:c>
      <x:c r="C262" t="str">
        <x:f>IF(ISBLANK(MiniCase_Data!H262),"missing",IF(OR(MiniCase_Data!H262&lt;27,MiniCase_Data!H262&gt;33),"밖","안"))</x:f>
        <x:v>안</x:v>
      </x:c>
      <x:c r="D262" t="n">
        <x:f>IF(ISBLANK(MiniCase_Data!H262),VLOOKUP(A262,센서로그!$A$2:$C$13,3,FALSE),MiniCase_Data!H262)</x:f>
        <x:v>30.16</x:v>
      </x:c>
      <x:c r="E262" t="n">
        <x:f>IF(AND(MiniCase_Data!C262="야간",MiniCase_Data!F262="M03"),1,0)</x:f>
        <x:v>0</x:v>
      </x:c>
      <x:c r="F262" t="n">
        <x:f>IF(C262="밖",1,0)</x:f>
        <x:v>0</x:v>
      </x:c>
      <x:c r="G262" t="n">
        <x:f>IF(OR(F262=1,E262=1),1,0)</x:f>
        <x:v>0</x:v>
      </x:c>
      <x:c r="H262" t="str">
        <x:f>IF(B262=1,IF(F262=1,"TP","FN"),IF(F262=1,"FP","TN"))</x:f>
        <x:v>TN</x:v>
      </x:c>
      <x:c r="I262" t="str">
        <x:f>IF(B262=1,IF(G262=1,"TP","FN"),IF(G262=1,"FP","TN"))</x:f>
        <x:v>TN</x:v>
      </x:c>
    </x:row>
    <x:row r="263">
      <x:c r="A263" t="str">
        <x:f>MiniCase_Data!A263</x:f>
        <x:v>R00262</x:v>
      </x:c>
      <x:c r="B263" t="n">
        <x:f>IF(MiniCase_Data!O263="불합격",1,0)</x:f>
        <x:v>0</x:v>
      </x:c>
      <x:c r="C263" t="str">
        <x:f>IF(ISBLANK(MiniCase_Data!H263),"missing",IF(OR(MiniCase_Data!H263&lt;27,MiniCase_Data!H263&gt;33),"밖","안"))</x:f>
        <x:v>안</x:v>
      </x:c>
      <x:c r="D263" t="n">
        <x:f>IF(ISBLANK(MiniCase_Data!H263),VLOOKUP(A263,센서로그!$A$2:$C$13,3,FALSE),MiniCase_Data!H263)</x:f>
        <x:v>29.96</x:v>
      </x:c>
      <x:c r="E263" t="n">
        <x:f>IF(AND(MiniCase_Data!C263="야간",MiniCase_Data!F263="M03"),1,0)</x:f>
        <x:v>0</x:v>
      </x:c>
      <x:c r="F263" t="n">
        <x:f>IF(C263="밖",1,0)</x:f>
        <x:v>0</x:v>
      </x:c>
      <x:c r="G263" t="n">
        <x:f>IF(OR(F263=1,E263=1),1,0)</x:f>
        <x:v>0</x:v>
      </x:c>
      <x:c r="H263" t="str">
        <x:f>IF(B263=1,IF(F263=1,"TP","FN"),IF(F263=1,"FP","TN"))</x:f>
        <x:v>TN</x:v>
      </x:c>
      <x:c r="I263" t="str">
        <x:f>IF(B263=1,IF(G263=1,"TP","FN"),IF(G263=1,"FP","TN"))</x:f>
        <x:v>TN</x:v>
      </x:c>
    </x:row>
    <x:row r="264">
      <x:c r="A264" t="str">
        <x:f>MiniCase_Data!A264</x:f>
        <x:v>R00263</x:v>
      </x:c>
      <x:c r="B264" t="n">
        <x:f>IF(MiniCase_Data!O264="불합격",1,0)</x:f>
        <x:v>0</x:v>
      </x:c>
      <x:c r="C264" t="str">
        <x:f>IF(ISBLANK(MiniCase_Data!H264),"missing",IF(OR(MiniCase_Data!H264&lt;27,MiniCase_Data!H264&gt;33),"밖","안"))</x:f>
        <x:v>안</x:v>
      </x:c>
      <x:c r="D264" t="n">
        <x:f>IF(ISBLANK(MiniCase_Data!H264),VLOOKUP(A264,센서로그!$A$2:$C$13,3,FALSE),MiniCase_Data!H264)</x:f>
        <x:v>27.56</x:v>
      </x:c>
      <x:c r="E264" t="n">
        <x:f>IF(AND(MiniCase_Data!C264="야간",MiniCase_Data!F264="M03"),1,0)</x:f>
        <x:v>0</x:v>
      </x:c>
      <x:c r="F264" t="n">
        <x:f>IF(C264="밖",1,0)</x:f>
        <x:v>0</x:v>
      </x:c>
      <x:c r="G264" t="n">
        <x:f>IF(OR(F264=1,E264=1),1,0)</x:f>
        <x:v>0</x:v>
      </x:c>
      <x:c r="H264" t="str">
        <x:f>IF(B264=1,IF(F264=1,"TP","FN"),IF(F264=1,"FP","TN"))</x:f>
        <x:v>TN</x:v>
      </x:c>
      <x:c r="I264" t="str">
        <x:f>IF(B264=1,IF(G264=1,"TP","FN"),IF(G264=1,"FP","TN"))</x:f>
        <x:v>TN</x:v>
      </x:c>
    </x:row>
    <x:row r="265">
      <x:c r="A265" t="str">
        <x:f>MiniCase_Data!A265</x:f>
        <x:v>R00264</x:v>
      </x:c>
      <x:c r="B265" t="n">
        <x:f>IF(MiniCase_Data!O265="불합격",1,0)</x:f>
        <x:v>0</x:v>
      </x:c>
      <x:c r="C265" t="str">
        <x:f>IF(ISBLANK(MiniCase_Data!H265),"missing",IF(OR(MiniCase_Data!H265&lt;27,MiniCase_Data!H265&gt;33),"밖","안"))</x:f>
        <x:v>안</x:v>
      </x:c>
      <x:c r="D265" t="n">
        <x:f>IF(ISBLANK(MiniCase_Data!H265),VLOOKUP(A265,센서로그!$A$2:$C$13,3,FALSE),MiniCase_Data!H265)</x:f>
        <x:v>28.68</x:v>
      </x:c>
      <x:c r="E265" t="n">
        <x:f>IF(AND(MiniCase_Data!C265="야간",MiniCase_Data!F265="M03"),1,0)</x:f>
        <x:v>0</x:v>
      </x:c>
      <x:c r="F265" t="n">
        <x:f>IF(C265="밖",1,0)</x:f>
        <x:v>0</x:v>
      </x:c>
      <x:c r="G265" t="n">
        <x:f>IF(OR(F265=1,E265=1),1,0)</x:f>
        <x:v>0</x:v>
      </x:c>
      <x:c r="H265" t="str">
        <x:f>IF(B265=1,IF(F265=1,"TP","FN"),IF(F265=1,"FP","TN"))</x:f>
        <x:v>TN</x:v>
      </x:c>
      <x:c r="I265" t="str">
        <x:f>IF(B265=1,IF(G265=1,"TP","FN"),IF(G265=1,"FP","TN"))</x:f>
        <x:v>TN</x:v>
      </x:c>
    </x:row>
    <x:row r="266">
      <x:c r="A266" t="str">
        <x:f>MiniCase_Data!A266</x:f>
        <x:v>R00265</x:v>
      </x:c>
      <x:c r="B266" t="n">
        <x:f>IF(MiniCase_Data!O266="불합격",1,0)</x:f>
        <x:v>0</x:v>
      </x:c>
      <x:c r="C266" t="str">
        <x:f>IF(ISBLANK(MiniCase_Data!H266),"missing",IF(OR(MiniCase_Data!H266&lt;27,MiniCase_Data!H266&gt;33),"밖","안"))</x:f>
        <x:v>안</x:v>
      </x:c>
      <x:c r="D266" t="n">
        <x:f>IF(ISBLANK(MiniCase_Data!H266),VLOOKUP(A266,센서로그!$A$2:$C$13,3,FALSE),MiniCase_Data!H266)</x:f>
        <x:v>30.97</x:v>
      </x:c>
      <x:c r="E266" t="n">
        <x:f>IF(AND(MiniCase_Data!C266="야간",MiniCase_Data!F266="M03"),1,0)</x:f>
        <x:v>0</x:v>
      </x:c>
      <x:c r="F266" t="n">
        <x:f>IF(C266="밖",1,0)</x:f>
        <x:v>0</x:v>
      </x:c>
      <x:c r="G266" t="n">
        <x:f>IF(OR(F266=1,E266=1),1,0)</x:f>
        <x:v>0</x:v>
      </x:c>
      <x:c r="H266" t="str">
        <x:f>IF(B266=1,IF(F266=1,"TP","FN"),IF(F266=1,"FP","TN"))</x:f>
        <x:v>TN</x:v>
      </x:c>
      <x:c r="I266" t="str">
        <x:f>IF(B266=1,IF(G266=1,"TP","FN"),IF(G266=1,"FP","TN"))</x:f>
        <x:v>TN</x:v>
      </x:c>
    </x:row>
    <x:row r="267">
      <x:c r="A267" t="str">
        <x:f>MiniCase_Data!A267</x:f>
        <x:v>R00266</x:v>
      </x:c>
      <x:c r="B267" t="n">
        <x:f>IF(MiniCase_Data!O267="불합격",1,0)</x:f>
        <x:v>0</x:v>
      </x:c>
      <x:c r="C267" t="str">
        <x:f>IF(ISBLANK(MiniCase_Data!H267),"missing",IF(OR(MiniCase_Data!H267&lt;27,MiniCase_Data!H267&gt;33),"밖","안"))</x:f>
        <x:v>안</x:v>
      </x:c>
      <x:c r="D267" t="n">
        <x:f>IF(ISBLANK(MiniCase_Data!H267),VLOOKUP(A267,센서로그!$A$2:$C$13,3,FALSE),MiniCase_Data!H267)</x:f>
        <x:v>28.56</x:v>
      </x:c>
      <x:c r="E267" t="n">
        <x:f>IF(AND(MiniCase_Data!C267="야간",MiniCase_Data!F267="M03"),1,0)</x:f>
        <x:v>0</x:v>
      </x:c>
      <x:c r="F267" t="n">
        <x:f>IF(C267="밖",1,0)</x:f>
        <x:v>0</x:v>
      </x:c>
      <x:c r="G267" t="n">
        <x:f>IF(OR(F267=1,E267=1),1,0)</x:f>
        <x:v>0</x:v>
      </x:c>
      <x:c r="H267" t="str">
        <x:f>IF(B267=1,IF(F267=1,"TP","FN"),IF(F267=1,"FP","TN"))</x:f>
        <x:v>TN</x:v>
      </x:c>
      <x:c r="I267" t="str">
        <x:f>IF(B267=1,IF(G267=1,"TP","FN"),IF(G267=1,"FP","TN"))</x:f>
        <x:v>TN</x:v>
      </x:c>
    </x:row>
    <x:row r="268">
      <x:c r="A268" t="str">
        <x:f>MiniCase_Data!A268</x:f>
        <x:v>R00267</x:v>
      </x:c>
      <x:c r="B268" t="n">
        <x:f>IF(MiniCase_Data!O268="불합격",1,0)</x:f>
        <x:v>0</x:v>
      </x:c>
      <x:c r="C268" t="str">
        <x:f>IF(ISBLANK(MiniCase_Data!H268),"missing",IF(OR(MiniCase_Data!H268&lt;27,MiniCase_Data!H268&gt;33),"밖","안"))</x:f>
        <x:v>안</x:v>
      </x:c>
      <x:c r="D268" t="n">
        <x:f>IF(ISBLANK(MiniCase_Data!H268),VLOOKUP(A268,센서로그!$A$2:$C$13,3,FALSE),MiniCase_Data!H268)</x:f>
        <x:v>28.53</x:v>
      </x:c>
      <x:c r="E268" t="n">
        <x:f>IF(AND(MiniCase_Data!C268="야간",MiniCase_Data!F268="M03"),1,0)</x:f>
        <x:v>0</x:v>
      </x:c>
      <x:c r="F268" t="n">
        <x:f>IF(C268="밖",1,0)</x:f>
        <x:v>0</x:v>
      </x:c>
      <x:c r="G268" t="n">
        <x:f>IF(OR(F268=1,E268=1),1,0)</x:f>
        <x:v>0</x:v>
      </x:c>
      <x:c r="H268" t="str">
        <x:f>IF(B268=1,IF(F268=1,"TP","FN"),IF(F268=1,"FP","TN"))</x:f>
        <x:v>TN</x:v>
      </x:c>
      <x:c r="I268" t="str">
        <x:f>IF(B268=1,IF(G268=1,"TP","FN"),IF(G268=1,"FP","TN"))</x:f>
        <x:v>TN</x:v>
      </x:c>
    </x:row>
    <x:row r="269">
      <x:c r="A269" t="str">
        <x:f>MiniCase_Data!A269</x:f>
        <x:v>R00268</x:v>
      </x:c>
      <x:c r="B269" t="n">
        <x:f>IF(MiniCase_Data!O269="불합격",1,0)</x:f>
        <x:v>0</x:v>
      </x:c>
      <x:c r="C269" t="str">
        <x:f>IF(ISBLANK(MiniCase_Data!H269),"missing",IF(OR(MiniCase_Data!H269&lt;27,MiniCase_Data!H269&gt;33),"밖","안"))</x:f>
        <x:v>missing</x:v>
      </x:c>
      <x:c r="D269" t="n">
        <x:f>IF(ISBLANK(MiniCase_Data!H269),VLOOKUP(A269,센서로그!$A$2:$C$13,3,FALSE),MiniCase_Data!H269)</x:f>
        <x:v>31.59</x:v>
      </x:c>
      <x:c r="E269" t="n">
        <x:f>IF(AND(MiniCase_Data!C269="야간",MiniCase_Data!F269="M03"),1,0)</x:f>
        <x:v>0</x:v>
      </x:c>
      <x:c r="F269" t="n">
        <x:f>IF(C269="밖",1,0)</x:f>
        <x:v>0</x:v>
      </x:c>
      <x:c r="G269" t="n">
        <x:f>IF(OR(F269=1,E269=1),1,0)</x:f>
        <x:v>0</x:v>
      </x:c>
      <x:c r="H269" t="str">
        <x:f>IF(B269=1,IF(F269=1,"TP","FN"),IF(F269=1,"FP","TN"))</x:f>
        <x:v>TN</x:v>
      </x:c>
      <x:c r="I269" t="str">
        <x:f>IF(B269=1,IF(G269=1,"TP","FN"),IF(G269=1,"FP","TN"))</x:f>
        <x:v>TN</x:v>
      </x:c>
    </x:row>
    <x:row r="270">
      <x:c r="A270" t="str">
        <x:f>MiniCase_Data!A270</x:f>
        <x:v>R00269</x:v>
      </x:c>
      <x:c r="B270" t="n">
        <x:f>IF(MiniCase_Data!O270="불합격",1,0)</x:f>
        <x:v>0</x:v>
      </x:c>
      <x:c r="C270" t="str">
        <x:f>IF(ISBLANK(MiniCase_Data!H270),"missing",IF(OR(MiniCase_Data!H270&lt;27,MiniCase_Data!H270&gt;33),"밖","안"))</x:f>
        <x:v>안</x:v>
      </x:c>
      <x:c r="D270" t="n">
        <x:f>IF(ISBLANK(MiniCase_Data!H270),VLOOKUP(A270,센서로그!$A$2:$C$13,3,FALSE),MiniCase_Data!H270)</x:f>
        <x:v>30.87</x:v>
      </x:c>
      <x:c r="E270" t="n">
        <x:f>IF(AND(MiniCase_Data!C270="야간",MiniCase_Data!F270="M03"),1,0)</x:f>
        <x:v>0</x:v>
      </x:c>
      <x:c r="F270" t="n">
        <x:f>IF(C270="밖",1,0)</x:f>
        <x:v>0</x:v>
      </x:c>
      <x:c r="G270" t="n">
        <x:f>IF(OR(F270=1,E270=1),1,0)</x:f>
        <x:v>0</x:v>
      </x:c>
      <x:c r="H270" t="str">
        <x:f>IF(B270=1,IF(F270=1,"TP","FN"),IF(F270=1,"FP","TN"))</x:f>
        <x:v>TN</x:v>
      </x:c>
      <x:c r="I270" t="str">
        <x:f>IF(B270=1,IF(G270=1,"TP","FN"),IF(G270=1,"FP","TN"))</x:f>
        <x:v>TN</x:v>
      </x:c>
    </x:row>
    <x:row r="271">
      <x:c r="A271" t="str">
        <x:f>MiniCase_Data!A271</x:f>
        <x:v>R00270</x:v>
      </x:c>
      <x:c r="B271" t="n">
        <x:f>IF(MiniCase_Data!O271="불합격",1,0)</x:f>
        <x:v>0</x:v>
      </x:c>
      <x:c r="C271" t="str">
        <x:f>IF(ISBLANK(MiniCase_Data!H271),"missing",IF(OR(MiniCase_Data!H271&lt;27,MiniCase_Data!H271&gt;33),"밖","안"))</x:f>
        <x:v>밖</x:v>
      </x:c>
      <x:c r="D271" t="n">
        <x:f>IF(ISBLANK(MiniCase_Data!H271),VLOOKUP(A271,센서로그!$A$2:$C$13,3,FALSE),MiniCase_Data!H271)</x:f>
        <x:v>25.89</x:v>
      </x:c>
      <x:c r="E271" t="n">
        <x:f>IF(AND(MiniCase_Data!C271="야간",MiniCase_Data!F271="M03"),1,0)</x:f>
        <x:v>1</x:v>
      </x:c>
      <x:c r="F271" t="n">
        <x:f>IF(C271="밖",1,0)</x:f>
        <x:v>1</x:v>
      </x:c>
      <x:c r="G271" t="n">
        <x:f>IF(OR(F271=1,E271=1),1,0)</x:f>
        <x:v>1</x:v>
      </x:c>
      <x:c r="H271" t="str">
        <x:f>IF(B271=1,IF(F271=1,"TP","FN"),IF(F271=1,"FP","TN"))</x:f>
        <x:v>FP</x:v>
      </x:c>
      <x:c r="I271" t="str">
        <x:f>IF(B271=1,IF(G271=1,"TP","FN"),IF(G271=1,"FP","TN"))</x:f>
        <x:v>FP</x:v>
      </x:c>
    </x:row>
    <x:row r="272">
      <x:c r="A272" t="str">
        <x:f>MiniCase_Data!A272</x:f>
        <x:v>R00271</x:v>
      </x:c>
      <x:c r="B272" t="n">
        <x:f>IF(MiniCase_Data!O272="불합격",1,0)</x:f>
        <x:v>0</x:v>
      </x:c>
      <x:c r="C272" t="str">
        <x:f>IF(ISBLANK(MiniCase_Data!H272),"missing",IF(OR(MiniCase_Data!H272&lt;27,MiniCase_Data!H272&gt;33),"밖","안"))</x:f>
        <x:v>안</x:v>
      </x:c>
      <x:c r="D272" t="n">
        <x:f>IF(ISBLANK(MiniCase_Data!H272),VLOOKUP(A272,센서로그!$A$2:$C$13,3,FALSE),MiniCase_Data!H272)</x:f>
        <x:v>30.78</x:v>
      </x:c>
      <x:c r="E272" t="n">
        <x:f>IF(AND(MiniCase_Data!C272="야간",MiniCase_Data!F272="M03"),1,0)</x:f>
        <x:v>0</x:v>
      </x:c>
      <x:c r="F272" t="n">
        <x:f>IF(C272="밖",1,0)</x:f>
        <x:v>0</x:v>
      </x:c>
      <x:c r="G272" t="n">
        <x:f>IF(OR(F272=1,E272=1),1,0)</x:f>
        <x:v>0</x:v>
      </x:c>
      <x:c r="H272" t="str">
        <x:f>IF(B272=1,IF(F272=1,"TP","FN"),IF(F272=1,"FP","TN"))</x:f>
        <x:v>TN</x:v>
      </x:c>
      <x:c r="I272" t="str">
        <x:f>IF(B272=1,IF(G272=1,"TP","FN"),IF(G272=1,"FP","TN"))</x:f>
        <x:v>TN</x:v>
      </x:c>
    </x:row>
    <x:row r="273">
      <x:c r="A273" t="str">
        <x:f>MiniCase_Data!A273</x:f>
        <x:v>R00272</x:v>
      </x:c>
      <x:c r="B273" t="n">
        <x:f>IF(MiniCase_Data!O273="불합격",1,0)</x:f>
        <x:v>0</x:v>
      </x:c>
      <x:c r="C273" t="str">
        <x:f>IF(ISBLANK(MiniCase_Data!H273),"missing",IF(OR(MiniCase_Data!H273&lt;27,MiniCase_Data!H273&gt;33),"밖","안"))</x:f>
        <x:v>안</x:v>
      </x:c>
      <x:c r="D273" t="n">
        <x:f>IF(ISBLANK(MiniCase_Data!H273),VLOOKUP(A273,센서로그!$A$2:$C$13,3,FALSE),MiniCase_Data!H273)</x:f>
        <x:v>30.91</x:v>
      </x:c>
      <x:c r="E273" t="n">
        <x:f>IF(AND(MiniCase_Data!C273="야간",MiniCase_Data!F273="M03"),1,0)</x:f>
        <x:v>0</x:v>
      </x:c>
      <x:c r="F273" t="n">
        <x:f>IF(C273="밖",1,0)</x:f>
        <x:v>0</x:v>
      </x:c>
      <x:c r="G273" t="n">
        <x:f>IF(OR(F273=1,E273=1),1,0)</x:f>
        <x:v>0</x:v>
      </x:c>
      <x:c r="H273" t="str">
        <x:f>IF(B273=1,IF(F273=1,"TP","FN"),IF(F273=1,"FP","TN"))</x:f>
        <x:v>TN</x:v>
      </x:c>
      <x:c r="I273" t="str">
        <x:f>IF(B273=1,IF(G273=1,"TP","FN"),IF(G273=1,"FP","TN"))</x:f>
        <x:v>TN</x:v>
      </x:c>
    </x:row>
    <x:row r="274">
      <x:c r="A274" t="str">
        <x:f>MiniCase_Data!A274</x:f>
        <x:v>R00273</x:v>
      </x:c>
      <x:c r="B274" t="n">
        <x:f>IF(MiniCase_Data!O274="불합격",1,0)</x:f>
        <x:v>0</x:v>
      </x:c>
      <x:c r="C274" t="str">
        <x:f>IF(ISBLANK(MiniCase_Data!H274),"missing",IF(OR(MiniCase_Data!H274&lt;27,MiniCase_Data!H274&gt;33),"밖","안"))</x:f>
        <x:v>안</x:v>
      </x:c>
      <x:c r="D274" t="n">
        <x:f>IF(ISBLANK(MiniCase_Data!H274),VLOOKUP(A274,센서로그!$A$2:$C$13,3,FALSE),MiniCase_Data!H274)</x:f>
        <x:v>28.84</x:v>
      </x:c>
      <x:c r="E274" t="n">
        <x:f>IF(AND(MiniCase_Data!C274="야간",MiniCase_Data!F274="M03"),1,0)</x:f>
        <x:v>0</x:v>
      </x:c>
      <x:c r="F274" t="n">
        <x:f>IF(C274="밖",1,0)</x:f>
        <x:v>0</x:v>
      </x:c>
      <x:c r="G274" t="n">
        <x:f>IF(OR(F274=1,E274=1),1,0)</x:f>
        <x:v>0</x:v>
      </x:c>
      <x:c r="H274" t="str">
        <x:f>IF(B274=1,IF(F274=1,"TP","FN"),IF(F274=1,"FP","TN"))</x:f>
        <x:v>TN</x:v>
      </x:c>
      <x:c r="I274" t="str">
        <x:f>IF(B274=1,IF(G274=1,"TP","FN"),IF(G274=1,"FP","TN"))</x:f>
        <x:v>TN</x:v>
      </x:c>
    </x:row>
    <x:row r="275">
      <x:c r="A275" t="str">
        <x:f>MiniCase_Data!A275</x:f>
        <x:v>R00274</x:v>
      </x:c>
      <x:c r="B275" t="n">
        <x:f>IF(MiniCase_Data!O275="불합격",1,0)</x:f>
        <x:v>0</x:v>
      </x:c>
      <x:c r="C275" t="str">
        <x:f>IF(ISBLANK(MiniCase_Data!H275),"missing",IF(OR(MiniCase_Data!H275&lt;27,MiniCase_Data!H275&gt;33),"밖","안"))</x:f>
        <x:v>안</x:v>
      </x:c>
      <x:c r="D275" t="n">
        <x:f>IF(ISBLANK(MiniCase_Data!H275),VLOOKUP(A275,센서로그!$A$2:$C$13,3,FALSE),MiniCase_Data!H275)</x:f>
        <x:v>28.77</x:v>
      </x:c>
      <x:c r="E275" t="n">
        <x:f>IF(AND(MiniCase_Data!C275="야간",MiniCase_Data!F275="M03"),1,0)</x:f>
        <x:v>1</x:v>
      </x:c>
      <x:c r="F275" t="n">
        <x:f>IF(C275="밖",1,0)</x:f>
        <x:v>0</x:v>
      </x:c>
      <x:c r="G275" t="n">
        <x:f>IF(OR(F275=1,E275=1),1,0)</x:f>
        <x:v>1</x:v>
      </x:c>
      <x:c r="H275" t="str">
        <x:f>IF(B275=1,IF(F275=1,"TP","FN"),IF(F275=1,"FP","TN"))</x:f>
        <x:v>TN</x:v>
      </x:c>
      <x:c r="I275" t="str">
        <x:f>IF(B275=1,IF(G275=1,"TP","FN"),IF(G275=1,"FP","TN"))</x:f>
        <x:v>FP</x:v>
      </x:c>
    </x:row>
    <x:row r="276">
      <x:c r="A276" t="str">
        <x:f>MiniCase_Data!A276</x:f>
        <x:v>R00275</x:v>
      </x:c>
      <x:c r="B276" t="n">
        <x:f>IF(MiniCase_Data!O276="불합격",1,0)</x:f>
        <x:v>0</x:v>
      </x:c>
      <x:c r="C276" t="str">
        <x:f>IF(ISBLANK(MiniCase_Data!H276),"missing",IF(OR(MiniCase_Data!H276&lt;27,MiniCase_Data!H276&gt;33),"밖","안"))</x:f>
        <x:v>안</x:v>
      </x:c>
      <x:c r="D276" t="n">
        <x:f>IF(ISBLANK(MiniCase_Data!H276),VLOOKUP(A276,센서로그!$A$2:$C$13,3,FALSE),MiniCase_Data!H276)</x:f>
        <x:v>30.65</x:v>
      </x:c>
      <x:c r="E276" t="n">
        <x:f>IF(AND(MiniCase_Data!C276="야간",MiniCase_Data!F276="M03"),1,0)</x:f>
        <x:v>0</x:v>
      </x:c>
      <x:c r="F276" t="n">
        <x:f>IF(C276="밖",1,0)</x:f>
        <x:v>0</x:v>
      </x:c>
      <x:c r="G276" t="n">
        <x:f>IF(OR(F276=1,E276=1),1,0)</x:f>
        <x:v>0</x:v>
      </x:c>
      <x:c r="H276" t="str">
        <x:f>IF(B276=1,IF(F276=1,"TP","FN"),IF(F276=1,"FP","TN"))</x:f>
        <x:v>TN</x:v>
      </x:c>
      <x:c r="I276" t="str">
        <x:f>IF(B276=1,IF(G276=1,"TP","FN"),IF(G276=1,"FP","TN"))</x:f>
        <x:v>TN</x:v>
      </x:c>
    </x:row>
    <x:row r="277">
      <x:c r="A277" t="str">
        <x:f>MiniCase_Data!A277</x:f>
        <x:v>R00276</x:v>
      </x:c>
      <x:c r="B277" t="n">
        <x:f>IF(MiniCase_Data!O277="불합격",1,0)</x:f>
        <x:v>0</x:v>
      </x:c>
      <x:c r="C277" t="str">
        <x:f>IF(ISBLANK(MiniCase_Data!H277),"missing",IF(OR(MiniCase_Data!H277&lt;27,MiniCase_Data!H277&gt;33),"밖","안"))</x:f>
        <x:v>안</x:v>
      </x:c>
      <x:c r="D277" t="n">
        <x:f>IF(ISBLANK(MiniCase_Data!H277),VLOOKUP(A277,센서로그!$A$2:$C$13,3,FALSE),MiniCase_Data!H277)</x:f>
        <x:v>31.18</x:v>
      </x:c>
      <x:c r="E277" t="n">
        <x:f>IF(AND(MiniCase_Data!C277="야간",MiniCase_Data!F277="M03"),1,0)</x:f>
        <x:v>0</x:v>
      </x:c>
      <x:c r="F277" t="n">
        <x:f>IF(C277="밖",1,0)</x:f>
        <x:v>0</x:v>
      </x:c>
      <x:c r="G277" t="n">
        <x:f>IF(OR(F277=1,E277=1),1,0)</x:f>
        <x:v>0</x:v>
      </x:c>
      <x:c r="H277" t="str">
        <x:f>IF(B277=1,IF(F277=1,"TP","FN"),IF(F277=1,"FP","TN"))</x:f>
        <x:v>TN</x:v>
      </x:c>
      <x:c r="I277" t="str">
        <x:f>IF(B277=1,IF(G277=1,"TP","FN"),IF(G277=1,"FP","TN"))</x:f>
        <x:v>TN</x:v>
      </x:c>
    </x:row>
    <x:row r="278">
      <x:c r="A278" t="str">
        <x:f>MiniCase_Data!A278</x:f>
        <x:v>R00277</x:v>
      </x:c>
      <x:c r="B278" t="n">
        <x:f>IF(MiniCase_Data!O278="불합격",1,0)</x:f>
        <x:v>0</x:v>
      </x:c>
      <x:c r="C278" t="str">
        <x:f>IF(ISBLANK(MiniCase_Data!H278),"missing",IF(OR(MiniCase_Data!H278&lt;27,MiniCase_Data!H278&gt;33),"밖","안"))</x:f>
        <x:v>안</x:v>
      </x:c>
      <x:c r="D278" t="n">
        <x:f>IF(ISBLANK(MiniCase_Data!H278),VLOOKUP(A278,센서로그!$A$2:$C$13,3,FALSE),MiniCase_Data!H278)</x:f>
        <x:v>31.28</x:v>
      </x:c>
      <x:c r="E278" t="n">
        <x:f>IF(AND(MiniCase_Data!C278="야간",MiniCase_Data!F278="M03"),1,0)</x:f>
        <x:v>0</x:v>
      </x:c>
      <x:c r="F278" t="n">
        <x:f>IF(C278="밖",1,0)</x:f>
        <x:v>0</x:v>
      </x:c>
      <x:c r="G278" t="n">
        <x:f>IF(OR(F278=1,E278=1),1,0)</x:f>
        <x:v>0</x:v>
      </x:c>
      <x:c r="H278" t="str">
        <x:f>IF(B278=1,IF(F278=1,"TP","FN"),IF(F278=1,"FP","TN"))</x:f>
        <x:v>TN</x:v>
      </x:c>
      <x:c r="I278" t="str">
        <x:f>IF(B278=1,IF(G278=1,"TP","FN"),IF(G278=1,"FP","TN"))</x:f>
        <x:v>TN</x:v>
      </x:c>
    </x:row>
    <x:row r="279">
      <x:c r="A279" t="str">
        <x:f>MiniCase_Data!A279</x:f>
        <x:v>R00278</x:v>
      </x:c>
      <x:c r="B279" t="n">
        <x:f>IF(MiniCase_Data!O279="불합격",1,0)</x:f>
        <x:v>0</x:v>
      </x:c>
      <x:c r="C279" t="str">
        <x:f>IF(ISBLANK(MiniCase_Data!H279),"missing",IF(OR(MiniCase_Data!H279&lt;27,MiniCase_Data!H279&gt;33),"밖","안"))</x:f>
        <x:v>안</x:v>
      </x:c>
      <x:c r="D279" t="n">
        <x:f>IF(ISBLANK(MiniCase_Data!H279),VLOOKUP(A279,센서로그!$A$2:$C$13,3,FALSE),MiniCase_Data!H279)</x:f>
        <x:v>30.32</x:v>
      </x:c>
      <x:c r="E279" t="n">
        <x:f>IF(AND(MiniCase_Data!C279="야간",MiniCase_Data!F279="M03"),1,0)</x:f>
        <x:v>0</x:v>
      </x:c>
      <x:c r="F279" t="n">
        <x:f>IF(C279="밖",1,0)</x:f>
        <x:v>0</x:v>
      </x:c>
      <x:c r="G279" t="n">
        <x:f>IF(OR(F279=1,E279=1),1,0)</x:f>
        <x:v>0</x:v>
      </x:c>
      <x:c r="H279" t="str">
        <x:f>IF(B279=1,IF(F279=1,"TP","FN"),IF(F279=1,"FP","TN"))</x:f>
        <x:v>TN</x:v>
      </x:c>
      <x:c r="I279" t="str">
        <x:f>IF(B279=1,IF(G279=1,"TP","FN"),IF(G279=1,"FP","TN"))</x:f>
        <x:v>TN</x:v>
      </x:c>
    </x:row>
    <x:row r="280">
      <x:c r="A280" t="str">
        <x:f>MiniCase_Data!A280</x:f>
        <x:v>R00279</x:v>
      </x:c>
      <x:c r="B280" t="n">
        <x:f>IF(MiniCase_Data!O280="불합격",1,0)</x:f>
        <x:v>0</x:v>
      </x:c>
      <x:c r="C280" t="str">
        <x:f>IF(ISBLANK(MiniCase_Data!H280),"missing",IF(OR(MiniCase_Data!H280&lt;27,MiniCase_Data!H280&gt;33),"밖","안"))</x:f>
        <x:v>밖</x:v>
      </x:c>
      <x:c r="D280" t="n">
        <x:f>IF(ISBLANK(MiniCase_Data!H280),VLOOKUP(A280,센서로그!$A$2:$C$13,3,FALSE),MiniCase_Data!H280)</x:f>
        <x:v>33.49</x:v>
      </x:c>
      <x:c r="E280" t="n">
        <x:f>IF(AND(MiniCase_Data!C280="야간",MiniCase_Data!F280="M03"),1,0)</x:f>
        <x:v>1</x:v>
      </x:c>
      <x:c r="F280" t="n">
        <x:f>IF(C280="밖",1,0)</x:f>
        <x:v>1</x:v>
      </x:c>
      <x:c r="G280" t="n">
        <x:f>IF(OR(F280=1,E280=1),1,0)</x:f>
        <x:v>1</x:v>
      </x:c>
      <x:c r="H280" t="str">
        <x:f>IF(B280=1,IF(F280=1,"TP","FN"),IF(F280=1,"FP","TN"))</x:f>
        <x:v>FP</x:v>
      </x:c>
      <x:c r="I280" t="str">
        <x:f>IF(B280=1,IF(G280=1,"TP","FN"),IF(G280=1,"FP","TN"))</x:f>
        <x:v>FP</x:v>
      </x:c>
    </x:row>
    <x:row r="281">
      <x:c r="A281" t="str">
        <x:f>MiniCase_Data!A281</x:f>
        <x:v>R00280</x:v>
      </x:c>
      <x:c r="B281" t="n">
        <x:f>IF(MiniCase_Data!O281="불합격",1,0)</x:f>
        <x:v>0</x:v>
      </x:c>
      <x:c r="C281" t="str">
        <x:f>IF(ISBLANK(MiniCase_Data!H281),"missing",IF(OR(MiniCase_Data!H281&lt;27,MiniCase_Data!H281&gt;33),"밖","안"))</x:f>
        <x:v>안</x:v>
      </x:c>
      <x:c r="D281" t="n">
        <x:f>IF(ISBLANK(MiniCase_Data!H281),VLOOKUP(A281,센서로그!$A$2:$C$13,3,FALSE),MiniCase_Data!H281)</x:f>
        <x:v>30.06</x:v>
      </x:c>
      <x:c r="E281" t="n">
        <x:f>IF(AND(MiniCase_Data!C281="야간",MiniCase_Data!F281="M03"),1,0)</x:f>
        <x:v>0</x:v>
      </x:c>
      <x:c r="F281" t="n">
        <x:f>IF(C281="밖",1,0)</x:f>
        <x:v>0</x:v>
      </x:c>
      <x:c r="G281" t="n">
        <x:f>IF(OR(F281=1,E281=1),1,0)</x:f>
        <x:v>0</x:v>
      </x:c>
      <x:c r="H281" t="str">
        <x:f>IF(B281=1,IF(F281=1,"TP","FN"),IF(F281=1,"FP","TN"))</x:f>
        <x:v>TN</x:v>
      </x:c>
      <x:c r="I281" t="str">
        <x:f>IF(B281=1,IF(G281=1,"TP","FN"),IF(G281=1,"FP","TN"))</x:f>
        <x:v>TN</x:v>
      </x:c>
    </x:row>
    <x:row r="282">
      <x:c r="A282" t="str">
        <x:f>MiniCase_Data!A282</x:f>
        <x:v>R00281</x:v>
      </x:c>
      <x:c r="B282" t="n">
        <x:f>IF(MiniCase_Data!O282="불합격",1,0)</x:f>
        <x:v>0</x:v>
      </x:c>
      <x:c r="C282" t="str">
        <x:f>IF(ISBLANK(MiniCase_Data!H282),"missing",IF(OR(MiniCase_Data!H282&lt;27,MiniCase_Data!H282&gt;33),"밖","안"))</x:f>
        <x:v>안</x:v>
      </x:c>
      <x:c r="D282" t="n">
        <x:f>IF(ISBLANK(MiniCase_Data!H282),VLOOKUP(A282,센서로그!$A$2:$C$13,3,FALSE),MiniCase_Data!H282)</x:f>
        <x:v>32.56</x:v>
      </x:c>
      <x:c r="E282" t="n">
        <x:f>IF(AND(MiniCase_Data!C282="야간",MiniCase_Data!F282="M03"),1,0)</x:f>
        <x:v>0</x:v>
      </x:c>
      <x:c r="F282" t="n">
        <x:f>IF(C282="밖",1,0)</x:f>
        <x:v>0</x:v>
      </x:c>
      <x:c r="G282" t="n">
        <x:f>IF(OR(F282=1,E282=1),1,0)</x:f>
        <x:v>0</x:v>
      </x:c>
      <x:c r="H282" t="str">
        <x:f>IF(B282=1,IF(F282=1,"TP","FN"),IF(F282=1,"FP","TN"))</x:f>
        <x:v>TN</x:v>
      </x:c>
      <x:c r="I282" t="str">
        <x:f>IF(B282=1,IF(G282=1,"TP","FN"),IF(G282=1,"FP","TN"))</x:f>
        <x:v>TN</x:v>
      </x:c>
    </x:row>
    <x:row r="283">
      <x:c r="A283" t="str">
        <x:f>MiniCase_Data!A283</x:f>
        <x:v>R00282</x:v>
      </x:c>
      <x:c r="B283" t="n">
        <x:f>IF(MiniCase_Data!O283="불합격",1,0)</x:f>
        <x:v>0</x:v>
      </x:c>
      <x:c r="C283" t="str">
        <x:f>IF(ISBLANK(MiniCase_Data!H283),"missing",IF(OR(MiniCase_Data!H283&lt;27,MiniCase_Data!H283&gt;33),"밖","안"))</x:f>
        <x:v>안</x:v>
      </x:c>
      <x:c r="D283" t="n">
        <x:f>IF(ISBLANK(MiniCase_Data!H283),VLOOKUP(A283,센서로그!$A$2:$C$13,3,FALSE),MiniCase_Data!H283)</x:f>
        <x:v>31.99</x:v>
      </x:c>
      <x:c r="E283" t="n">
        <x:f>IF(AND(MiniCase_Data!C283="야간",MiniCase_Data!F283="M03"),1,0)</x:f>
        <x:v>0</x:v>
      </x:c>
      <x:c r="F283" t="n">
        <x:f>IF(C283="밖",1,0)</x:f>
        <x:v>0</x:v>
      </x:c>
      <x:c r="G283" t="n">
        <x:f>IF(OR(F283=1,E283=1),1,0)</x:f>
        <x:v>0</x:v>
      </x:c>
      <x:c r="H283" t="str">
        <x:f>IF(B283=1,IF(F283=1,"TP","FN"),IF(F283=1,"FP","TN"))</x:f>
        <x:v>TN</x:v>
      </x:c>
      <x:c r="I283" t="str">
        <x:f>IF(B283=1,IF(G283=1,"TP","FN"),IF(G283=1,"FP","TN"))</x:f>
        <x:v>TN</x:v>
      </x:c>
    </x:row>
    <x:row r="284">
      <x:c r="A284" t="str">
        <x:f>MiniCase_Data!A284</x:f>
        <x:v>R00283</x:v>
      </x:c>
      <x:c r="B284" t="n">
        <x:f>IF(MiniCase_Data!O284="불합격",1,0)</x:f>
        <x:v>0</x:v>
      </x:c>
      <x:c r="C284" t="str">
        <x:f>IF(ISBLANK(MiniCase_Data!H284),"missing",IF(OR(MiniCase_Data!H284&lt;27,MiniCase_Data!H284&gt;33),"밖","안"))</x:f>
        <x:v>안</x:v>
      </x:c>
      <x:c r="D284" t="n">
        <x:f>IF(ISBLANK(MiniCase_Data!H284),VLOOKUP(A284,센서로그!$A$2:$C$13,3,FALSE),MiniCase_Data!H284)</x:f>
        <x:v>30.17</x:v>
      </x:c>
      <x:c r="E284" t="n">
        <x:f>IF(AND(MiniCase_Data!C284="야간",MiniCase_Data!F284="M03"),1,0)</x:f>
        <x:v>0</x:v>
      </x:c>
      <x:c r="F284" t="n">
        <x:f>IF(C284="밖",1,0)</x:f>
        <x:v>0</x:v>
      </x:c>
      <x:c r="G284" t="n">
        <x:f>IF(OR(F284=1,E284=1),1,0)</x:f>
        <x:v>0</x:v>
      </x:c>
      <x:c r="H284" t="str">
        <x:f>IF(B284=1,IF(F284=1,"TP","FN"),IF(F284=1,"FP","TN"))</x:f>
        <x:v>TN</x:v>
      </x:c>
      <x:c r="I284" t="str">
        <x:f>IF(B284=1,IF(G284=1,"TP","FN"),IF(G284=1,"FP","TN"))</x:f>
        <x:v>TN</x:v>
      </x:c>
    </x:row>
    <x:row r="285">
      <x:c r="A285" t="str">
        <x:f>MiniCase_Data!A285</x:f>
        <x:v>R00284</x:v>
      </x:c>
      <x:c r="B285" t="n">
        <x:f>IF(MiniCase_Data!O285="불합격",1,0)</x:f>
        <x:v>0</x:v>
      </x:c>
      <x:c r="C285" t="str">
        <x:f>IF(ISBLANK(MiniCase_Data!H285),"missing",IF(OR(MiniCase_Data!H285&lt;27,MiniCase_Data!H285&gt;33),"밖","안"))</x:f>
        <x:v>안</x:v>
      </x:c>
      <x:c r="D285" t="n">
        <x:f>IF(ISBLANK(MiniCase_Data!H285),VLOOKUP(A285,센서로그!$A$2:$C$13,3,FALSE),MiniCase_Data!H285)</x:f>
        <x:v>31.09</x:v>
      </x:c>
      <x:c r="E285" t="n">
        <x:f>IF(AND(MiniCase_Data!C285="야간",MiniCase_Data!F285="M03"),1,0)</x:f>
        <x:v>0</x:v>
      </x:c>
      <x:c r="F285" t="n">
        <x:f>IF(C285="밖",1,0)</x:f>
        <x:v>0</x:v>
      </x:c>
      <x:c r="G285" t="n">
        <x:f>IF(OR(F285=1,E285=1),1,0)</x:f>
        <x:v>0</x:v>
      </x:c>
      <x:c r="H285" t="str">
        <x:f>IF(B285=1,IF(F285=1,"TP","FN"),IF(F285=1,"FP","TN"))</x:f>
        <x:v>TN</x:v>
      </x:c>
      <x:c r="I285" t="str">
        <x:f>IF(B285=1,IF(G285=1,"TP","FN"),IF(G285=1,"FP","TN"))</x:f>
        <x:v>TN</x:v>
      </x:c>
    </x:row>
    <x:row r="286">
      <x:c r="A286" t="str">
        <x:f>MiniCase_Data!A286</x:f>
        <x:v>R00285</x:v>
      </x:c>
      <x:c r="B286" t="n">
        <x:f>IF(MiniCase_Data!O286="불합격",1,0)</x:f>
        <x:v>0</x:v>
      </x:c>
      <x:c r="C286" t="str">
        <x:f>IF(ISBLANK(MiniCase_Data!H286),"missing",IF(OR(MiniCase_Data!H286&lt;27,MiniCase_Data!H286&gt;33),"밖","안"))</x:f>
        <x:v>밖</x:v>
      </x:c>
      <x:c r="D286" t="n">
        <x:f>IF(ISBLANK(MiniCase_Data!H286),VLOOKUP(A286,센서로그!$A$2:$C$13,3,FALSE),MiniCase_Data!H286)</x:f>
        <x:v>33.86</x:v>
      </x:c>
      <x:c r="E286" t="n">
        <x:f>IF(AND(MiniCase_Data!C286="야간",MiniCase_Data!F286="M03"),1,0)</x:f>
        <x:v>1</x:v>
      </x:c>
      <x:c r="F286" t="n">
        <x:f>IF(C286="밖",1,0)</x:f>
        <x:v>1</x:v>
      </x:c>
      <x:c r="G286" t="n">
        <x:f>IF(OR(F286=1,E286=1),1,0)</x:f>
        <x:v>1</x:v>
      </x:c>
      <x:c r="H286" t="str">
        <x:f>IF(B286=1,IF(F286=1,"TP","FN"),IF(F286=1,"FP","TN"))</x:f>
        <x:v>FP</x:v>
      </x:c>
      <x:c r="I286" t="str">
        <x:f>IF(B286=1,IF(G286=1,"TP","FN"),IF(G286=1,"FP","TN"))</x:f>
        <x:v>FP</x:v>
      </x:c>
    </x:row>
    <x:row r="287">
      <x:c r="A287" t="str">
        <x:f>MiniCase_Data!A287</x:f>
        <x:v>R00286</x:v>
      </x:c>
      <x:c r="B287" t="n">
        <x:f>IF(MiniCase_Data!O287="불합격",1,0)</x:f>
        <x:v>0</x:v>
      </x:c>
      <x:c r="C287" t="str">
        <x:f>IF(ISBLANK(MiniCase_Data!H287),"missing",IF(OR(MiniCase_Data!H287&lt;27,MiniCase_Data!H287&gt;33),"밖","안"))</x:f>
        <x:v>안</x:v>
      </x:c>
      <x:c r="D287" t="n">
        <x:f>IF(ISBLANK(MiniCase_Data!H287),VLOOKUP(A287,센서로그!$A$2:$C$13,3,FALSE),MiniCase_Data!H287)</x:f>
        <x:v>27.95</x:v>
      </x:c>
      <x:c r="E287" t="n">
        <x:f>IF(AND(MiniCase_Data!C287="야간",MiniCase_Data!F287="M03"),1,0)</x:f>
        <x:v>0</x:v>
      </x:c>
      <x:c r="F287" t="n">
        <x:f>IF(C287="밖",1,0)</x:f>
        <x:v>0</x:v>
      </x:c>
      <x:c r="G287" t="n">
        <x:f>IF(OR(F287=1,E287=1),1,0)</x:f>
        <x:v>0</x:v>
      </x:c>
      <x:c r="H287" t="str">
        <x:f>IF(B287=1,IF(F287=1,"TP","FN"),IF(F287=1,"FP","TN"))</x:f>
        <x:v>TN</x:v>
      </x:c>
      <x:c r="I287" t="str">
        <x:f>IF(B287=1,IF(G287=1,"TP","FN"),IF(G287=1,"FP","TN"))</x:f>
        <x:v>TN</x:v>
      </x:c>
    </x:row>
    <x:row r="288">
      <x:c r="A288" t="str">
        <x:f>MiniCase_Data!A288</x:f>
        <x:v>R00287</x:v>
      </x:c>
      <x:c r="B288" t="n">
        <x:f>IF(MiniCase_Data!O288="불합격",1,0)</x:f>
        <x:v>0</x:v>
      </x:c>
      <x:c r="C288" t="str">
        <x:f>IF(ISBLANK(MiniCase_Data!H288),"missing",IF(OR(MiniCase_Data!H288&lt;27,MiniCase_Data!H288&gt;33),"밖","안"))</x:f>
        <x:v>안</x:v>
      </x:c>
      <x:c r="D288" t="n">
        <x:f>IF(ISBLANK(MiniCase_Data!H288),VLOOKUP(A288,센서로그!$A$2:$C$13,3,FALSE),MiniCase_Data!H288)</x:f>
        <x:v>30.44</x:v>
      </x:c>
      <x:c r="E288" t="n">
        <x:f>IF(AND(MiniCase_Data!C288="야간",MiniCase_Data!F288="M03"),1,0)</x:f>
        <x:v>0</x:v>
      </x:c>
      <x:c r="F288" t="n">
        <x:f>IF(C288="밖",1,0)</x:f>
        <x:v>0</x:v>
      </x:c>
      <x:c r="G288" t="n">
        <x:f>IF(OR(F288=1,E288=1),1,0)</x:f>
        <x:v>0</x:v>
      </x:c>
      <x:c r="H288" t="str">
        <x:f>IF(B288=1,IF(F288=1,"TP","FN"),IF(F288=1,"FP","TN"))</x:f>
        <x:v>TN</x:v>
      </x:c>
      <x:c r="I288" t="str">
        <x:f>IF(B288=1,IF(G288=1,"TP","FN"),IF(G288=1,"FP","TN"))</x:f>
        <x:v>TN</x:v>
      </x:c>
    </x:row>
    <x:row r="289">
      <x:c r="A289" t="str">
        <x:f>MiniCase_Data!A289</x:f>
        <x:v>R00288</x:v>
      </x:c>
      <x:c r="B289" t="n">
        <x:f>IF(MiniCase_Data!O289="불합격",1,0)</x:f>
        <x:v>0</x:v>
      </x:c>
      <x:c r="C289" t="str">
        <x:f>IF(ISBLANK(MiniCase_Data!H289),"missing",IF(OR(MiniCase_Data!H289&lt;27,MiniCase_Data!H289&gt;33),"밖","안"))</x:f>
        <x:v>안</x:v>
      </x:c>
      <x:c r="D289" t="n">
        <x:f>IF(ISBLANK(MiniCase_Data!H289),VLOOKUP(A289,센서로그!$A$2:$C$13,3,FALSE),MiniCase_Data!H289)</x:f>
        <x:v>29.37</x:v>
      </x:c>
      <x:c r="E289" t="n">
        <x:f>IF(AND(MiniCase_Data!C289="야간",MiniCase_Data!F289="M03"),1,0)</x:f>
        <x:v>0</x:v>
      </x:c>
      <x:c r="F289" t="n">
        <x:f>IF(C289="밖",1,0)</x:f>
        <x:v>0</x:v>
      </x:c>
      <x:c r="G289" t="n">
        <x:f>IF(OR(F289=1,E289=1),1,0)</x:f>
        <x:v>0</x:v>
      </x:c>
      <x:c r="H289" t="str">
        <x:f>IF(B289=1,IF(F289=1,"TP","FN"),IF(F289=1,"FP","TN"))</x:f>
        <x:v>TN</x:v>
      </x:c>
      <x:c r="I289" t="str">
        <x:f>IF(B289=1,IF(G289=1,"TP","FN"),IF(G289=1,"FP","TN"))</x:f>
        <x:v>TN</x:v>
      </x:c>
    </x:row>
    <x:row r="290">
      <x:c r="A290" t="str">
        <x:f>MiniCase_Data!A290</x:f>
        <x:v>R00289</x:v>
      </x:c>
      <x:c r="B290" t="n">
        <x:f>IF(MiniCase_Data!O290="불합격",1,0)</x:f>
        <x:v>0</x:v>
      </x:c>
      <x:c r="C290" t="str">
        <x:f>IF(ISBLANK(MiniCase_Data!H290),"missing",IF(OR(MiniCase_Data!H290&lt;27,MiniCase_Data!H290&gt;33),"밖","안"))</x:f>
        <x:v>안</x:v>
      </x:c>
      <x:c r="D290" t="n">
        <x:f>IF(ISBLANK(MiniCase_Data!H290),VLOOKUP(A290,센서로그!$A$2:$C$13,3,FALSE),MiniCase_Data!H290)</x:f>
        <x:v>30.41</x:v>
      </x:c>
      <x:c r="E290" t="n">
        <x:f>IF(AND(MiniCase_Data!C290="야간",MiniCase_Data!F290="M03"),1,0)</x:f>
        <x:v>0</x:v>
      </x:c>
      <x:c r="F290" t="n">
        <x:f>IF(C290="밖",1,0)</x:f>
        <x:v>0</x:v>
      </x:c>
      <x:c r="G290" t="n">
        <x:f>IF(OR(F290=1,E290=1),1,0)</x:f>
        <x:v>0</x:v>
      </x:c>
      <x:c r="H290" t="str">
        <x:f>IF(B290=1,IF(F290=1,"TP","FN"),IF(F290=1,"FP","TN"))</x:f>
        <x:v>TN</x:v>
      </x:c>
      <x:c r="I290" t="str">
        <x:f>IF(B290=1,IF(G290=1,"TP","FN"),IF(G290=1,"FP","TN"))</x:f>
        <x:v>TN</x:v>
      </x:c>
    </x:row>
    <x:row r="291">
      <x:c r="A291" t="str">
        <x:f>MiniCase_Data!A291</x:f>
        <x:v>R00290</x:v>
      </x:c>
      <x:c r="B291" t="n">
        <x:f>IF(MiniCase_Data!O291="불합격",1,0)</x:f>
        <x:v>0</x:v>
      </x:c>
      <x:c r="C291" t="str">
        <x:f>IF(ISBLANK(MiniCase_Data!H291),"missing",IF(OR(MiniCase_Data!H291&lt;27,MiniCase_Data!H291&gt;33),"밖","안"))</x:f>
        <x:v>missing</x:v>
      </x:c>
      <x:c r="D291" t="n">
        <x:f>IF(ISBLANK(MiniCase_Data!H291),VLOOKUP(A291,센서로그!$A$2:$C$13,3,FALSE),MiniCase_Data!H291)</x:f>
        <x:v>30.65</x:v>
      </x:c>
      <x:c r="E291" t="n">
        <x:f>IF(AND(MiniCase_Data!C291="야간",MiniCase_Data!F291="M03"),1,0)</x:f>
        <x:v>0</x:v>
      </x:c>
      <x:c r="F291" t="n">
        <x:f>IF(C291="밖",1,0)</x:f>
        <x:v>0</x:v>
      </x:c>
      <x:c r="G291" t="n">
        <x:f>IF(OR(F291=1,E291=1),1,0)</x:f>
        <x:v>0</x:v>
      </x:c>
      <x:c r="H291" t="str">
        <x:f>IF(B291=1,IF(F291=1,"TP","FN"),IF(F291=1,"FP","TN"))</x:f>
        <x:v>TN</x:v>
      </x:c>
      <x:c r="I291" t="str">
        <x:f>IF(B291=1,IF(G291=1,"TP","FN"),IF(G291=1,"FP","TN"))</x:f>
        <x:v>TN</x:v>
      </x:c>
    </x:row>
    <x:row r="292">
      <x:c r="A292" t="str">
        <x:f>MiniCase_Data!A292</x:f>
        <x:v>R00291</x:v>
      </x:c>
      <x:c r="B292" t="n">
        <x:f>IF(MiniCase_Data!O292="불합격",1,0)</x:f>
        <x:v>0</x:v>
      </x:c>
      <x:c r="C292" t="str">
        <x:f>IF(ISBLANK(MiniCase_Data!H292),"missing",IF(OR(MiniCase_Data!H292&lt;27,MiniCase_Data!H292&gt;33),"밖","안"))</x:f>
        <x:v>안</x:v>
      </x:c>
      <x:c r="D292" t="n">
        <x:f>IF(ISBLANK(MiniCase_Data!H292),VLOOKUP(A292,센서로그!$A$2:$C$13,3,FALSE),MiniCase_Data!H292)</x:f>
        <x:v>31</x:v>
      </x:c>
      <x:c r="E292" t="n">
        <x:f>IF(AND(MiniCase_Data!C292="야간",MiniCase_Data!F292="M03"),1,0)</x:f>
        <x:v>0</x:v>
      </x:c>
      <x:c r="F292" t="n">
        <x:f>IF(C292="밖",1,0)</x:f>
        <x:v>0</x:v>
      </x:c>
      <x:c r="G292" t="n">
        <x:f>IF(OR(F292=1,E292=1),1,0)</x:f>
        <x:v>0</x:v>
      </x:c>
      <x:c r="H292" t="str">
        <x:f>IF(B292=1,IF(F292=1,"TP","FN"),IF(F292=1,"FP","TN"))</x:f>
        <x:v>TN</x:v>
      </x:c>
      <x:c r="I292" t="str">
        <x:f>IF(B292=1,IF(G292=1,"TP","FN"),IF(G292=1,"FP","TN"))</x:f>
        <x:v>TN</x:v>
      </x:c>
    </x:row>
    <x:row r="293">
      <x:c r="A293" t="str">
        <x:f>MiniCase_Data!A293</x:f>
        <x:v>R00292</x:v>
      </x:c>
      <x:c r="B293" t="n">
        <x:f>IF(MiniCase_Data!O293="불합격",1,0)</x:f>
        <x:v>0</x:v>
      </x:c>
      <x:c r="C293" t="str">
        <x:f>IF(ISBLANK(MiniCase_Data!H293),"missing",IF(OR(MiniCase_Data!H293&lt;27,MiniCase_Data!H293&gt;33),"밖","안"))</x:f>
        <x:v>안</x:v>
      </x:c>
      <x:c r="D293" t="n">
        <x:f>IF(ISBLANK(MiniCase_Data!H293),VLOOKUP(A293,센서로그!$A$2:$C$13,3,FALSE),MiniCase_Data!H293)</x:f>
        <x:v>30.06</x:v>
      </x:c>
      <x:c r="E293" t="n">
        <x:f>IF(AND(MiniCase_Data!C293="야간",MiniCase_Data!F293="M03"),1,0)</x:f>
        <x:v>0</x:v>
      </x:c>
      <x:c r="F293" t="n">
        <x:f>IF(C293="밖",1,0)</x:f>
        <x:v>0</x:v>
      </x:c>
      <x:c r="G293" t="n">
        <x:f>IF(OR(F293=1,E293=1),1,0)</x:f>
        <x:v>0</x:v>
      </x:c>
      <x:c r="H293" t="str">
        <x:f>IF(B293=1,IF(F293=1,"TP","FN"),IF(F293=1,"FP","TN"))</x:f>
        <x:v>TN</x:v>
      </x:c>
      <x:c r="I293" t="str">
        <x:f>IF(B293=1,IF(G293=1,"TP","FN"),IF(G293=1,"FP","TN"))</x:f>
        <x:v>TN</x:v>
      </x:c>
    </x:row>
    <x:row r="294">
      <x:c r="A294" t="str">
        <x:f>MiniCase_Data!A294</x:f>
        <x:v>R00293</x:v>
      </x:c>
      <x:c r="B294" t="n">
        <x:f>IF(MiniCase_Data!O294="불합격",1,0)</x:f>
        <x:v>0</x:v>
      </x:c>
      <x:c r="C294" t="str">
        <x:f>IF(ISBLANK(MiniCase_Data!H294),"missing",IF(OR(MiniCase_Data!H294&lt;27,MiniCase_Data!H294&gt;33),"밖","안"))</x:f>
        <x:v>밖</x:v>
      </x:c>
      <x:c r="D294" t="n">
        <x:f>IF(ISBLANK(MiniCase_Data!H294),VLOOKUP(A294,센서로그!$A$2:$C$13,3,FALSE),MiniCase_Data!H294)</x:f>
        <x:v>33.37</x:v>
      </x:c>
      <x:c r="E294" t="n">
        <x:f>IF(AND(MiniCase_Data!C294="야간",MiniCase_Data!F294="M03"),1,0)</x:f>
        <x:v>1</x:v>
      </x:c>
      <x:c r="F294" t="n">
        <x:f>IF(C294="밖",1,0)</x:f>
        <x:v>1</x:v>
      </x:c>
      <x:c r="G294" t="n">
        <x:f>IF(OR(F294=1,E294=1),1,0)</x:f>
        <x:v>1</x:v>
      </x:c>
      <x:c r="H294" t="str">
        <x:f>IF(B294=1,IF(F294=1,"TP","FN"),IF(F294=1,"FP","TN"))</x:f>
        <x:v>FP</x:v>
      </x:c>
      <x:c r="I294" t="str">
        <x:f>IF(B294=1,IF(G294=1,"TP","FN"),IF(G294=1,"FP","TN"))</x:f>
        <x:v>FP</x:v>
      </x:c>
    </x:row>
    <x:row r="295">
      <x:c r="A295" t="str">
        <x:f>MiniCase_Data!A295</x:f>
        <x:v>R00294</x:v>
      </x:c>
      <x:c r="B295" t="n">
        <x:f>IF(MiniCase_Data!O295="불합격",1,0)</x:f>
        <x:v>0</x:v>
      </x:c>
      <x:c r="C295" t="str">
        <x:f>IF(ISBLANK(MiniCase_Data!H295),"missing",IF(OR(MiniCase_Data!H295&lt;27,MiniCase_Data!H295&gt;33),"밖","안"))</x:f>
        <x:v>안</x:v>
      </x:c>
      <x:c r="D295" t="n">
        <x:f>IF(ISBLANK(MiniCase_Data!H295),VLOOKUP(A295,센서로그!$A$2:$C$13,3,FALSE),MiniCase_Data!H295)</x:f>
        <x:v>30.31</x:v>
      </x:c>
      <x:c r="E295" t="n">
        <x:f>IF(AND(MiniCase_Data!C295="야간",MiniCase_Data!F295="M03"),1,0)</x:f>
        <x:v>0</x:v>
      </x:c>
      <x:c r="F295" t="n">
        <x:f>IF(C295="밖",1,0)</x:f>
        <x:v>0</x:v>
      </x:c>
      <x:c r="G295" t="n">
        <x:f>IF(OR(F295=1,E295=1),1,0)</x:f>
        <x:v>0</x:v>
      </x:c>
      <x:c r="H295" t="str">
        <x:f>IF(B295=1,IF(F295=1,"TP","FN"),IF(F295=1,"FP","TN"))</x:f>
        <x:v>TN</x:v>
      </x:c>
      <x:c r="I295" t="str">
        <x:f>IF(B295=1,IF(G295=1,"TP","FN"),IF(G295=1,"FP","TN"))</x:f>
        <x:v>TN</x:v>
      </x:c>
    </x:row>
    <x:row r="296">
      <x:c r="A296" t="str">
        <x:f>MiniCase_Data!A296</x:f>
        <x:v>R00295</x:v>
      </x:c>
      <x:c r="B296" t="n">
        <x:f>IF(MiniCase_Data!O296="불합격",1,0)</x:f>
        <x:v>0</x:v>
      </x:c>
      <x:c r="C296" t="str">
        <x:f>IF(ISBLANK(MiniCase_Data!H296),"missing",IF(OR(MiniCase_Data!H296&lt;27,MiniCase_Data!H296&gt;33),"밖","안"))</x:f>
        <x:v>안</x:v>
      </x:c>
      <x:c r="D296" t="n">
        <x:f>IF(ISBLANK(MiniCase_Data!H296),VLOOKUP(A296,센서로그!$A$2:$C$13,3,FALSE),MiniCase_Data!H296)</x:f>
        <x:v>32.22</x:v>
      </x:c>
      <x:c r="E296" t="n">
        <x:f>IF(AND(MiniCase_Data!C296="야간",MiniCase_Data!F296="M03"),1,0)</x:f>
        <x:v>0</x:v>
      </x:c>
      <x:c r="F296" t="n">
        <x:f>IF(C296="밖",1,0)</x:f>
        <x:v>0</x:v>
      </x:c>
      <x:c r="G296" t="n">
        <x:f>IF(OR(F296=1,E296=1),1,0)</x:f>
        <x:v>0</x:v>
      </x:c>
      <x:c r="H296" t="str">
        <x:f>IF(B296=1,IF(F296=1,"TP","FN"),IF(F296=1,"FP","TN"))</x:f>
        <x:v>TN</x:v>
      </x:c>
      <x:c r="I296" t="str">
        <x:f>IF(B296=1,IF(G296=1,"TP","FN"),IF(G296=1,"FP","TN"))</x:f>
        <x:v>TN</x:v>
      </x:c>
    </x:row>
    <x:row r="297">
      <x:c r="A297" t="str">
        <x:f>MiniCase_Data!A297</x:f>
        <x:v>R00296</x:v>
      </x:c>
      <x:c r="B297" t="n">
        <x:f>IF(MiniCase_Data!O297="불합격",1,0)</x:f>
        <x:v>0</x:v>
      </x:c>
      <x:c r="C297" t="str">
        <x:f>IF(ISBLANK(MiniCase_Data!H297),"missing",IF(OR(MiniCase_Data!H297&lt;27,MiniCase_Data!H297&gt;33),"밖","안"))</x:f>
        <x:v>안</x:v>
      </x:c>
      <x:c r="D297" t="n">
        <x:f>IF(ISBLANK(MiniCase_Data!H297),VLOOKUP(A297,센서로그!$A$2:$C$13,3,FALSE),MiniCase_Data!H297)</x:f>
        <x:v>30.41</x:v>
      </x:c>
      <x:c r="E297" t="n">
        <x:f>IF(AND(MiniCase_Data!C297="야간",MiniCase_Data!F297="M03"),1,0)</x:f>
        <x:v>0</x:v>
      </x:c>
      <x:c r="F297" t="n">
        <x:f>IF(C297="밖",1,0)</x:f>
        <x:v>0</x:v>
      </x:c>
      <x:c r="G297" t="n">
        <x:f>IF(OR(F297=1,E297=1),1,0)</x:f>
        <x:v>0</x:v>
      </x:c>
      <x:c r="H297" t="str">
        <x:f>IF(B297=1,IF(F297=1,"TP","FN"),IF(F297=1,"FP","TN"))</x:f>
        <x:v>TN</x:v>
      </x:c>
      <x:c r="I297" t="str">
        <x:f>IF(B297=1,IF(G297=1,"TP","FN"),IF(G297=1,"FP","TN"))</x:f>
        <x:v>TN</x:v>
      </x:c>
    </x:row>
    <x:row r="298">
      <x:c r="A298" t="str">
        <x:f>MiniCase_Data!A298</x:f>
        <x:v>R00297</x:v>
      </x:c>
      <x:c r="B298" t="n">
        <x:f>IF(MiniCase_Data!O298="불합격",1,0)</x:f>
        <x:v>0</x:v>
      </x:c>
      <x:c r="C298" t="str">
        <x:f>IF(ISBLANK(MiniCase_Data!H298),"missing",IF(OR(MiniCase_Data!H298&lt;27,MiniCase_Data!H298&gt;33),"밖","안"))</x:f>
        <x:v>안</x:v>
      </x:c>
      <x:c r="D298" t="n">
        <x:f>IF(ISBLANK(MiniCase_Data!H298),VLOOKUP(A298,센서로그!$A$2:$C$13,3,FALSE),MiniCase_Data!H298)</x:f>
        <x:v>27.99</x:v>
      </x:c>
      <x:c r="E298" t="n">
        <x:f>IF(AND(MiniCase_Data!C298="야간",MiniCase_Data!F298="M03"),1,0)</x:f>
        <x:v>0</x:v>
      </x:c>
      <x:c r="F298" t="n">
        <x:f>IF(C298="밖",1,0)</x:f>
        <x:v>0</x:v>
      </x:c>
      <x:c r="G298" t="n">
        <x:f>IF(OR(F298=1,E298=1),1,0)</x:f>
        <x:v>0</x:v>
      </x:c>
      <x:c r="H298" t="str">
        <x:f>IF(B298=1,IF(F298=1,"TP","FN"),IF(F298=1,"FP","TN"))</x:f>
        <x:v>TN</x:v>
      </x:c>
      <x:c r="I298" t="str">
        <x:f>IF(B298=1,IF(G298=1,"TP","FN"),IF(G298=1,"FP","TN"))</x:f>
        <x:v>TN</x:v>
      </x:c>
    </x:row>
    <x:row r="299">
      <x:c r="A299" t="str">
        <x:f>MiniCase_Data!A299</x:f>
        <x:v>R00298</x:v>
      </x:c>
      <x:c r="B299" t="n">
        <x:f>IF(MiniCase_Data!O299="불합격",1,0)</x:f>
        <x:v>0</x:v>
      </x:c>
      <x:c r="C299" t="str">
        <x:f>IF(ISBLANK(MiniCase_Data!H299),"missing",IF(OR(MiniCase_Data!H299&lt;27,MiniCase_Data!H299&gt;33),"밖","안"))</x:f>
        <x:v>안</x:v>
      </x:c>
      <x:c r="D299" t="n">
        <x:f>IF(ISBLANK(MiniCase_Data!H299),VLOOKUP(A299,센서로그!$A$2:$C$13,3,FALSE),MiniCase_Data!H299)</x:f>
        <x:v>30.02</x:v>
      </x:c>
      <x:c r="E299" t="n">
        <x:f>IF(AND(MiniCase_Data!C299="야간",MiniCase_Data!F299="M03"),1,0)</x:f>
        <x:v>0</x:v>
      </x:c>
      <x:c r="F299" t="n">
        <x:f>IF(C299="밖",1,0)</x:f>
        <x:v>0</x:v>
      </x:c>
      <x:c r="G299" t="n">
        <x:f>IF(OR(F299=1,E299=1),1,0)</x:f>
        <x:v>0</x:v>
      </x:c>
      <x:c r="H299" t="str">
        <x:f>IF(B299=1,IF(F299=1,"TP","FN"),IF(F299=1,"FP","TN"))</x:f>
        <x:v>TN</x:v>
      </x:c>
      <x:c r="I299" t="str">
        <x:f>IF(B299=1,IF(G299=1,"TP","FN"),IF(G299=1,"FP","TN"))</x:f>
        <x:v>TN</x:v>
      </x:c>
    </x:row>
    <x:row r="300">
      <x:c r="A300" t="str">
        <x:f>MiniCase_Data!A300</x:f>
        <x:v>R00299</x:v>
      </x:c>
      <x:c r="B300" t="n">
        <x:f>IF(MiniCase_Data!O300="불합격",1,0)</x:f>
        <x:v>0</x:v>
      </x:c>
      <x:c r="C300" t="str">
        <x:f>IF(ISBLANK(MiniCase_Data!H300),"missing",IF(OR(MiniCase_Data!H300&lt;27,MiniCase_Data!H300&gt;33),"밖","안"))</x:f>
        <x:v>안</x:v>
      </x:c>
      <x:c r="D300" t="n">
        <x:f>IF(ISBLANK(MiniCase_Data!H300),VLOOKUP(A300,센서로그!$A$2:$C$13,3,FALSE),MiniCase_Data!H300)</x:f>
        <x:v>27.39</x:v>
      </x:c>
      <x:c r="E300" t="n">
        <x:f>IF(AND(MiniCase_Data!C300="야간",MiniCase_Data!F300="M03"),1,0)</x:f>
        <x:v>0</x:v>
      </x:c>
      <x:c r="F300" t="n">
        <x:f>IF(C300="밖",1,0)</x:f>
        <x:v>0</x:v>
      </x:c>
      <x:c r="G300" t="n">
        <x:f>IF(OR(F300=1,E300=1),1,0)</x:f>
        <x:v>0</x:v>
      </x:c>
      <x:c r="H300" t="str">
        <x:f>IF(B300=1,IF(F300=1,"TP","FN"),IF(F300=1,"FP","TN"))</x:f>
        <x:v>TN</x:v>
      </x:c>
      <x:c r="I300" t="str">
        <x:f>IF(B300=1,IF(G300=1,"TP","FN"),IF(G300=1,"FP","TN"))</x:f>
        <x:v>TN</x:v>
      </x:c>
    </x:row>
    <x:row r="301">
      <x:c r="A301" t="str">
        <x:f>MiniCase_Data!A301</x:f>
        <x:v>R00300</x:v>
      </x:c>
      <x:c r="B301" t="n">
        <x:f>IF(MiniCase_Data!O301="불합격",1,0)</x:f>
        <x:v>0</x:v>
      </x:c>
      <x:c r="C301" t="str">
        <x:f>IF(ISBLANK(MiniCase_Data!H301),"missing",IF(OR(MiniCase_Data!H301&lt;27,MiniCase_Data!H301&gt;33),"밖","안"))</x:f>
        <x:v>안</x:v>
      </x:c>
      <x:c r="D301" t="n">
        <x:f>IF(ISBLANK(MiniCase_Data!H301),VLOOKUP(A301,센서로그!$A$2:$C$13,3,FALSE),MiniCase_Data!H301)</x:f>
        <x:v>30.99</x:v>
      </x:c>
      <x:c r="E301" t="n">
        <x:f>IF(AND(MiniCase_Data!C301="야간",MiniCase_Data!F301="M03"),1,0)</x:f>
        <x:v>0</x:v>
      </x:c>
      <x:c r="F301" t="n">
        <x:f>IF(C301="밖",1,0)</x:f>
        <x:v>0</x:v>
      </x:c>
      <x:c r="G301" t="n">
        <x:f>IF(OR(F301=1,E301=1),1,0)</x:f>
        <x:v>0</x:v>
      </x:c>
      <x:c r="H301" t="str">
        <x:f>IF(B301=1,IF(F301=1,"TP","FN"),IF(F301=1,"FP","TN"))</x:f>
        <x:v>TN</x:v>
      </x:c>
      <x:c r="I301" t="str">
        <x:f>IF(B301=1,IF(G301=1,"TP","FN"),IF(G301=1,"FP","TN"))</x:f>
        <x:v>TN</x:v>
      </x:c>
    </x:row>
    <x:row r="302">
      <x:c r="A302" t="str">
        <x:f>MiniCase_Data!A302</x:f>
        <x:v>R00301</x:v>
      </x:c>
      <x:c r="B302" t="n">
        <x:f>IF(MiniCase_Data!O302="불합격",1,0)</x:f>
        <x:v>0</x:v>
      </x:c>
      <x:c r="C302" t="str">
        <x:f>IF(ISBLANK(MiniCase_Data!H302),"missing",IF(OR(MiniCase_Data!H302&lt;27,MiniCase_Data!H302&gt;33),"밖","안"))</x:f>
        <x:v>안</x:v>
      </x:c>
      <x:c r="D302" t="n">
        <x:f>IF(ISBLANK(MiniCase_Data!H302),VLOOKUP(A302,센서로그!$A$2:$C$13,3,FALSE),MiniCase_Data!H302)</x:f>
        <x:v>28.5</x:v>
      </x:c>
      <x:c r="E302" t="n">
        <x:f>IF(AND(MiniCase_Data!C302="야간",MiniCase_Data!F302="M03"),1,0)</x:f>
        <x:v>0</x:v>
      </x:c>
      <x:c r="F302" t="n">
        <x:f>IF(C302="밖",1,0)</x:f>
        <x:v>0</x:v>
      </x:c>
      <x:c r="G302" t="n">
        <x:f>IF(OR(F302=1,E302=1),1,0)</x:f>
        <x:v>0</x:v>
      </x:c>
      <x:c r="H302" t="str">
        <x:f>IF(B302=1,IF(F302=1,"TP","FN"),IF(F302=1,"FP","TN"))</x:f>
        <x:v>TN</x:v>
      </x:c>
      <x:c r="I302" t="str">
        <x:f>IF(B302=1,IF(G302=1,"TP","FN"),IF(G302=1,"FP","TN"))</x:f>
        <x:v>TN</x:v>
      </x:c>
    </x:row>
    <x:row r="303">
      <x:c r="A303" t="str">
        <x:f>MiniCase_Data!A303</x:f>
        <x:v>R00302</x:v>
      </x:c>
      <x:c r="B303" t="n">
        <x:f>IF(MiniCase_Data!O303="불합격",1,0)</x:f>
        <x:v>0</x:v>
      </x:c>
      <x:c r="C303" t="str">
        <x:f>IF(ISBLANK(MiniCase_Data!H303),"missing",IF(OR(MiniCase_Data!H303&lt;27,MiniCase_Data!H303&gt;33),"밖","안"))</x:f>
        <x:v>안</x:v>
      </x:c>
      <x:c r="D303" t="n">
        <x:f>IF(ISBLANK(MiniCase_Data!H303),VLOOKUP(A303,센서로그!$A$2:$C$13,3,FALSE),MiniCase_Data!H303)</x:f>
        <x:v>29.1</x:v>
      </x:c>
      <x:c r="E303" t="n">
        <x:f>IF(AND(MiniCase_Data!C303="야간",MiniCase_Data!F303="M03"),1,0)</x:f>
        <x:v>0</x:v>
      </x:c>
      <x:c r="F303" t="n">
        <x:f>IF(C303="밖",1,0)</x:f>
        <x:v>0</x:v>
      </x:c>
      <x:c r="G303" t="n">
        <x:f>IF(OR(F303=1,E303=1),1,0)</x:f>
        <x:v>0</x:v>
      </x:c>
      <x:c r="H303" t="str">
        <x:f>IF(B303=1,IF(F303=1,"TP","FN"),IF(F303=1,"FP","TN"))</x:f>
        <x:v>TN</x:v>
      </x:c>
      <x:c r="I303" t="str">
        <x:f>IF(B303=1,IF(G303=1,"TP","FN"),IF(G303=1,"FP","TN"))</x:f>
        <x:v>TN</x:v>
      </x:c>
    </x:row>
    <x:row r="304">
      <x:c r="A304" t="str">
        <x:f>MiniCase_Data!A304</x:f>
        <x:v>R00303</x:v>
      </x:c>
      <x:c r="B304" t="n">
        <x:f>IF(MiniCase_Data!O304="불합격",1,0)</x:f>
        <x:v>0</x:v>
      </x:c>
      <x:c r="C304" t="str">
        <x:f>IF(ISBLANK(MiniCase_Data!H304),"missing",IF(OR(MiniCase_Data!H304&lt;27,MiniCase_Data!H304&gt;33),"밖","안"))</x:f>
        <x:v>안</x:v>
      </x:c>
      <x:c r="D304" t="n">
        <x:f>IF(ISBLANK(MiniCase_Data!H304),VLOOKUP(A304,센서로그!$A$2:$C$13,3,FALSE),MiniCase_Data!H304)</x:f>
        <x:v>30.59</x:v>
      </x:c>
      <x:c r="E304" t="n">
        <x:f>IF(AND(MiniCase_Data!C304="야간",MiniCase_Data!F304="M03"),1,0)</x:f>
        <x:v>0</x:v>
      </x:c>
      <x:c r="F304" t="n">
        <x:f>IF(C304="밖",1,0)</x:f>
        <x:v>0</x:v>
      </x:c>
      <x:c r="G304" t="n">
        <x:f>IF(OR(F304=1,E304=1),1,0)</x:f>
        <x:v>0</x:v>
      </x:c>
      <x:c r="H304" t="str">
        <x:f>IF(B304=1,IF(F304=1,"TP","FN"),IF(F304=1,"FP","TN"))</x:f>
        <x:v>TN</x:v>
      </x:c>
      <x:c r="I304" t="str">
        <x:f>IF(B304=1,IF(G304=1,"TP","FN"),IF(G304=1,"FP","TN"))</x:f>
        <x:v>TN</x:v>
      </x:c>
    </x:row>
    <x:row r="305">
      <x:c r="A305" t="str">
        <x:f>MiniCase_Data!A305</x:f>
        <x:v>R00304</x:v>
      </x:c>
      <x:c r="B305" t="n">
        <x:f>IF(MiniCase_Data!O305="불합격",1,0)</x:f>
        <x:v>0</x:v>
      </x:c>
      <x:c r="C305" t="str">
        <x:f>IF(ISBLANK(MiniCase_Data!H305),"missing",IF(OR(MiniCase_Data!H305&lt;27,MiniCase_Data!H305&gt;33),"밖","안"))</x:f>
        <x:v>안</x:v>
      </x:c>
      <x:c r="D305" t="n">
        <x:f>IF(ISBLANK(MiniCase_Data!H305),VLOOKUP(A305,센서로그!$A$2:$C$13,3,FALSE),MiniCase_Data!H305)</x:f>
        <x:v>31.25</x:v>
      </x:c>
      <x:c r="E305" t="n">
        <x:f>IF(AND(MiniCase_Data!C305="야간",MiniCase_Data!F305="M03"),1,0)</x:f>
        <x:v>0</x:v>
      </x:c>
      <x:c r="F305" t="n">
        <x:f>IF(C305="밖",1,0)</x:f>
        <x:v>0</x:v>
      </x:c>
      <x:c r="G305" t="n">
        <x:f>IF(OR(F305=1,E305=1),1,0)</x:f>
        <x:v>0</x:v>
      </x:c>
      <x:c r="H305" t="str">
        <x:f>IF(B305=1,IF(F305=1,"TP","FN"),IF(F305=1,"FP","TN"))</x:f>
        <x:v>TN</x:v>
      </x:c>
      <x:c r="I305" t="str">
        <x:f>IF(B305=1,IF(G305=1,"TP","FN"),IF(G305=1,"FP","TN"))</x:f>
        <x:v>TN</x:v>
      </x:c>
    </x:row>
    <x:row r="306">
      <x:c r="A306" t="str">
        <x:f>MiniCase_Data!A306</x:f>
        <x:v>R00305</x:v>
      </x:c>
      <x:c r="B306" t="n">
        <x:f>IF(MiniCase_Data!O306="불합격",1,0)</x:f>
        <x:v>0</x:v>
      </x:c>
      <x:c r="C306" t="str">
        <x:f>IF(ISBLANK(MiniCase_Data!H306),"missing",IF(OR(MiniCase_Data!H306&lt;27,MiniCase_Data!H306&gt;33),"밖","안"))</x:f>
        <x:v>안</x:v>
      </x:c>
      <x:c r="D306" t="n">
        <x:f>IF(ISBLANK(MiniCase_Data!H306),VLOOKUP(A306,센서로그!$A$2:$C$13,3,FALSE),MiniCase_Data!H306)</x:f>
        <x:v>31.23</x:v>
      </x:c>
      <x:c r="E306" t="n">
        <x:f>IF(AND(MiniCase_Data!C306="야간",MiniCase_Data!F306="M03"),1,0)</x:f>
        <x:v>0</x:v>
      </x:c>
      <x:c r="F306" t="n">
        <x:f>IF(C306="밖",1,0)</x:f>
        <x:v>0</x:v>
      </x:c>
      <x:c r="G306" t="n">
        <x:f>IF(OR(F306=1,E306=1),1,0)</x:f>
        <x:v>0</x:v>
      </x:c>
      <x:c r="H306" t="str">
        <x:f>IF(B306=1,IF(F306=1,"TP","FN"),IF(F306=1,"FP","TN"))</x:f>
        <x:v>TN</x:v>
      </x:c>
      <x:c r="I306" t="str">
        <x:f>IF(B306=1,IF(G306=1,"TP","FN"),IF(G306=1,"FP","TN"))</x:f>
        <x:v>TN</x:v>
      </x:c>
    </x:row>
    <x:row r="307">
      <x:c r="A307" t="str">
        <x:f>MiniCase_Data!A307</x:f>
        <x:v>R00306</x:v>
      </x:c>
      <x:c r="B307" t="n">
        <x:f>IF(MiniCase_Data!O307="불합격",1,0)</x:f>
        <x:v>0</x:v>
      </x:c>
      <x:c r="C307" t="str">
        <x:f>IF(ISBLANK(MiniCase_Data!H307),"missing",IF(OR(MiniCase_Data!H307&lt;27,MiniCase_Data!H307&gt;33),"밖","안"))</x:f>
        <x:v>안</x:v>
      </x:c>
      <x:c r="D307" t="n">
        <x:f>IF(ISBLANK(MiniCase_Data!H307),VLOOKUP(A307,센서로그!$A$2:$C$13,3,FALSE),MiniCase_Data!H307)</x:f>
        <x:v>29.79</x:v>
      </x:c>
      <x:c r="E307" t="n">
        <x:f>IF(AND(MiniCase_Data!C307="야간",MiniCase_Data!F307="M03"),1,0)</x:f>
        <x:v>0</x:v>
      </x:c>
      <x:c r="F307" t="n">
        <x:f>IF(C307="밖",1,0)</x:f>
        <x:v>0</x:v>
      </x:c>
      <x:c r="G307" t="n">
        <x:f>IF(OR(F307=1,E307=1),1,0)</x:f>
        <x:v>0</x:v>
      </x:c>
      <x:c r="H307" t="str">
        <x:f>IF(B307=1,IF(F307=1,"TP","FN"),IF(F307=1,"FP","TN"))</x:f>
        <x:v>TN</x:v>
      </x:c>
      <x:c r="I307" t="str">
        <x:f>IF(B307=1,IF(G307=1,"TP","FN"),IF(G307=1,"FP","TN"))</x:f>
        <x:v>TN</x:v>
      </x:c>
    </x:row>
    <x:row r="308">
      <x:c r="A308" t="str">
        <x:f>MiniCase_Data!A308</x:f>
        <x:v>R00307</x:v>
      </x:c>
      <x:c r="B308" t="n">
        <x:f>IF(MiniCase_Data!O308="불합격",1,0)</x:f>
        <x:v>0</x:v>
      </x:c>
      <x:c r="C308" t="str">
        <x:f>IF(ISBLANK(MiniCase_Data!H308),"missing",IF(OR(MiniCase_Data!H308&lt;27,MiniCase_Data!H308&gt;33),"밖","안"))</x:f>
        <x:v>안</x:v>
      </x:c>
      <x:c r="D308" t="n">
        <x:f>IF(ISBLANK(MiniCase_Data!H308),VLOOKUP(A308,센서로그!$A$2:$C$13,3,FALSE),MiniCase_Data!H308)</x:f>
        <x:v>28.03</x:v>
      </x:c>
      <x:c r="E308" t="n">
        <x:f>IF(AND(MiniCase_Data!C308="야간",MiniCase_Data!F308="M03"),1,0)</x:f>
        <x:v>0</x:v>
      </x:c>
      <x:c r="F308" t="n">
        <x:f>IF(C308="밖",1,0)</x:f>
        <x:v>0</x:v>
      </x:c>
      <x:c r="G308" t="n">
        <x:f>IF(OR(F308=1,E308=1),1,0)</x:f>
        <x:v>0</x:v>
      </x:c>
      <x:c r="H308" t="str">
        <x:f>IF(B308=1,IF(F308=1,"TP","FN"),IF(F308=1,"FP","TN"))</x:f>
        <x:v>TN</x:v>
      </x:c>
      <x:c r="I308" t="str">
        <x:f>IF(B308=1,IF(G308=1,"TP","FN"),IF(G308=1,"FP","TN"))</x:f>
        <x:v>TN</x:v>
      </x:c>
    </x:row>
    <x:row r="309">
      <x:c r="A309" t="str">
        <x:f>MiniCase_Data!A309</x:f>
        <x:v>R00308</x:v>
      </x:c>
      <x:c r="B309" t="n">
        <x:f>IF(MiniCase_Data!O309="불합격",1,0)</x:f>
        <x:v>0</x:v>
      </x:c>
      <x:c r="C309" t="str">
        <x:f>IF(ISBLANK(MiniCase_Data!H309),"missing",IF(OR(MiniCase_Data!H309&lt;27,MiniCase_Data!H309&gt;33),"밖","안"))</x:f>
        <x:v>안</x:v>
      </x:c>
      <x:c r="D309" t="n">
        <x:f>IF(ISBLANK(MiniCase_Data!H309),VLOOKUP(A309,센서로그!$A$2:$C$13,3,FALSE),MiniCase_Data!H309)</x:f>
        <x:v>30.41</x:v>
      </x:c>
      <x:c r="E309" t="n">
        <x:f>IF(AND(MiniCase_Data!C309="야간",MiniCase_Data!F309="M03"),1,0)</x:f>
        <x:v>0</x:v>
      </x:c>
      <x:c r="F309" t="n">
        <x:f>IF(C309="밖",1,0)</x:f>
        <x:v>0</x:v>
      </x:c>
      <x:c r="G309" t="n">
        <x:f>IF(OR(F309=1,E309=1),1,0)</x:f>
        <x:v>0</x:v>
      </x:c>
      <x:c r="H309" t="str">
        <x:f>IF(B309=1,IF(F309=1,"TP","FN"),IF(F309=1,"FP","TN"))</x:f>
        <x:v>TN</x:v>
      </x:c>
      <x:c r="I309" t="str">
        <x:f>IF(B309=1,IF(G309=1,"TP","FN"),IF(G309=1,"FP","TN"))</x:f>
        <x:v>TN</x:v>
      </x:c>
    </x:row>
    <x:row r="310">
      <x:c r="A310" t="str">
        <x:f>MiniCase_Data!A310</x:f>
        <x:v>R00309</x:v>
      </x:c>
      <x:c r="B310" t="n">
        <x:f>IF(MiniCase_Data!O310="불합격",1,0)</x:f>
        <x:v>0</x:v>
      </x:c>
      <x:c r="C310" t="str">
        <x:f>IF(ISBLANK(MiniCase_Data!H310),"missing",IF(OR(MiniCase_Data!H310&lt;27,MiniCase_Data!H310&gt;33),"밖","안"))</x:f>
        <x:v>안</x:v>
      </x:c>
      <x:c r="D310" t="n">
        <x:f>IF(ISBLANK(MiniCase_Data!H310),VLOOKUP(A310,센서로그!$A$2:$C$13,3,FALSE),MiniCase_Data!H310)</x:f>
        <x:v>32.59</x:v>
      </x:c>
      <x:c r="E310" t="n">
        <x:f>IF(AND(MiniCase_Data!C310="야간",MiniCase_Data!F310="M03"),1,0)</x:f>
        <x:v>0</x:v>
      </x:c>
      <x:c r="F310" t="n">
        <x:f>IF(C310="밖",1,0)</x:f>
        <x:v>0</x:v>
      </x:c>
      <x:c r="G310" t="n">
        <x:f>IF(OR(F310=1,E310=1),1,0)</x:f>
        <x:v>0</x:v>
      </x:c>
      <x:c r="H310" t="str">
        <x:f>IF(B310=1,IF(F310=1,"TP","FN"),IF(F310=1,"FP","TN"))</x:f>
        <x:v>TN</x:v>
      </x:c>
      <x:c r="I310" t="str">
        <x:f>IF(B310=1,IF(G310=1,"TP","FN"),IF(G310=1,"FP","TN"))</x:f>
        <x:v>TN</x:v>
      </x:c>
    </x:row>
    <x:row r="311">
      <x:c r="A311" t="str">
        <x:f>MiniCase_Data!A311</x:f>
        <x:v>R00310</x:v>
      </x:c>
      <x:c r="B311" t="n">
        <x:f>IF(MiniCase_Data!O311="불합격",1,0)</x:f>
        <x:v>0</x:v>
      </x:c>
      <x:c r="C311" t="str">
        <x:f>IF(ISBLANK(MiniCase_Data!H311),"missing",IF(OR(MiniCase_Data!H311&lt;27,MiniCase_Data!H311&gt;33),"밖","안"))</x:f>
        <x:v>안</x:v>
      </x:c>
      <x:c r="D311" t="n">
        <x:f>IF(ISBLANK(MiniCase_Data!H311),VLOOKUP(A311,센서로그!$A$2:$C$13,3,FALSE),MiniCase_Data!H311)</x:f>
        <x:v>31.17</x:v>
      </x:c>
      <x:c r="E311" t="n">
        <x:f>IF(AND(MiniCase_Data!C311="야간",MiniCase_Data!F311="M03"),1,0)</x:f>
        <x:v>0</x:v>
      </x:c>
      <x:c r="F311" t="n">
        <x:f>IF(C311="밖",1,0)</x:f>
        <x:v>0</x:v>
      </x:c>
      <x:c r="G311" t="n">
        <x:f>IF(OR(F311=1,E311=1),1,0)</x:f>
        <x:v>0</x:v>
      </x:c>
      <x:c r="H311" t="str">
        <x:f>IF(B311=1,IF(F311=1,"TP","FN"),IF(F311=1,"FP","TN"))</x:f>
        <x:v>TN</x:v>
      </x:c>
      <x:c r="I311" t="str">
        <x:f>IF(B311=1,IF(G311=1,"TP","FN"),IF(G311=1,"FP","TN"))</x:f>
        <x:v>TN</x:v>
      </x:c>
    </x:row>
    <x:row r="312">
      <x:c r="A312" t="str">
        <x:f>MiniCase_Data!A312</x:f>
        <x:v>R00311</x:v>
      </x:c>
      <x:c r="B312" t="n">
        <x:f>IF(MiniCase_Data!O312="불합격",1,0)</x:f>
        <x:v>0</x:v>
      </x:c>
      <x:c r="C312" t="str">
        <x:f>IF(ISBLANK(MiniCase_Data!H312),"missing",IF(OR(MiniCase_Data!H312&lt;27,MiniCase_Data!H312&gt;33),"밖","안"))</x:f>
        <x:v>안</x:v>
      </x:c>
      <x:c r="D312" t="n">
        <x:f>IF(ISBLANK(MiniCase_Data!H312),VLOOKUP(A312,센서로그!$A$2:$C$13,3,FALSE),MiniCase_Data!H312)</x:f>
        <x:v>32.49</x:v>
      </x:c>
      <x:c r="E312" t="n">
        <x:f>IF(AND(MiniCase_Data!C312="야간",MiniCase_Data!F312="M03"),1,0)</x:f>
        <x:v>0</x:v>
      </x:c>
      <x:c r="F312" t="n">
        <x:f>IF(C312="밖",1,0)</x:f>
        <x:v>0</x:v>
      </x:c>
      <x:c r="G312" t="n">
        <x:f>IF(OR(F312=1,E312=1),1,0)</x:f>
        <x:v>0</x:v>
      </x:c>
      <x:c r="H312" t="str">
        <x:f>IF(B312=1,IF(F312=1,"TP","FN"),IF(F312=1,"FP","TN"))</x:f>
        <x:v>TN</x:v>
      </x:c>
      <x:c r="I312" t="str">
        <x:f>IF(B312=1,IF(G312=1,"TP","FN"),IF(G312=1,"FP","TN"))</x:f>
        <x:v>TN</x:v>
      </x:c>
    </x:row>
    <x:row r="313">
      <x:c r="A313" t="str">
        <x:f>MiniCase_Data!A313</x:f>
        <x:v>R00312</x:v>
      </x:c>
      <x:c r="B313" t="n">
        <x:f>IF(MiniCase_Data!O313="불합격",1,0)</x:f>
        <x:v>1</x:v>
      </x:c>
      <x:c r="C313" t="str">
        <x:f>IF(ISBLANK(MiniCase_Data!H313),"missing",IF(OR(MiniCase_Data!H313&lt;27,MiniCase_Data!H313&gt;33),"밖","안"))</x:f>
        <x:v>안</x:v>
      </x:c>
      <x:c r="D313" t="n">
        <x:f>IF(ISBLANK(MiniCase_Data!H313),VLOOKUP(A313,센서로그!$A$2:$C$13,3,FALSE),MiniCase_Data!H313)</x:f>
        <x:v>30.84</x:v>
      </x:c>
      <x:c r="E313" t="n">
        <x:f>IF(AND(MiniCase_Data!C313="야간",MiniCase_Data!F313="M03"),1,0)</x:f>
        <x:v>1</x:v>
      </x:c>
      <x:c r="F313" t="n">
        <x:f>IF(C313="밖",1,0)</x:f>
        <x:v>0</x:v>
      </x:c>
      <x:c r="G313" t="n">
        <x:f>IF(OR(F313=1,E313=1),1,0)</x:f>
        <x:v>1</x:v>
      </x:c>
      <x:c r="H313" t="str">
        <x:f>IF(B313=1,IF(F313=1,"TP","FN"),IF(F313=1,"FP","TN"))</x:f>
        <x:v>FN</x:v>
      </x:c>
      <x:c r="I313" t="str">
        <x:f>IF(B313=1,IF(G313=1,"TP","FN"),IF(G313=1,"FP","TN"))</x:f>
        <x:v>TP</x:v>
      </x:c>
    </x:row>
    <x:row r="314">
      <x:c r="A314" t="str">
        <x:f>MiniCase_Data!A314</x:f>
        <x:v>R00313</x:v>
      </x:c>
      <x:c r="B314" t="n">
        <x:f>IF(MiniCase_Data!O314="불합격",1,0)</x:f>
        <x:v>0</x:v>
      </x:c>
      <x:c r="C314" t="str">
        <x:f>IF(ISBLANK(MiniCase_Data!H314),"missing",IF(OR(MiniCase_Data!H314&lt;27,MiniCase_Data!H314&gt;33),"밖","안"))</x:f>
        <x:v>안</x:v>
      </x:c>
      <x:c r="D314" t="n">
        <x:f>IF(ISBLANK(MiniCase_Data!H314),VLOOKUP(A314,센서로그!$A$2:$C$13,3,FALSE),MiniCase_Data!H314)</x:f>
        <x:v>27.52</x:v>
      </x:c>
      <x:c r="E314" t="n">
        <x:f>IF(AND(MiniCase_Data!C314="야간",MiniCase_Data!F314="M03"),1,0)</x:f>
        <x:v>0</x:v>
      </x:c>
      <x:c r="F314" t="n">
        <x:f>IF(C314="밖",1,0)</x:f>
        <x:v>0</x:v>
      </x:c>
      <x:c r="G314" t="n">
        <x:f>IF(OR(F314=1,E314=1),1,0)</x:f>
        <x:v>0</x:v>
      </x:c>
      <x:c r="H314" t="str">
        <x:f>IF(B314=1,IF(F314=1,"TP","FN"),IF(F314=1,"FP","TN"))</x:f>
        <x:v>TN</x:v>
      </x:c>
      <x:c r="I314" t="str">
        <x:f>IF(B314=1,IF(G314=1,"TP","FN"),IF(G314=1,"FP","TN"))</x:f>
        <x:v>TN</x:v>
      </x:c>
    </x:row>
    <x:row r="315">
      <x:c r="A315" t="str">
        <x:f>MiniCase_Data!A315</x:f>
        <x:v>R00314</x:v>
      </x:c>
      <x:c r="B315" t="n">
        <x:f>IF(MiniCase_Data!O315="불합격",1,0)</x:f>
        <x:v>0</x:v>
      </x:c>
      <x:c r="C315" t="str">
        <x:f>IF(ISBLANK(MiniCase_Data!H315),"missing",IF(OR(MiniCase_Data!H315&lt;27,MiniCase_Data!H315&gt;33),"밖","안"))</x:f>
        <x:v>안</x:v>
      </x:c>
      <x:c r="D315" t="n">
        <x:f>IF(ISBLANK(MiniCase_Data!H315),VLOOKUP(A315,센서로그!$A$2:$C$13,3,FALSE),MiniCase_Data!H315)</x:f>
        <x:v>29.26</x:v>
      </x:c>
      <x:c r="E315" t="n">
        <x:f>IF(AND(MiniCase_Data!C315="야간",MiniCase_Data!F315="M03"),1,0)</x:f>
        <x:v>0</x:v>
      </x:c>
      <x:c r="F315" t="n">
        <x:f>IF(C315="밖",1,0)</x:f>
        <x:v>0</x:v>
      </x:c>
      <x:c r="G315" t="n">
        <x:f>IF(OR(F315=1,E315=1),1,0)</x:f>
        <x:v>0</x:v>
      </x:c>
      <x:c r="H315" t="str">
        <x:f>IF(B315=1,IF(F315=1,"TP","FN"),IF(F315=1,"FP","TN"))</x:f>
        <x:v>TN</x:v>
      </x:c>
      <x:c r="I315" t="str">
        <x:f>IF(B315=1,IF(G315=1,"TP","FN"),IF(G315=1,"FP","TN"))</x:f>
        <x:v>TN</x:v>
      </x:c>
    </x:row>
    <x:row r="316">
      <x:c r="A316" t="str">
        <x:f>MiniCase_Data!A316</x:f>
        <x:v>R00315</x:v>
      </x:c>
      <x:c r="B316" t="n">
        <x:f>IF(MiniCase_Data!O316="불합격",1,0)</x:f>
        <x:v>0</x:v>
      </x:c>
      <x:c r="C316" t="str">
        <x:f>IF(ISBLANK(MiniCase_Data!H316),"missing",IF(OR(MiniCase_Data!H316&lt;27,MiniCase_Data!H316&gt;33),"밖","안"))</x:f>
        <x:v>안</x:v>
      </x:c>
      <x:c r="D316" t="n">
        <x:f>IF(ISBLANK(MiniCase_Data!H316),VLOOKUP(A316,센서로그!$A$2:$C$13,3,FALSE),MiniCase_Data!H316)</x:f>
        <x:v>27.73</x:v>
      </x:c>
      <x:c r="E316" t="n">
        <x:f>IF(AND(MiniCase_Data!C316="야간",MiniCase_Data!F316="M03"),1,0)</x:f>
        <x:v>0</x:v>
      </x:c>
      <x:c r="F316" t="n">
        <x:f>IF(C316="밖",1,0)</x:f>
        <x:v>0</x:v>
      </x:c>
      <x:c r="G316" t="n">
        <x:f>IF(OR(F316=1,E316=1),1,0)</x:f>
        <x:v>0</x:v>
      </x:c>
      <x:c r="H316" t="str">
        <x:f>IF(B316=1,IF(F316=1,"TP","FN"),IF(F316=1,"FP","TN"))</x:f>
        <x:v>TN</x:v>
      </x:c>
      <x:c r="I316" t="str">
        <x:f>IF(B316=1,IF(G316=1,"TP","FN"),IF(G316=1,"FP","TN"))</x:f>
        <x:v>TN</x:v>
      </x:c>
    </x:row>
    <x:row r="317">
      <x:c r="A317" t="str">
        <x:f>MiniCase_Data!A317</x:f>
        <x:v>R00316</x:v>
      </x:c>
      <x:c r="B317" t="n">
        <x:f>IF(MiniCase_Data!O317="불합격",1,0)</x:f>
        <x:v>0</x:v>
      </x:c>
      <x:c r="C317" t="str">
        <x:f>IF(ISBLANK(MiniCase_Data!H317),"missing",IF(OR(MiniCase_Data!H317&lt;27,MiniCase_Data!H317&gt;33),"밖","안"))</x:f>
        <x:v>안</x:v>
      </x:c>
      <x:c r="D317" t="n">
        <x:f>IF(ISBLANK(MiniCase_Data!H317),VLOOKUP(A317,센서로그!$A$2:$C$13,3,FALSE),MiniCase_Data!H317)</x:f>
        <x:v>30.7</x:v>
      </x:c>
      <x:c r="E317" t="n">
        <x:f>IF(AND(MiniCase_Data!C317="야간",MiniCase_Data!F317="M03"),1,0)</x:f>
        <x:v>0</x:v>
      </x:c>
      <x:c r="F317" t="n">
        <x:f>IF(C317="밖",1,0)</x:f>
        <x:v>0</x:v>
      </x:c>
      <x:c r="G317" t="n">
        <x:f>IF(OR(F317=1,E317=1),1,0)</x:f>
        <x:v>0</x:v>
      </x:c>
      <x:c r="H317" t="str">
        <x:f>IF(B317=1,IF(F317=1,"TP","FN"),IF(F317=1,"FP","TN"))</x:f>
        <x:v>TN</x:v>
      </x:c>
      <x:c r="I317" t="str">
        <x:f>IF(B317=1,IF(G317=1,"TP","FN"),IF(G317=1,"FP","TN"))</x:f>
        <x:v>TN</x:v>
      </x:c>
    </x:row>
    <x:row r="318">
      <x:c r="A318" t="str">
        <x:f>MiniCase_Data!A318</x:f>
        <x:v>R00317</x:v>
      </x:c>
      <x:c r="B318" t="n">
        <x:f>IF(MiniCase_Data!O318="불합격",1,0)</x:f>
        <x:v>0</x:v>
      </x:c>
      <x:c r="C318" t="str">
        <x:f>IF(ISBLANK(MiniCase_Data!H318),"missing",IF(OR(MiniCase_Data!H318&lt;27,MiniCase_Data!H318&gt;33),"밖","안"))</x:f>
        <x:v>안</x:v>
      </x:c>
      <x:c r="D318" t="n">
        <x:f>IF(ISBLANK(MiniCase_Data!H318),VLOOKUP(A318,센서로그!$A$2:$C$13,3,FALSE),MiniCase_Data!H318)</x:f>
        <x:v>32.5</x:v>
      </x:c>
      <x:c r="E318" t="n">
        <x:f>IF(AND(MiniCase_Data!C318="야간",MiniCase_Data!F318="M03"),1,0)</x:f>
        <x:v>0</x:v>
      </x:c>
      <x:c r="F318" t="n">
        <x:f>IF(C318="밖",1,0)</x:f>
        <x:v>0</x:v>
      </x:c>
      <x:c r="G318" t="n">
        <x:f>IF(OR(F318=1,E318=1),1,0)</x:f>
        <x:v>0</x:v>
      </x:c>
      <x:c r="H318" t="str">
        <x:f>IF(B318=1,IF(F318=1,"TP","FN"),IF(F318=1,"FP","TN"))</x:f>
        <x:v>TN</x:v>
      </x:c>
      <x:c r="I318" t="str">
        <x:f>IF(B318=1,IF(G318=1,"TP","FN"),IF(G318=1,"FP","TN"))</x:f>
        <x:v>TN</x:v>
      </x:c>
    </x:row>
    <x:row r="319">
      <x:c r="A319" t="str">
        <x:f>MiniCase_Data!A319</x:f>
        <x:v>R00318</x:v>
      </x:c>
      <x:c r="B319" t="n">
        <x:f>IF(MiniCase_Data!O319="불합격",1,0)</x:f>
        <x:v>0</x:v>
      </x:c>
      <x:c r="C319" t="str">
        <x:f>IF(ISBLANK(MiniCase_Data!H319),"missing",IF(OR(MiniCase_Data!H319&lt;27,MiniCase_Data!H319&gt;33),"밖","안"))</x:f>
        <x:v>밖</x:v>
      </x:c>
      <x:c r="D319" t="n">
        <x:f>IF(ISBLANK(MiniCase_Data!H319),VLOOKUP(A319,센서로그!$A$2:$C$13,3,FALSE),MiniCase_Data!H319)</x:f>
        <x:v>26.14</x:v>
      </x:c>
      <x:c r="E319" t="n">
        <x:f>IF(AND(MiniCase_Data!C319="야간",MiniCase_Data!F319="M03"),1,0)</x:f>
        <x:v>1</x:v>
      </x:c>
      <x:c r="F319" t="n">
        <x:f>IF(C319="밖",1,0)</x:f>
        <x:v>1</x:v>
      </x:c>
      <x:c r="G319" t="n">
        <x:f>IF(OR(F319=1,E319=1),1,0)</x:f>
        <x:v>1</x:v>
      </x:c>
      <x:c r="H319" t="str">
        <x:f>IF(B319=1,IF(F319=1,"TP","FN"),IF(F319=1,"FP","TN"))</x:f>
        <x:v>FP</x:v>
      </x:c>
      <x:c r="I319" t="str">
        <x:f>IF(B319=1,IF(G319=1,"TP","FN"),IF(G319=1,"FP","TN"))</x:f>
        <x:v>FP</x:v>
      </x:c>
    </x:row>
    <x:row r="320">
      <x:c r="A320" t="str">
        <x:f>MiniCase_Data!A320</x:f>
        <x:v>R00319</x:v>
      </x:c>
      <x:c r="B320" t="n">
        <x:f>IF(MiniCase_Data!O320="불합격",1,0)</x:f>
        <x:v>0</x:v>
      </x:c>
      <x:c r="C320" t="str">
        <x:f>IF(ISBLANK(MiniCase_Data!H320),"missing",IF(OR(MiniCase_Data!H320&lt;27,MiniCase_Data!H320&gt;33),"밖","안"))</x:f>
        <x:v>안</x:v>
      </x:c>
      <x:c r="D320" t="n">
        <x:f>IF(ISBLANK(MiniCase_Data!H320),VLOOKUP(A320,센서로그!$A$2:$C$13,3,FALSE),MiniCase_Data!H320)</x:f>
        <x:v>32.12</x:v>
      </x:c>
      <x:c r="E320" t="n">
        <x:f>IF(AND(MiniCase_Data!C320="야간",MiniCase_Data!F320="M03"),1,0)</x:f>
        <x:v>0</x:v>
      </x:c>
      <x:c r="F320" t="n">
        <x:f>IF(C320="밖",1,0)</x:f>
        <x:v>0</x:v>
      </x:c>
      <x:c r="G320" t="n">
        <x:f>IF(OR(F320=1,E320=1),1,0)</x:f>
        <x:v>0</x:v>
      </x:c>
      <x:c r="H320" t="str">
        <x:f>IF(B320=1,IF(F320=1,"TP","FN"),IF(F320=1,"FP","TN"))</x:f>
        <x:v>TN</x:v>
      </x:c>
      <x:c r="I320" t="str">
        <x:f>IF(B320=1,IF(G320=1,"TP","FN"),IF(G320=1,"FP","TN"))</x:f>
        <x:v>TN</x:v>
      </x:c>
    </x:row>
    <x:row r="321">
      <x:c r="A321" t="str">
        <x:f>MiniCase_Data!A321</x:f>
        <x:v>R00320</x:v>
      </x:c>
      <x:c r="B321" t="n">
        <x:f>IF(MiniCase_Data!O321="불합격",1,0)</x:f>
        <x:v>0</x:v>
      </x:c>
      <x:c r="C321" t="str">
        <x:f>IF(ISBLANK(MiniCase_Data!H321),"missing",IF(OR(MiniCase_Data!H321&lt;27,MiniCase_Data!H321&gt;33),"밖","안"))</x:f>
        <x:v>안</x:v>
      </x:c>
      <x:c r="D321" t="n">
        <x:f>IF(ISBLANK(MiniCase_Data!H321),VLOOKUP(A321,센서로그!$A$2:$C$13,3,FALSE),MiniCase_Data!H321)</x:f>
        <x:v>27.62</x:v>
      </x:c>
      <x:c r="E321" t="n">
        <x:f>IF(AND(MiniCase_Data!C321="야간",MiniCase_Data!F321="M03"),1,0)</x:f>
        <x:v>0</x:v>
      </x:c>
      <x:c r="F321" t="n">
        <x:f>IF(C321="밖",1,0)</x:f>
        <x:v>0</x:v>
      </x:c>
      <x:c r="G321" t="n">
        <x:f>IF(OR(F321=1,E321=1),1,0)</x:f>
        <x:v>0</x:v>
      </x:c>
      <x:c r="H321" t="str">
        <x:f>IF(B321=1,IF(F321=1,"TP","FN"),IF(F321=1,"FP","TN"))</x:f>
        <x:v>TN</x:v>
      </x:c>
      <x:c r="I321" t="str">
        <x:f>IF(B321=1,IF(G321=1,"TP","FN"),IF(G321=1,"FP","TN"))</x:f>
        <x:v>TN</x:v>
      </x:c>
    </x:row>
    <x:row r="322">
      <x:c r="A322" t="str">
        <x:f>MiniCase_Data!A322</x:f>
        <x:v>R00321</x:v>
      </x:c>
      <x:c r="B322" t="n">
        <x:f>IF(MiniCase_Data!O322="불합격",1,0)</x:f>
        <x:v>0</x:v>
      </x:c>
      <x:c r="C322" t="str">
        <x:f>IF(ISBLANK(MiniCase_Data!H322),"missing",IF(OR(MiniCase_Data!H322&lt;27,MiniCase_Data!H322&gt;33),"밖","안"))</x:f>
        <x:v>안</x:v>
      </x:c>
      <x:c r="D322" t="n">
        <x:f>IF(ISBLANK(MiniCase_Data!H322),VLOOKUP(A322,센서로그!$A$2:$C$13,3,FALSE),MiniCase_Data!H322)</x:f>
        <x:v>30.37</x:v>
      </x:c>
      <x:c r="E322" t="n">
        <x:f>IF(AND(MiniCase_Data!C322="야간",MiniCase_Data!F322="M03"),1,0)</x:f>
        <x:v>0</x:v>
      </x:c>
      <x:c r="F322" t="n">
        <x:f>IF(C322="밖",1,0)</x:f>
        <x:v>0</x:v>
      </x:c>
      <x:c r="G322" t="n">
        <x:f>IF(OR(F322=1,E322=1),1,0)</x:f>
        <x:v>0</x:v>
      </x:c>
      <x:c r="H322" t="str">
        <x:f>IF(B322=1,IF(F322=1,"TP","FN"),IF(F322=1,"FP","TN"))</x:f>
        <x:v>TN</x:v>
      </x:c>
      <x:c r="I322" t="str">
        <x:f>IF(B322=1,IF(G322=1,"TP","FN"),IF(G322=1,"FP","TN"))</x:f>
        <x:v>TN</x:v>
      </x:c>
    </x:row>
    <x:row r="323">
      <x:c r="A323" t="str">
        <x:f>MiniCase_Data!A323</x:f>
        <x:v>R00322</x:v>
      </x:c>
      <x:c r="B323" t="n">
        <x:f>IF(MiniCase_Data!O323="불합격",1,0)</x:f>
        <x:v>0</x:v>
      </x:c>
      <x:c r="C323" t="str">
        <x:f>IF(ISBLANK(MiniCase_Data!H323),"missing",IF(OR(MiniCase_Data!H323&lt;27,MiniCase_Data!H323&gt;33),"밖","안"))</x:f>
        <x:v>안</x:v>
      </x:c>
      <x:c r="D323" t="n">
        <x:f>IF(ISBLANK(MiniCase_Data!H323),VLOOKUP(A323,센서로그!$A$2:$C$13,3,FALSE),MiniCase_Data!H323)</x:f>
        <x:v>27.7</x:v>
      </x:c>
      <x:c r="E323" t="n">
        <x:f>IF(AND(MiniCase_Data!C323="야간",MiniCase_Data!F323="M03"),1,0)</x:f>
        <x:v>0</x:v>
      </x:c>
      <x:c r="F323" t="n">
        <x:f>IF(C323="밖",1,0)</x:f>
        <x:v>0</x:v>
      </x:c>
      <x:c r="G323" t="n">
        <x:f>IF(OR(F323=1,E323=1),1,0)</x:f>
        <x:v>0</x:v>
      </x:c>
      <x:c r="H323" t="str">
        <x:f>IF(B323=1,IF(F323=1,"TP","FN"),IF(F323=1,"FP","TN"))</x:f>
        <x:v>TN</x:v>
      </x:c>
      <x:c r="I323" t="str">
        <x:f>IF(B323=1,IF(G323=1,"TP","FN"),IF(G323=1,"FP","TN"))</x:f>
        <x:v>TN</x:v>
      </x:c>
    </x:row>
    <x:row r="324">
      <x:c r="A324" t="str">
        <x:f>MiniCase_Data!A324</x:f>
        <x:v>R00323</x:v>
      </x:c>
      <x:c r="B324" t="n">
        <x:f>IF(MiniCase_Data!O324="불합격",1,0)</x:f>
        <x:v>0</x:v>
      </x:c>
      <x:c r="C324" t="str">
        <x:f>IF(ISBLANK(MiniCase_Data!H324),"missing",IF(OR(MiniCase_Data!H324&lt;27,MiniCase_Data!H324&gt;33),"밖","안"))</x:f>
        <x:v>안</x:v>
      </x:c>
      <x:c r="D324" t="n">
        <x:f>IF(ISBLANK(MiniCase_Data!H324),VLOOKUP(A324,센서로그!$A$2:$C$13,3,FALSE),MiniCase_Data!H324)</x:f>
        <x:v>31.58</x:v>
      </x:c>
      <x:c r="E324" t="n">
        <x:f>IF(AND(MiniCase_Data!C324="야간",MiniCase_Data!F324="M03"),1,0)</x:f>
        <x:v>0</x:v>
      </x:c>
      <x:c r="F324" t="n">
        <x:f>IF(C324="밖",1,0)</x:f>
        <x:v>0</x:v>
      </x:c>
      <x:c r="G324" t="n">
        <x:f>IF(OR(F324=1,E324=1),1,0)</x:f>
        <x:v>0</x:v>
      </x:c>
      <x:c r="H324" t="str">
        <x:f>IF(B324=1,IF(F324=1,"TP","FN"),IF(F324=1,"FP","TN"))</x:f>
        <x:v>TN</x:v>
      </x:c>
      <x:c r="I324" t="str">
        <x:f>IF(B324=1,IF(G324=1,"TP","FN"),IF(G324=1,"FP","TN"))</x:f>
        <x:v>TN</x:v>
      </x:c>
    </x:row>
    <x:row r="325">
      <x:c r="A325" t="str">
        <x:f>MiniCase_Data!A325</x:f>
        <x:v>R00324</x:v>
      </x:c>
      <x:c r="B325" t="n">
        <x:f>IF(MiniCase_Data!O325="불합격",1,0)</x:f>
        <x:v>0</x:v>
      </x:c>
      <x:c r="C325" t="str">
        <x:f>IF(ISBLANK(MiniCase_Data!H325),"missing",IF(OR(MiniCase_Data!H325&lt;27,MiniCase_Data!H325&gt;33),"밖","안"))</x:f>
        <x:v>안</x:v>
      </x:c>
      <x:c r="D325" t="n">
        <x:f>IF(ISBLANK(MiniCase_Data!H325),VLOOKUP(A325,센서로그!$A$2:$C$13,3,FALSE),MiniCase_Data!H325)</x:f>
        <x:v>31.43</x:v>
      </x:c>
      <x:c r="E325" t="n">
        <x:f>IF(AND(MiniCase_Data!C325="야간",MiniCase_Data!F325="M03"),1,0)</x:f>
        <x:v>1</x:v>
      </x:c>
      <x:c r="F325" t="n">
        <x:f>IF(C325="밖",1,0)</x:f>
        <x:v>0</x:v>
      </x:c>
      <x:c r="G325" t="n">
        <x:f>IF(OR(F325=1,E325=1),1,0)</x:f>
        <x:v>1</x:v>
      </x:c>
      <x:c r="H325" t="str">
        <x:f>IF(B325=1,IF(F325=1,"TP","FN"),IF(F325=1,"FP","TN"))</x:f>
        <x:v>TN</x:v>
      </x:c>
      <x:c r="I325" t="str">
        <x:f>IF(B325=1,IF(G325=1,"TP","FN"),IF(G325=1,"FP","TN"))</x:f>
        <x:v>FP</x:v>
      </x:c>
    </x:row>
    <x:row r="326">
      <x:c r="A326" t="str">
        <x:f>MiniCase_Data!A326</x:f>
        <x:v>R00325</x:v>
      </x:c>
      <x:c r="B326" t="n">
        <x:f>IF(MiniCase_Data!O326="불합격",1,0)</x:f>
        <x:v>0</x:v>
      </x:c>
      <x:c r="C326" t="str">
        <x:f>IF(ISBLANK(MiniCase_Data!H326),"missing",IF(OR(MiniCase_Data!H326&lt;27,MiniCase_Data!H326&gt;33),"밖","안"))</x:f>
        <x:v>안</x:v>
      </x:c>
      <x:c r="D326" t="n">
        <x:f>IF(ISBLANK(MiniCase_Data!H326),VLOOKUP(A326,센서로그!$A$2:$C$13,3,FALSE),MiniCase_Data!H326)</x:f>
        <x:v>30.64</x:v>
      </x:c>
      <x:c r="E326" t="n">
        <x:f>IF(AND(MiniCase_Data!C326="야간",MiniCase_Data!F326="M03"),1,0)</x:f>
        <x:v>0</x:v>
      </x:c>
      <x:c r="F326" t="n">
        <x:f>IF(C326="밖",1,0)</x:f>
        <x:v>0</x:v>
      </x:c>
      <x:c r="G326" t="n">
        <x:f>IF(OR(F326=1,E326=1),1,0)</x:f>
        <x:v>0</x:v>
      </x:c>
      <x:c r="H326" t="str">
        <x:f>IF(B326=1,IF(F326=1,"TP","FN"),IF(F326=1,"FP","TN"))</x:f>
        <x:v>TN</x:v>
      </x:c>
      <x:c r="I326" t="str">
        <x:f>IF(B326=1,IF(G326=1,"TP","FN"),IF(G326=1,"FP","TN"))</x:f>
        <x:v>TN</x:v>
      </x:c>
    </x:row>
    <x:row r="327">
      <x:c r="A327" t="str">
        <x:f>MiniCase_Data!A327</x:f>
        <x:v>R00326</x:v>
      </x:c>
      <x:c r="B327" t="n">
        <x:f>IF(MiniCase_Data!O327="불합격",1,0)</x:f>
        <x:v>0</x:v>
      </x:c>
      <x:c r="C327" t="str">
        <x:f>IF(ISBLANK(MiniCase_Data!H327),"missing",IF(OR(MiniCase_Data!H327&lt;27,MiniCase_Data!H327&gt;33),"밖","안"))</x:f>
        <x:v>안</x:v>
      </x:c>
      <x:c r="D327" t="n">
        <x:f>IF(ISBLANK(MiniCase_Data!H327),VLOOKUP(A327,센서로그!$A$2:$C$13,3,FALSE),MiniCase_Data!H327)</x:f>
        <x:v>28.44</x:v>
      </x:c>
      <x:c r="E327" t="n">
        <x:f>IF(AND(MiniCase_Data!C327="야간",MiniCase_Data!F327="M03"),1,0)</x:f>
        <x:v>0</x:v>
      </x:c>
      <x:c r="F327" t="n">
        <x:f>IF(C327="밖",1,0)</x:f>
        <x:v>0</x:v>
      </x:c>
      <x:c r="G327" t="n">
        <x:f>IF(OR(F327=1,E327=1),1,0)</x:f>
        <x:v>0</x:v>
      </x:c>
      <x:c r="H327" t="str">
        <x:f>IF(B327=1,IF(F327=1,"TP","FN"),IF(F327=1,"FP","TN"))</x:f>
        <x:v>TN</x:v>
      </x:c>
      <x:c r="I327" t="str">
        <x:f>IF(B327=1,IF(G327=1,"TP","FN"),IF(G327=1,"FP","TN"))</x:f>
        <x:v>TN</x:v>
      </x:c>
    </x:row>
    <x:row r="328">
      <x:c r="A328" t="str">
        <x:f>MiniCase_Data!A328</x:f>
        <x:v>R00327</x:v>
      </x:c>
      <x:c r="B328" t="n">
        <x:f>IF(MiniCase_Data!O328="불합격",1,0)</x:f>
        <x:v>0</x:v>
      </x:c>
      <x:c r="C328" t="str">
        <x:f>IF(ISBLANK(MiniCase_Data!H328),"missing",IF(OR(MiniCase_Data!H328&lt;27,MiniCase_Data!H328&gt;33),"밖","안"))</x:f>
        <x:v>안</x:v>
      </x:c>
      <x:c r="D328" t="n">
        <x:f>IF(ISBLANK(MiniCase_Data!H328),VLOOKUP(A328,센서로그!$A$2:$C$13,3,FALSE),MiniCase_Data!H328)</x:f>
        <x:v>29.22</x:v>
      </x:c>
      <x:c r="E328" t="n">
        <x:f>IF(AND(MiniCase_Data!C328="야간",MiniCase_Data!F328="M03"),1,0)</x:f>
        <x:v>0</x:v>
      </x:c>
      <x:c r="F328" t="n">
        <x:f>IF(C328="밖",1,0)</x:f>
        <x:v>0</x:v>
      </x:c>
      <x:c r="G328" t="n">
        <x:f>IF(OR(F328=1,E328=1),1,0)</x:f>
        <x:v>0</x:v>
      </x:c>
      <x:c r="H328" t="str">
        <x:f>IF(B328=1,IF(F328=1,"TP","FN"),IF(F328=1,"FP","TN"))</x:f>
        <x:v>TN</x:v>
      </x:c>
      <x:c r="I328" t="str">
        <x:f>IF(B328=1,IF(G328=1,"TP","FN"),IF(G328=1,"FP","TN"))</x:f>
        <x:v>TN</x:v>
      </x:c>
    </x:row>
    <x:row r="329">
      <x:c r="A329" t="str">
        <x:f>MiniCase_Data!A329</x:f>
        <x:v>R00328</x:v>
      </x:c>
      <x:c r="B329" t="n">
        <x:f>IF(MiniCase_Data!O329="불합격",1,0)</x:f>
        <x:v>1</x:v>
      </x:c>
      <x:c r="C329" t="str">
        <x:f>IF(ISBLANK(MiniCase_Data!H329),"missing",IF(OR(MiniCase_Data!H329&lt;27,MiniCase_Data!H329&gt;33),"밖","안"))</x:f>
        <x:v>안</x:v>
      </x:c>
      <x:c r="D329" t="n">
        <x:f>IF(ISBLANK(MiniCase_Data!H329),VLOOKUP(A329,센서로그!$A$2:$C$13,3,FALSE),MiniCase_Data!H329)</x:f>
        <x:v>29.11</x:v>
      </x:c>
      <x:c r="E329" t="n">
        <x:f>IF(AND(MiniCase_Data!C329="야간",MiniCase_Data!F329="M03"),1,0)</x:f>
        <x:v>1</x:v>
      </x:c>
      <x:c r="F329" t="n">
        <x:f>IF(C329="밖",1,0)</x:f>
        <x:v>0</x:v>
      </x:c>
      <x:c r="G329" t="n">
        <x:f>IF(OR(F329=1,E329=1),1,0)</x:f>
        <x:v>1</x:v>
      </x:c>
      <x:c r="H329" t="str">
        <x:f>IF(B329=1,IF(F329=1,"TP","FN"),IF(F329=1,"FP","TN"))</x:f>
        <x:v>FN</x:v>
      </x:c>
      <x:c r="I329" t="str">
        <x:f>IF(B329=1,IF(G329=1,"TP","FN"),IF(G329=1,"FP","TN"))</x:f>
        <x:v>TP</x:v>
      </x:c>
    </x:row>
    <x:row r="330">
      <x:c r="A330" t="str">
        <x:f>MiniCase_Data!A330</x:f>
        <x:v>R00329</x:v>
      </x:c>
      <x:c r="B330" t="n">
        <x:f>IF(MiniCase_Data!O330="불합격",1,0)</x:f>
        <x:v>0</x:v>
      </x:c>
      <x:c r="C330" t="str">
        <x:f>IF(ISBLANK(MiniCase_Data!H330),"missing",IF(OR(MiniCase_Data!H330&lt;27,MiniCase_Data!H330&gt;33),"밖","안"))</x:f>
        <x:v>안</x:v>
      </x:c>
      <x:c r="D330" t="n">
        <x:f>IF(ISBLANK(MiniCase_Data!H330),VLOOKUP(A330,센서로그!$A$2:$C$13,3,FALSE),MiniCase_Data!H330)</x:f>
        <x:v>28.46</x:v>
      </x:c>
      <x:c r="E330" t="n">
        <x:f>IF(AND(MiniCase_Data!C330="야간",MiniCase_Data!F330="M03"),1,0)</x:f>
        <x:v>0</x:v>
      </x:c>
      <x:c r="F330" t="n">
        <x:f>IF(C330="밖",1,0)</x:f>
        <x:v>0</x:v>
      </x:c>
      <x:c r="G330" t="n">
        <x:f>IF(OR(F330=1,E330=1),1,0)</x:f>
        <x:v>0</x:v>
      </x:c>
      <x:c r="H330" t="str">
        <x:f>IF(B330=1,IF(F330=1,"TP","FN"),IF(F330=1,"FP","TN"))</x:f>
        <x:v>TN</x:v>
      </x:c>
      <x:c r="I330" t="str">
        <x:f>IF(B330=1,IF(G330=1,"TP","FN"),IF(G330=1,"FP","TN"))</x:f>
        <x:v>TN</x:v>
      </x:c>
    </x:row>
    <x:row r="331">
      <x:c r="A331" t="str">
        <x:f>MiniCase_Data!A331</x:f>
        <x:v>R00330</x:v>
      </x:c>
      <x:c r="B331" t="n">
        <x:f>IF(MiniCase_Data!O331="불합격",1,0)</x:f>
        <x:v>0</x:v>
      </x:c>
      <x:c r="C331" t="str">
        <x:f>IF(ISBLANK(MiniCase_Data!H331),"missing",IF(OR(MiniCase_Data!H331&lt;27,MiniCase_Data!H331&gt;33),"밖","안"))</x:f>
        <x:v>안</x:v>
      </x:c>
      <x:c r="D331" t="n">
        <x:f>IF(ISBLANK(MiniCase_Data!H331),VLOOKUP(A331,센서로그!$A$2:$C$13,3,FALSE),MiniCase_Data!H331)</x:f>
        <x:v>28.41</x:v>
      </x:c>
      <x:c r="E331" t="n">
        <x:f>IF(AND(MiniCase_Data!C331="야간",MiniCase_Data!F331="M03"),1,0)</x:f>
        <x:v>0</x:v>
      </x:c>
      <x:c r="F331" t="n">
        <x:f>IF(C331="밖",1,0)</x:f>
        <x:v>0</x:v>
      </x:c>
      <x:c r="G331" t="n">
        <x:f>IF(OR(F331=1,E331=1),1,0)</x:f>
        <x:v>0</x:v>
      </x:c>
      <x:c r="H331" t="str">
        <x:f>IF(B331=1,IF(F331=1,"TP","FN"),IF(F331=1,"FP","TN"))</x:f>
        <x:v>TN</x:v>
      </x:c>
      <x:c r="I331" t="str">
        <x:f>IF(B331=1,IF(G331=1,"TP","FN"),IF(G331=1,"FP","TN"))</x:f>
        <x:v>TN</x:v>
      </x:c>
    </x:row>
    <x:row r="332">
      <x:c r="A332" t="str">
        <x:f>MiniCase_Data!A332</x:f>
        <x:v>R00331</x:v>
      </x:c>
      <x:c r="B332" t="n">
        <x:f>IF(MiniCase_Data!O332="불합격",1,0)</x:f>
        <x:v>0</x:v>
      </x:c>
      <x:c r="C332" t="str">
        <x:f>IF(ISBLANK(MiniCase_Data!H332),"missing",IF(OR(MiniCase_Data!H332&lt;27,MiniCase_Data!H332&gt;33),"밖","안"))</x:f>
        <x:v>안</x:v>
      </x:c>
      <x:c r="D332" t="n">
        <x:f>IF(ISBLANK(MiniCase_Data!H332),VLOOKUP(A332,센서로그!$A$2:$C$13,3,FALSE),MiniCase_Data!H332)</x:f>
        <x:v>27.4</x:v>
      </x:c>
      <x:c r="E332" t="n">
        <x:f>IF(AND(MiniCase_Data!C332="야간",MiniCase_Data!F332="M03"),1,0)</x:f>
        <x:v>0</x:v>
      </x:c>
      <x:c r="F332" t="n">
        <x:f>IF(C332="밖",1,0)</x:f>
        <x:v>0</x:v>
      </x:c>
      <x:c r="G332" t="n">
        <x:f>IF(OR(F332=1,E332=1),1,0)</x:f>
        <x:v>0</x:v>
      </x:c>
      <x:c r="H332" t="str">
        <x:f>IF(B332=1,IF(F332=1,"TP","FN"),IF(F332=1,"FP","TN"))</x:f>
        <x:v>TN</x:v>
      </x:c>
      <x:c r="I332" t="str">
        <x:f>IF(B332=1,IF(G332=1,"TP","FN"),IF(G332=1,"FP","TN"))</x:f>
        <x:v>TN</x:v>
      </x:c>
    </x:row>
    <x:row r="333">
      <x:c r="A333" t="str">
        <x:f>MiniCase_Data!A333</x:f>
        <x:v>R00332</x:v>
      </x:c>
      <x:c r="B333" t="n">
        <x:f>IF(MiniCase_Data!O333="불합격",1,0)</x:f>
        <x:v>0</x:v>
      </x:c>
      <x:c r="C333" t="str">
        <x:f>IF(ISBLANK(MiniCase_Data!H333),"missing",IF(OR(MiniCase_Data!H333&lt;27,MiniCase_Data!H333&gt;33),"밖","안"))</x:f>
        <x:v>안</x:v>
      </x:c>
      <x:c r="D333" t="n">
        <x:f>IF(ISBLANK(MiniCase_Data!H333),VLOOKUP(A333,센서로그!$A$2:$C$13,3,FALSE),MiniCase_Data!H333)</x:f>
        <x:v>31.65</x:v>
      </x:c>
      <x:c r="E333" t="n">
        <x:f>IF(AND(MiniCase_Data!C333="야간",MiniCase_Data!F333="M03"),1,0)</x:f>
        <x:v>0</x:v>
      </x:c>
      <x:c r="F333" t="n">
        <x:f>IF(C333="밖",1,0)</x:f>
        <x:v>0</x:v>
      </x:c>
      <x:c r="G333" t="n">
        <x:f>IF(OR(F333=1,E333=1),1,0)</x:f>
        <x:v>0</x:v>
      </x:c>
      <x:c r="H333" t="str">
        <x:f>IF(B333=1,IF(F333=1,"TP","FN"),IF(F333=1,"FP","TN"))</x:f>
        <x:v>TN</x:v>
      </x:c>
      <x:c r="I333" t="str">
        <x:f>IF(B333=1,IF(G333=1,"TP","FN"),IF(G333=1,"FP","TN"))</x:f>
        <x:v>TN</x:v>
      </x:c>
    </x:row>
    <x:row r="334">
      <x:c r="A334" t="str">
        <x:f>MiniCase_Data!A334</x:f>
        <x:v>R00333</x:v>
      </x:c>
      <x:c r="B334" t="n">
        <x:f>IF(MiniCase_Data!O334="불합격",1,0)</x:f>
        <x:v>0</x:v>
      </x:c>
      <x:c r="C334" t="str">
        <x:f>IF(ISBLANK(MiniCase_Data!H334),"missing",IF(OR(MiniCase_Data!H334&lt;27,MiniCase_Data!H334&gt;33),"밖","안"))</x:f>
        <x:v>안</x:v>
      </x:c>
      <x:c r="D334" t="n">
        <x:f>IF(ISBLANK(MiniCase_Data!H334),VLOOKUP(A334,센서로그!$A$2:$C$13,3,FALSE),MiniCase_Data!H334)</x:f>
        <x:v>31.67</x:v>
      </x:c>
      <x:c r="E334" t="n">
        <x:f>IF(AND(MiniCase_Data!C334="야간",MiniCase_Data!F334="M03"),1,0)</x:f>
        <x:v>0</x:v>
      </x:c>
      <x:c r="F334" t="n">
        <x:f>IF(C334="밖",1,0)</x:f>
        <x:v>0</x:v>
      </x:c>
      <x:c r="G334" t="n">
        <x:f>IF(OR(F334=1,E334=1),1,0)</x:f>
        <x:v>0</x:v>
      </x:c>
      <x:c r="H334" t="str">
        <x:f>IF(B334=1,IF(F334=1,"TP","FN"),IF(F334=1,"FP","TN"))</x:f>
        <x:v>TN</x:v>
      </x:c>
      <x:c r="I334" t="str">
        <x:f>IF(B334=1,IF(G334=1,"TP","FN"),IF(G334=1,"FP","TN"))</x:f>
        <x:v>TN</x:v>
      </x:c>
    </x:row>
    <x:row r="335">
      <x:c r="A335" t="str">
        <x:f>MiniCase_Data!A335</x:f>
        <x:v>R00334</x:v>
      </x:c>
      <x:c r="B335" t="n">
        <x:f>IF(MiniCase_Data!O335="불합격",1,0)</x:f>
        <x:v>0</x:v>
      </x:c>
      <x:c r="C335" t="str">
        <x:f>IF(ISBLANK(MiniCase_Data!H335),"missing",IF(OR(MiniCase_Data!H335&lt;27,MiniCase_Data!H335&gt;33),"밖","안"))</x:f>
        <x:v>안</x:v>
      </x:c>
      <x:c r="D335" t="n">
        <x:f>IF(ISBLANK(MiniCase_Data!H335),VLOOKUP(A335,센서로그!$A$2:$C$13,3,FALSE),MiniCase_Data!H335)</x:f>
        <x:v>31.38</x:v>
      </x:c>
      <x:c r="E335" t="n">
        <x:f>IF(AND(MiniCase_Data!C335="야간",MiniCase_Data!F335="M03"),1,0)</x:f>
        <x:v>0</x:v>
      </x:c>
      <x:c r="F335" t="n">
        <x:f>IF(C335="밖",1,0)</x:f>
        <x:v>0</x:v>
      </x:c>
      <x:c r="G335" t="n">
        <x:f>IF(OR(F335=1,E335=1),1,0)</x:f>
        <x:v>0</x:v>
      </x:c>
      <x:c r="H335" t="str">
        <x:f>IF(B335=1,IF(F335=1,"TP","FN"),IF(F335=1,"FP","TN"))</x:f>
        <x:v>TN</x:v>
      </x:c>
      <x:c r="I335" t="str">
        <x:f>IF(B335=1,IF(G335=1,"TP","FN"),IF(G335=1,"FP","TN"))</x:f>
        <x:v>TN</x:v>
      </x:c>
    </x:row>
    <x:row r="336">
      <x:c r="A336" t="str">
        <x:f>MiniCase_Data!A336</x:f>
        <x:v>R00335</x:v>
      </x:c>
      <x:c r="B336" t="n">
        <x:f>IF(MiniCase_Data!O336="불합격",1,0)</x:f>
        <x:v>0</x:v>
      </x:c>
      <x:c r="C336" t="str">
        <x:f>IF(ISBLANK(MiniCase_Data!H336),"missing",IF(OR(MiniCase_Data!H336&lt;27,MiniCase_Data!H336&gt;33),"밖","안"))</x:f>
        <x:v>안</x:v>
      </x:c>
      <x:c r="D336" t="n">
        <x:f>IF(ISBLANK(MiniCase_Data!H336),VLOOKUP(A336,센서로그!$A$2:$C$13,3,FALSE),MiniCase_Data!H336)</x:f>
        <x:v>30.26</x:v>
      </x:c>
      <x:c r="E336" t="n">
        <x:f>IF(AND(MiniCase_Data!C336="야간",MiniCase_Data!F336="M03"),1,0)</x:f>
        <x:v>1</x:v>
      </x:c>
      <x:c r="F336" t="n">
        <x:f>IF(C336="밖",1,0)</x:f>
        <x:v>0</x:v>
      </x:c>
      <x:c r="G336" t="n">
        <x:f>IF(OR(F336=1,E336=1),1,0)</x:f>
        <x:v>1</x:v>
      </x:c>
      <x:c r="H336" t="str">
        <x:f>IF(B336=1,IF(F336=1,"TP","FN"),IF(F336=1,"FP","TN"))</x:f>
        <x:v>TN</x:v>
      </x:c>
      <x:c r="I336" t="str">
        <x:f>IF(B336=1,IF(G336=1,"TP","FN"),IF(G336=1,"FP","TN"))</x:f>
        <x:v>FP</x:v>
      </x:c>
    </x:row>
    <x:row r="337">
      <x:c r="A337" t="str">
        <x:f>MiniCase_Data!A337</x:f>
        <x:v>R00336</x:v>
      </x:c>
      <x:c r="B337" t="n">
        <x:f>IF(MiniCase_Data!O337="불합격",1,0)</x:f>
        <x:v>0</x:v>
      </x:c>
      <x:c r="C337" t="str">
        <x:f>IF(ISBLANK(MiniCase_Data!H337),"missing",IF(OR(MiniCase_Data!H337&lt;27,MiniCase_Data!H337&gt;33),"밖","안"))</x:f>
        <x:v>안</x:v>
      </x:c>
      <x:c r="D337" t="n">
        <x:f>IF(ISBLANK(MiniCase_Data!H337),VLOOKUP(A337,센서로그!$A$2:$C$13,3,FALSE),MiniCase_Data!H337)</x:f>
        <x:v>31.72</x:v>
      </x:c>
      <x:c r="E337" t="n">
        <x:f>IF(AND(MiniCase_Data!C337="야간",MiniCase_Data!F337="M03"),1,0)</x:f>
        <x:v>0</x:v>
      </x:c>
      <x:c r="F337" t="n">
        <x:f>IF(C337="밖",1,0)</x:f>
        <x:v>0</x:v>
      </x:c>
      <x:c r="G337" t="n">
        <x:f>IF(OR(F337=1,E337=1),1,0)</x:f>
        <x:v>0</x:v>
      </x:c>
      <x:c r="H337" t="str">
        <x:f>IF(B337=1,IF(F337=1,"TP","FN"),IF(F337=1,"FP","TN"))</x:f>
        <x:v>TN</x:v>
      </x:c>
      <x:c r="I337" t="str">
        <x:f>IF(B337=1,IF(G337=1,"TP","FN"),IF(G337=1,"FP","TN"))</x:f>
        <x:v>TN</x:v>
      </x:c>
    </x:row>
    <x:row r="338">
      <x:c r="A338" t="str">
        <x:f>MiniCase_Data!A338</x:f>
        <x:v>R00337</x:v>
      </x:c>
      <x:c r="B338" t="n">
        <x:f>IF(MiniCase_Data!O338="불합격",1,0)</x:f>
        <x:v>0</x:v>
      </x:c>
      <x:c r="C338" t="str">
        <x:f>IF(ISBLANK(MiniCase_Data!H338),"missing",IF(OR(MiniCase_Data!H338&lt;27,MiniCase_Data!H338&gt;33),"밖","안"))</x:f>
        <x:v>밖</x:v>
      </x:c>
      <x:c r="D338" t="n">
        <x:f>IF(ISBLANK(MiniCase_Data!H338),VLOOKUP(A338,센서로그!$A$2:$C$13,3,FALSE),MiniCase_Data!H338)</x:f>
        <x:v>33.29</x:v>
      </x:c>
      <x:c r="E338" t="n">
        <x:f>IF(AND(MiniCase_Data!C338="야간",MiniCase_Data!F338="M03"),1,0)</x:f>
        <x:v>1</x:v>
      </x:c>
      <x:c r="F338" t="n">
        <x:f>IF(C338="밖",1,0)</x:f>
        <x:v>1</x:v>
      </x:c>
      <x:c r="G338" t="n">
        <x:f>IF(OR(F338=1,E338=1),1,0)</x:f>
        <x:v>1</x:v>
      </x:c>
      <x:c r="H338" t="str">
        <x:f>IF(B338=1,IF(F338=1,"TP","FN"),IF(F338=1,"FP","TN"))</x:f>
        <x:v>FP</x:v>
      </x:c>
      <x:c r="I338" t="str">
        <x:f>IF(B338=1,IF(G338=1,"TP","FN"),IF(G338=1,"FP","TN"))</x:f>
        <x:v>FP</x:v>
      </x:c>
    </x:row>
    <x:row r="339">
      <x:c r="A339" t="str">
        <x:f>MiniCase_Data!A339</x:f>
        <x:v>R00338</x:v>
      </x:c>
      <x:c r="B339" t="n">
        <x:f>IF(MiniCase_Data!O339="불합격",1,0)</x:f>
        <x:v>0</x:v>
      </x:c>
      <x:c r="C339" t="str">
        <x:f>IF(ISBLANK(MiniCase_Data!H339),"missing",IF(OR(MiniCase_Data!H339&lt;27,MiniCase_Data!H339&gt;33),"밖","안"))</x:f>
        <x:v>안</x:v>
      </x:c>
      <x:c r="D339" t="n">
        <x:f>IF(ISBLANK(MiniCase_Data!H339),VLOOKUP(A339,센서로그!$A$2:$C$13,3,FALSE),MiniCase_Data!H339)</x:f>
        <x:v>32.09</x:v>
      </x:c>
      <x:c r="E339" t="n">
        <x:f>IF(AND(MiniCase_Data!C339="야간",MiniCase_Data!F339="M03"),1,0)</x:f>
        <x:v>0</x:v>
      </x:c>
      <x:c r="F339" t="n">
        <x:f>IF(C339="밖",1,0)</x:f>
        <x:v>0</x:v>
      </x:c>
      <x:c r="G339" t="n">
        <x:f>IF(OR(F339=1,E339=1),1,0)</x:f>
        <x:v>0</x:v>
      </x:c>
      <x:c r="H339" t="str">
        <x:f>IF(B339=1,IF(F339=1,"TP","FN"),IF(F339=1,"FP","TN"))</x:f>
        <x:v>TN</x:v>
      </x:c>
      <x:c r="I339" t="str">
        <x:f>IF(B339=1,IF(G339=1,"TP","FN"),IF(G339=1,"FP","TN"))</x:f>
        <x:v>TN</x:v>
      </x:c>
    </x:row>
    <x:row r="340">
      <x:c r="A340" t="str">
        <x:f>MiniCase_Data!A340</x:f>
        <x:v>R00339</x:v>
      </x:c>
      <x:c r="B340" t="n">
        <x:f>IF(MiniCase_Data!O340="불합격",1,0)</x:f>
        <x:v>0</x:v>
      </x:c>
      <x:c r="C340" t="str">
        <x:f>IF(ISBLANK(MiniCase_Data!H340),"missing",IF(OR(MiniCase_Data!H340&lt;27,MiniCase_Data!H340&gt;33),"밖","안"))</x:f>
        <x:v>안</x:v>
      </x:c>
      <x:c r="D340" t="n">
        <x:f>IF(ISBLANK(MiniCase_Data!H340),VLOOKUP(A340,센서로그!$A$2:$C$13,3,FALSE),MiniCase_Data!H340)</x:f>
        <x:v>31.53</x:v>
      </x:c>
      <x:c r="E340" t="n">
        <x:f>IF(AND(MiniCase_Data!C340="야간",MiniCase_Data!F340="M03"),1,0)</x:f>
        <x:v>0</x:v>
      </x:c>
      <x:c r="F340" t="n">
        <x:f>IF(C340="밖",1,0)</x:f>
        <x:v>0</x:v>
      </x:c>
      <x:c r="G340" t="n">
        <x:f>IF(OR(F340=1,E340=1),1,0)</x:f>
        <x:v>0</x:v>
      </x:c>
      <x:c r="H340" t="str">
        <x:f>IF(B340=1,IF(F340=1,"TP","FN"),IF(F340=1,"FP","TN"))</x:f>
        <x:v>TN</x:v>
      </x:c>
      <x:c r="I340" t="str">
        <x:f>IF(B340=1,IF(G340=1,"TP","FN"),IF(G340=1,"FP","TN"))</x:f>
        <x:v>TN</x:v>
      </x:c>
    </x:row>
    <x:row r="341">
      <x:c r="A341" t="str">
        <x:f>MiniCase_Data!A341</x:f>
        <x:v>R00340</x:v>
      </x:c>
      <x:c r="B341" t="n">
        <x:f>IF(MiniCase_Data!O341="불합격",1,0)</x:f>
        <x:v>0</x:v>
      </x:c>
      <x:c r="C341" t="str">
        <x:f>IF(ISBLANK(MiniCase_Data!H341),"missing",IF(OR(MiniCase_Data!H341&lt;27,MiniCase_Data!H341&gt;33),"밖","안"))</x:f>
        <x:v>안</x:v>
      </x:c>
      <x:c r="D341" t="n">
        <x:f>IF(ISBLANK(MiniCase_Data!H341),VLOOKUP(A341,센서로그!$A$2:$C$13,3,FALSE),MiniCase_Data!H341)</x:f>
        <x:v>27.91</x:v>
      </x:c>
      <x:c r="E341" t="n">
        <x:f>IF(AND(MiniCase_Data!C341="야간",MiniCase_Data!F341="M03"),1,0)</x:f>
        <x:v>0</x:v>
      </x:c>
      <x:c r="F341" t="n">
        <x:f>IF(C341="밖",1,0)</x:f>
        <x:v>0</x:v>
      </x:c>
      <x:c r="G341" t="n">
        <x:f>IF(OR(F341=1,E341=1),1,0)</x:f>
        <x:v>0</x:v>
      </x:c>
      <x:c r="H341" t="str">
        <x:f>IF(B341=1,IF(F341=1,"TP","FN"),IF(F341=1,"FP","TN"))</x:f>
        <x:v>TN</x:v>
      </x:c>
      <x:c r="I341" t="str">
        <x:f>IF(B341=1,IF(G341=1,"TP","FN"),IF(G341=1,"FP","TN"))</x:f>
        <x:v>TN</x:v>
      </x:c>
    </x:row>
    <x:row r="342">
      <x:c r="A342" t="str">
        <x:f>MiniCase_Data!A342</x:f>
        <x:v>R00341</x:v>
      </x:c>
      <x:c r="B342" t="n">
        <x:f>IF(MiniCase_Data!O342="불합격",1,0)</x:f>
        <x:v>0</x:v>
      </x:c>
      <x:c r="C342" t="str">
        <x:f>IF(ISBLANK(MiniCase_Data!H342),"missing",IF(OR(MiniCase_Data!H342&lt;27,MiniCase_Data!H342&gt;33),"밖","안"))</x:f>
        <x:v>안</x:v>
      </x:c>
      <x:c r="D342" t="n">
        <x:f>IF(ISBLANK(MiniCase_Data!H342),VLOOKUP(A342,센서로그!$A$2:$C$13,3,FALSE),MiniCase_Data!H342)</x:f>
        <x:v>32.75</x:v>
      </x:c>
      <x:c r="E342" t="n">
        <x:f>IF(AND(MiniCase_Data!C342="야간",MiniCase_Data!F342="M03"),1,0)</x:f>
        <x:v>0</x:v>
      </x:c>
      <x:c r="F342" t="n">
        <x:f>IF(C342="밖",1,0)</x:f>
        <x:v>0</x:v>
      </x:c>
      <x:c r="G342" t="n">
        <x:f>IF(OR(F342=1,E342=1),1,0)</x:f>
        <x:v>0</x:v>
      </x:c>
      <x:c r="H342" t="str">
        <x:f>IF(B342=1,IF(F342=1,"TP","FN"),IF(F342=1,"FP","TN"))</x:f>
        <x:v>TN</x:v>
      </x:c>
      <x:c r="I342" t="str">
        <x:f>IF(B342=1,IF(G342=1,"TP","FN"),IF(G342=1,"FP","TN"))</x:f>
        <x:v>TN</x:v>
      </x:c>
    </x:row>
    <x:row r="343">
      <x:c r="A343" t="str">
        <x:f>MiniCase_Data!A343</x:f>
        <x:v>R00342</x:v>
      </x:c>
      <x:c r="B343" t="n">
        <x:f>IF(MiniCase_Data!O343="불합격",1,0)</x:f>
        <x:v>0</x:v>
      </x:c>
      <x:c r="C343" t="str">
        <x:f>IF(ISBLANK(MiniCase_Data!H343),"missing",IF(OR(MiniCase_Data!H343&lt;27,MiniCase_Data!H343&gt;33),"밖","안"))</x:f>
        <x:v>안</x:v>
      </x:c>
      <x:c r="D343" t="n">
        <x:f>IF(ISBLANK(MiniCase_Data!H343),VLOOKUP(A343,센서로그!$A$2:$C$13,3,FALSE),MiniCase_Data!H343)</x:f>
        <x:v>29.86</x:v>
      </x:c>
      <x:c r="E343" t="n">
        <x:f>IF(AND(MiniCase_Data!C343="야간",MiniCase_Data!F343="M03"),1,0)</x:f>
        <x:v>0</x:v>
      </x:c>
      <x:c r="F343" t="n">
        <x:f>IF(C343="밖",1,0)</x:f>
        <x:v>0</x:v>
      </x:c>
      <x:c r="G343" t="n">
        <x:f>IF(OR(F343=1,E343=1),1,0)</x:f>
        <x:v>0</x:v>
      </x:c>
      <x:c r="H343" t="str">
        <x:f>IF(B343=1,IF(F343=1,"TP","FN"),IF(F343=1,"FP","TN"))</x:f>
        <x:v>TN</x:v>
      </x:c>
      <x:c r="I343" t="str">
        <x:f>IF(B343=1,IF(G343=1,"TP","FN"),IF(G343=1,"FP","TN"))</x:f>
        <x:v>TN</x:v>
      </x:c>
    </x:row>
    <x:row r="344">
      <x:c r="A344" t="str">
        <x:f>MiniCase_Data!A344</x:f>
        <x:v>R00343</x:v>
      </x:c>
      <x:c r="B344" t="n">
        <x:f>IF(MiniCase_Data!O344="불합격",1,0)</x:f>
        <x:v>0</x:v>
      </x:c>
      <x:c r="C344" t="str">
        <x:f>IF(ISBLANK(MiniCase_Data!H344),"missing",IF(OR(MiniCase_Data!H344&lt;27,MiniCase_Data!H344&gt;33),"밖","안"))</x:f>
        <x:v>안</x:v>
      </x:c>
      <x:c r="D344" t="n">
        <x:f>IF(ISBLANK(MiniCase_Data!H344),VLOOKUP(A344,센서로그!$A$2:$C$13,3,FALSE),MiniCase_Data!H344)</x:f>
        <x:v>28.78</x:v>
      </x:c>
      <x:c r="E344" t="n">
        <x:f>IF(AND(MiniCase_Data!C344="야간",MiniCase_Data!F344="M03"),1,0)</x:f>
        <x:v>0</x:v>
      </x:c>
      <x:c r="F344" t="n">
        <x:f>IF(C344="밖",1,0)</x:f>
        <x:v>0</x:v>
      </x:c>
      <x:c r="G344" t="n">
        <x:f>IF(OR(F344=1,E344=1),1,0)</x:f>
        <x:v>0</x:v>
      </x:c>
      <x:c r="H344" t="str">
        <x:f>IF(B344=1,IF(F344=1,"TP","FN"),IF(F344=1,"FP","TN"))</x:f>
        <x:v>TN</x:v>
      </x:c>
      <x:c r="I344" t="str">
        <x:f>IF(B344=1,IF(G344=1,"TP","FN"),IF(G344=1,"FP","TN"))</x:f>
        <x:v>TN</x:v>
      </x:c>
    </x:row>
    <x:row r="345">
      <x:c r="A345" t="str">
        <x:f>MiniCase_Data!A345</x:f>
        <x:v>R00344</x:v>
      </x:c>
      <x:c r="B345" t="n">
        <x:f>IF(MiniCase_Data!O345="불합격",1,0)</x:f>
        <x:v>0</x:v>
      </x:c>
      <x:c r="C345" t="str">
        <x:f>IF(ISBLANK(MiniCase_Data!H345),"missing",IF(OR(MiniCase_Data!H345&lt;27,MiniCase_Data!H345&gt;33),"밖","안"))</x:f>
        <x:v>안</x:v>
      </x:c>
      <x:c r="D345" t="n">
        <x:f>IF(ISBLANK(MiniCase_Data!H345),VLOOKUP(A345,센서로그!$A$2:$C$13,3,FALSE),MiniCase_Data!H345)</x:f>
        <x:v>28.4</x:v>
      </x:c>
      <x:c r="E345" t="n">
        <x:f>IF(AND(MiniCase_Data!C345="야간",MiniCase_Data!F345="M03"),1,0)</x:f>
        <x:v>0</x:v>
      </x:c>
      <x:c r="F345" t="n">
        <x:f>IF(C345="밖",1,0)</x:f>
        <x:v>0</x:v>
      </x:c>
      <x:c r="G345" t="n">
        <x:f>IF(OR(F345=1,E345=1),1,0)</x:f>
        <x:v>0</x:v>
      </x:c>
      <x:c r="H345" t="str">
        <x:f>IF(B345=1,IF(F345=1,"TP","FN"),IF(F345=1,"FP","TN"))</x:f>
        <x:v>TN</x:v>
      </x:c>
      <x:c r="I345" t="str">
        <x:f>IF(B345=1,IF(G345=1,"TP","FN"),IF(G345=1,"FP","TN"))</x:f>
        <x:v>TN</x:v>
      </x:c>
    </x:row>
    <x:row r="346">
      <x:c r="A346" t="str">
        <x:f>MiniCase_Data!A346</x:f>
        <x:v>R00345</x:v>
      </x:c>
      <x:c r="B346" t="n">
        <x:f>IF(MiniCase_Data!O346="불합격",1,0)</x:f>
        <x:v>0</x:v>
      </x:c>
      <x:c r="C346" t="str">
        <x:f>IF(ISBLANK(MiniCase_Data!H346),"missing",IF(OR(MiniCase_Data!H346&lt;27,MiniCase_Data!H346&gt;33),"밖","안"))</x:f>
        <x:v>안</x:v>
      </x:c>
      <x:c r="D346" t="n">
        <x:f>IF(ISBLANK(MiniCase_Data!H346),VLOOKUP(A346,센서로그!$A$2:$C$13,3,FALSE),MiniCase_Data!H346)</x:f>
        <x:v>31.44</x:v>
      </x:c>
      <x:c r="E346" t="n">
        <x:f>IF(AND(MiniCase_Data!C346="야간",MiniCase_Data!F346="M03"),1,0)</x:f>
        <x:v>0</x:v>
      </x:c>
      <x:c r="F346" t="n">
        <x:f>IF(C346="밖",1,0)</x:f>
        <x:v>0</x:v>
      </x:c>
      <x:c r="G346" t="n">
        <x:f>IF(OR(F346=1,E346=1),1,0)</x:f>
        <x:v>0</x:v>
      </x:c>
      <x:c r="H346" t="str">
        <x:f>IF(B346=1,IF(F346=1,"TP","FN"),IF(F346=1,"FP","TN"))</x:f>
        <x:v>TN</x:v>
      </x:c>
      <x:c r="I346" t="str">
        <x:f>IF(B346=1,IF(G346=1,"TP","FN"),IF(G346=1,"FP","TN"))</x:f>
        <x:v>TN</x:v>
      </x:c>
    </x:row>
    <x:row r="347">
      <x:c r="A347" t="str">
        <x:f>MiniCase_Data!A347</x:f>
        <x:v>R00346</x:v>
      </x:c>
      <x:c r="B347" t="n">
        <x:f>IF(MiniCase_Data!O347="불합격",1,0)</x:f>
        <x:v>0</x:v>
      </x:c>
      <x:c r="C347" t="str">
        <x:f>IF(ISBLANK(MiniCase_Data!H347),"missing",IF(OR(MiniCase_Data!H347&lt;27,MiniCase_Data!H347&gt;33),"밖","안"))</x:f>
        <x:v>안</x:v>
      </x:c>
      <x:c r="D347" t="n">
        <x:f>IF(ISBLANK(MiniCase_Data!H347),VLOOKUP(A347,센서로그!$A$2:$C$13,3,FALSE),MiniCase_Data!H347)</x:f>
        <x:v>32.02</x:v>
      </x:c>
      <x:c r="E347" t="n">
        <x:f>IF(AND(MiniCase_Data!C347="야간",MiniCase_Data!F347="M03"),1,0)</x:f>
        <x:v>0</x:v>
      </x:c>
      <x:c r="F347" t="n">
        <x:f>IF(C347="밖",1,0)</x:f>
        <x:v>0</x:v>
      </x:c>
      <x:c r="G347" t="n">
        <x:f>IF(OR(F347=1,E347=1),1,0)</x:f>
        <x:v>0</x:v>
      </x:c>
      <x:c r="H347" t="str">
        <x:f>IF(B347=1,IF(F347=1,"TP","FN"),IF(F347=1,"FP","TN"))</x:f>
        <x:v>TN</x:v>
      </x:c>
      <x:c r="I347" t="str">
        <x:f>IF(B347=1,IF(G347=1,"TP","FN"),IF(G347=1,"FP","TN"))</x:f>
        <x:v>TN</x:v>
      </x:c>
    </x:row>
    <x:row r="348">
      <x:c r="A348" t="str">
        <x:f>MiniCase_Data!A348</x:f>
        <x:v>R00347</x:v>
      </x:c>
      <x:c r="B348" t="n">
        <x:f>IF(MiniCase_Data!O348="불합격",1,0)</x:f>
        <x:v>0</x:v>
      </x:c>
      <x:c r="C348" t="str">
        <x:f>IF(ISBLANK(MiniCase_Data!H348),"missing",IF(OR(MiniCase_Data!H348&lt;27,MiniCase_Data!H348&gt;33),"밖","안"))</x:f>
        <x:v>안</x:v>
      </x:c>
      <x:c r="D348" t="n">
        <x:f>IF(ISBLANK(MiniCase_Data!H348),VLOOKUP(A348,센서로그!$A$2:$C$13,3,FALSE),MiniCase_Data!H348)</x:f>
        <x:v>31.99</x:v>
      </x:c>
      <x:c r="E348" t="n">
        <x:f>IF(AND(MiniCase_Data!C348="야간",MiniCase_Data!F348="M03"),1,0)</x:f>
        <x:v>0</x:v>
      </x:c>
      <x:c r="F348" t="n">
        <x:f>IF(C348="밖",1,0)</x:f>
        <x:v>0</x:v>
      </x:c>
      <x:c r="G348" t="n">
        <x:f>IF(OR(F348=1,E348=1),1,0)</x:f>
        <x:v>0</x:v>
      </x:c>
      <x:c r="H348" t="str">
        <x:f>IF(B348=1,IF(F348=1,"TP","FN"),IF(F348=1,"FP","TN"))</x:f>
        <x:v>TN</x:v>
      </x:c>
      <x:c r="I348" t="str">
        <x:f>IF(B348=1,IF(G348=1,"TP","FN"),IF(G348=1,"FP","TN"))</x:f>
        <x:v>TN</x:v>
      </x:c>
    </x:row>
    <x:row r="349">
      <x:c r="A349" t="str">
        <x:f>MiniCase_Data!A349</x:f>
        <x:v>R00348</x:v>
      </x:c>
      <x:c r="B349" t="n">
        <x:f>IF(MiniCase_Data!O349="불합격",1,0)</x:f>
        <x:v>0</x:v>
      </x:c>
      <x:c r="C349" t="str">
        <x:f>IF(ISBLANK(MiniCase_Data!H349),"missing",IF(OR(MiniCase_Data!H349&lt;27,MiniCase_Data!H349&gt;33),"밖","안"))</x:f>
        <x:v>안</x:v>
      </x:c>
      <x:c r="D349" t="n">
        <x:f>IF(ISBLANK(MiniCase_Data!H349),VLOOKUP(A349,센서로그!$A$2:$C$13,3,FALSE),MiniCase_Data!H349)</x:f>
        <x:v>28.84</x:v>
      </x:c>
      <x:c r="E349" t="n">
        <x:f>IF(AND(MiniCase_Data!C349="야간",MiniCase_Data!F349="M03"),1,0)</x:f>
        <x:v>0</x:v>
      </x:c>
      <x:c r="F349" t="n">
        <x:f>IF(C349="밖",1,0)</x:f>
        <x:v>0</x:v>
      </x:c>
      <x:c r="G349" t="n">
        <x:f>IF(OR(F349=1,E349=1),1,0)</x:f>
        <x:v>0</x:v>
      </x:c>
      <x:c r="H349" t="str">
        <x:f>IF(B349=1,IF(F349=1,"TP","FN"),IF(F349=1,"FP","TN"))</x:f>
        <x:v>TN</x:v>
      </x:c>
      <x:c r="I349" t="str">
        <x:f>IF(B349=1,IF(G349=1,"TP","FN"),IF(G349=1,"FP","TN"))</x:f>
        <x:v>TN</x:v>
      </x:c>
    </x:row>
    <x:row r="350">
      <x:c r="A350" t="str">
        <x:f>MiniCase_Data!A350</x:f>
        <x:v>R00349</x:v>
      </x:c>
      <x:c r="B350" t="n">
        <x:f>IF(MiniCase_Data!O350="불합격",1,0)</x:f>
        <x:v>0</x:v>
      </x:c>
      <x:c r="C350" t="str">
        <x:f>IF(ISBLANK(MiniCase_Data!H350),"missing",IF(OR(MiniCase_Data!H350&lt;27,MiniCase_Data!H350&gt;33),"밖","안"))</x:f>
        <x:v>missing</x:v>
      </x:c>
      <x:c r="D350" t="n">
        <x:f>IF(ISBLANK(MiniCase_Data!H350),VLOOKUP(A350,센서로그!$A$2:$C$13,3,FALSE),MiniCase_Data!H350)</x:f>
        <x:v>31.76</x:v>
      </x:c>
      <x:c r="E350" t="n">
        <x:f>IF(AND(MiniCase_Data!C350="야간",MiniCase_Data!F350="M03"),1,0)</x:f>
        <x:v>0</x:v>
      </x:c>
      <x:c r="F350" t="n">
        <x:f>IF(C350="밖",1,0)</x:f>
        <x:v>0</x:v>
      </x:c>
      <x:c r="G350" t="n">
        <x:f>IF(OR(F350=1,E350=1),1,0)</x:f>
        <x:v>0</x:v>
      </x:c>
      <x:c r="H350" t="str">
        <x:f>IF(B350=1,IF(F350=1,"TP","FN"),IF(F350=1,"FP","TN"))</x:f>
        <x:v>TN</x:v>
      </x:c>
      <x:c r="I350" t="str">
        <x:f>IF(B350=1,IF(G350=1,"TP","FN"),IF(G350=1,"FP","TN"))</x:f>
        <x:v>TN</x:v>
      </x:c>
    </x:row>
    <x:row r="351">
      <x:c r="A351" t="str">
        <x:f>MiniCase_Data!A351</x:f>
        <x:v>R00350</x:v>
      </x:c>
      <x:c r="B351" t="n">
        <x:f>IF(MiniCase_Data!O351="불합격",1,0)</x:f>
        <x:v>0</x:v>
      </x:c>
      <x:c r="C351" t="str">
        <x:f>IF(ISBLANK(MiniCase_Data!H351),"missing",IF(OR(MiniCase_Data!H351&lt;27,MiniCase_Data!H351&gt;33),"밖","안"))</x:f>
        <x:v>안</x:v>
      </x:c>
      <x:c r="D351" t="n">
        <x:f>IF(ISBLANK(MiniCase_Data!H351),VLOOKUP(A351,센서로그!$A$2:$C$13,3,FALSE),MiniCase_Data!H351)</x:f>
        <x:v>29.84</x:v>
      </x:c>
      <x:c r="E351" t="n">
        <x:f>IF(AND(MiniCase_Data!C351="야간",MiniCase_Data!F351="M03"),1,0)</x:f>
        <x:v>0</x:v>
      </x:c>
      <x:c r="F351" t="n">
        <x:f>IF(C351="밖",1,0)</x:f>
        <x:v>0</x:v>
      </x:c>
      <x:c r="G351" t="n">
        <x:f>IF(OR(F351=1,E351=1),1,0)</x:f>
        <x:v>0</x:v>
      </x:c>
      <x:c r="H351" t="str">
        <x:f>IF(B351=1,IF(F351=1,"TP","FN"),IF(F351=1,"FP","TN"))</x:f>
        <x:v>TN</x:v>
      </x:c>
      <x:c r="I351" t="str">
        <x:f>IF(B351=1,IF(G351=1,"TP","FN"),IF(G351=1,"FP","TN"))</x:f>
        <x:v>TN</x:v>
      </x:c>
    </x:row>
    <x:row r="352">
      <x:c r="A352" t="str">
        <x:f>MiniCase_Data!A352</x:f>
        <x:v>R00351</x:v>
      </x:c>
      <x:c r="B352" t="n">
        <x:f>IF(MiniCase_Data!O352="불합격",1,0)</x:f>
        <x:v>0</x:v>
      </x:c>
      <x:c r="C352" t="str">
        <x:f>IF(ISBLANK(MiniCase_Data!H352),"missing",IF(OR(MiniCase_Data!H352&lt;27,MiniCase_Data!H352&gt;33),"밖","안"))</x:f>
        <x:v>missing</x:v>
      </x:c>
      <x:c r="D352" t="n">
        <x:f>IF(ISBLANK(MiniCase_Data!H352),VLOOKUP(A352,센서로그!$A$2:$C$13,3,FALSE),MiniCase_Data!H352)</x:f>
        <x:v>32.01</x:v>
      </x:c>
      <x:c r="E352" t="n">
        <x:f>IF(AND(MiniCase_Data!C352="야간",MiniCase_Data!F352="M03"),1,0)</x:f>
        <x:v>0</x:v>
      </x:c>
      <x:c r="F352" t="n">
        <x:f>IF(C352="밖",1,0)</x:f>
        <x:v>0</x:v>
      </x:c>
      <x:c r="G352" t="n">
        <x:f>IF(OR(F352=1,E352=1),1,0)</x:f>
        <x:v>0</x:v>
      </x:c>
      <x:c r="H352" t="str">
        <x:f>IF(B352=1,IF(F352=1,"TP","FN"),IF(F352=1,"FP","TN"))</x:f>
        <x:v>TN</x:v>
      </x:c>
      <x:c r="I352" t="str">
        <x:f>IF(B352=1,IF(G352=1,"TP","FN"),IF(G352=1,"FP","TN"))</x:f>
        <x:v>TN</x:v>
      </x:c>
    </x:row>
    <x:row r="353">
      <x:c r="A353" t="str">
        <x:f>MiniCase_Data!A353</x:f>
        <x:v>R00352</x:v>
      </x:c>
      <x:c r="B353" t="n">
        <x:f>IF(MiniCase_Data!O353="불합격",1,0)</x:f>
        <x:v>0</x:v>
      </x:c>
      <x:c r="C353" t="str">
        <x:f>IF(ISBLANK(MiniCase_Data!H353),"missing",IF(OR(MiniCase_Data!H353&lt;27,MiniCase_Data!H353&gt;33),"밖","안"))</x:f>
        <x:v>안</x:v>
      </x:c>
      <x:c r="D353" t="n">
        <x:f>IF(ISBLANK(MiniCase_Data!H353),VLOOKUP(A353,센서로그!$A$2:$C$13,3,FALSE),MiniCase_Data!H353)</x:f>
        <x:v>27.67</x:v>
      </x:c>
      <x:c r="E353" t="n">
        <x:f>IF(AND(MiniCase_Data!C353="야간",MiniCase_Data!F353="M03"),1,0)</x:f>
        <x:v>0</x:v>
      </x:c>
      <x:c r="F353" t="n">
        <x:f>IF(C353="밖",1,0)</x:f>
        <x:v>0</x:v>
      </x:c>
      <x:c r="G353" t="n">
        <x:f>IF(OR(F353=1,E353=1),1,0)</x:f>
        <x:v>0</x:v>
      </x:c>
      <x:c r="H353" t="str">
        <x:f>IF(B353=1,IF(F353=1,"TP","FN"),IF(F353=1,"FP","TN"))</x:f>
        <x:v>TN</x:v>
      </x:c>
      <x:c r="I353" t="str">
        <x:f>IF(B353=1,IF(G353=1,"TP","FN"),IF(G353=1,"FP","TN"))</x:f>
        <x:v>TN</x:v>
      </x:c>
    </x:row>
    <x:row r="354">
      <x:c r="A354" t="str">
        <x:f>MiniCase_Data!A354</x:f>
        <x:v>R00353</x:v>
      </x:c>
      <x:c r="B354" t="n">
        <x:f>IF(MiniCase_Data!O354="불합격",1,0)</x:f>
        <x:v>0</x:v>
      </x:c>
      <x:c r="C354" t="str">
        <x:f>IF(ISBLANK(MiniCase_Data!H354),"missing",IF(OR(MiniCase_Data!H354&lt;27,MiniCase_Data!H354&gt;33),"밖","안"))</x:f>
        <x:v>안</x:v>
      </x:c>
      <x:c r="D354" t="n">
        <x:f>IF(ISBLANK(MiniCase_Data!H354),VLOOKUP(A354,센서로그!$A$2:$C$13,3,FALSE),MiniCase_Data!H354)</x:f>
        <x:v>30.36</x:v>
      </x:c>
      <x:c r="E354" t="n">
        <x:f>IF(AND(MiniCase_Data!C354="야간",MiniCase_Data!F354="M03"),1,0)</x:f>
        <x:v>0</x:v>
      </x:c>
      <x:c r="F354" t="n">
        <x:f>IF(C354="밖",1,0)</x:f>
        <x:v>0</x:v>
      </x:c>
      <x:c r="G354" t="n">
        <x:f>IF(OR(F354=1,E354=1),1,0)</x:f>
        <x:v>0</x:v>
      </x:c>
      <x:c r="H354" t="str">
        <x:f>IF(B354=1,IF(F354=1,"TP","FN"),IF(F354=1,"FP","TN"))</x:f>
        <x:v>TN</x:v>
      </x:c>
      <x:c r="I354" t="str">
        <x:f>IF(B354=1,IF(G354=1,"TP","FN"),IF(G354=1,"FP","TN"))</x:f>
        <x:v>TN</x:v>
      </x:c>
    </x:row>
    <x:row r="355">
      <x:c r="A355" t="str">
        <x:f>MiniCase_Data!A355</x:f>
        <x:v>R00354</x:v>
      </x:c>
      <x:c r="B355" t="n">
        <x:f>IF(MiniCase_Data!O355="불합격",1,0)</x:f>
        <x:v>0</x:v>
      </x:c>
      <x:c r="C355" t="str">
        <x:f>IF(ISBLANK(MiniCase_Data!H355),"missing",IF(OR(MiniCase_Data!H355&lt;27,MiniCase_Data!H355&gt;33),"밖","안"))</x:f>
        <x:v>안</x:v>
      </x:c>
      <x:c r="D355" t="n">
        <x:f>IF(ISBLANK(MiniCase_Data!H355),VLOOKUP(A355,센서로그!$A$2:$C$13,3,FALSE),MiniCase_Data!H355)</x:f>
        <x:v>28.56</x:v>
      </x:c>
      <x:c r="E355" t="n">
        <x:f>IF(AND(MiniCase_Data!C355="야간",MiniCase_Data!F355="M03"),1,0)</x:f>
        <x:v>0</x:v>
      </x:c>
      <x:c r="F355" t="n">
        <x:f>IF(C355="밖",1,0)</x:f>
        <x:v>0</x:v>
      </x:c>
      <x:c r="G355" t="n">
        <x:f>IF(OR(F355=1,E355=1),1,0)</x:f>
        <x:v>0</x:v>
      </x:c>
      <x:c r="H355" t="str">
        <x:f>IF(B355=1,IF(F355=1,"TP","FN"),IF(F355=1,"FP","TN"))</x:f>
        <x:v>TN</x:v>
      </x:c>
      <x:c r="I355" t="str">
        <x:f>IF(B355=1,IF(G355=1,"TP","FN"),IF(G355=1,"FP","TN"))</x:f>
        <x:v>TN</x:v>
      </x:c>
    </x:row>
    <x:row r="356">
      <x:c r="A356" t="str">
        <x:f>MiniCase_Data!A356</x:f>
        <x:v>R00355</x:v>
      </x:c>
      <x:c r="B356" t="n">
        <x:f>IF(MiniCase_Data!O356="불합격",1,0)</x:f>
        <x:v>0</x:v>
      </x:c>
      <x:c r="C356" t="str">
        <x:f>IF(ISBLANK(MiniCase_Data!H356),"missing",IF(OR(MiniCase_Data!H356&lt;27,MiniCase_Data!H356&gt;33),"밖","안"))</x:f>
        <x:v>안</x:v>
      </x:c>
      <x:c r="D356" t="n">
        <x:f>IF(ISBLANK(MiniCase_Data!H356),VLOOKUP(A356,센서로그!$A$2:$C$13,3,FALSE),MiniCase_Data!H356)</x:f>
        <x:v>32.52</x:v>
      </x:c>
      <x:c r="E356" t="n">
        <x:f>IF(AND(MiniCase_Data!C356="야간",MiniCase_Data!F356="M03"),1,0)</x:f>
        <x:v>0</x:v>
      </x:c>
      <x:c r="F356" t="n">
        <x:f>IF(C356="밖",1,0)</x:f>
        <x:v>0</x:v>
      </x:c>
      <x:c r="G356" t="n">
        <x:f>IF(OR(F356=1,E356=1),1,0)</x:f>
        <x:v>0</x:v>
      </x:c>
      <x:c r="H356" t="str">
        <x:f>IF(B356=1,IF(F356=1,"TP","FN"),IF(F356=1,"FP","TN"))</x:f>
        <x:v>TN</x:v>
      </x:c>
      <x:c r="I356" t="str">
        <x:f>IF(B356=1,IF(G356=1,"TP","FN"),IF(G356=1,"FP","TN"))</x:f>
        <x:v>TN</x:v>
      </x:c>
    </x:row>
    <x:row r="357">
      <x:c r="A357" t="str">
        <x:f>MiniCase_Data!A357</x:f>
        <x:v>R00356</x:v>
      </x:c>
      <x:c r="B357" t="n">
        <x:f>IF(MiniCase_Data!O357="불합격",1,0)</x:f>
        <x:v>0</x:v>
      </x:c>
      <x:c r="C357" t="str">
        <x:f>IF(ISBLANK(MiniCase_Data!H357),"missing",IF(OR(MiniCase_Data!H357&lt;27,MiniCase_Data!H357&gt;33),"밖","안"))</x:f>
        <x:v>안</x:v>
      </x:c>
      <x:c r="D357" t="n">
        <x:f>IF(ISBLANK(MiniCase_Data!H357),VLOOKUP(A357,센서로그!$A$2:$C$13,3,FALSE),MiniCase_Data!H357)</x:f>
        <x:v>31.76</x:v>
      </x:c>
      <x:c r="E357" t="n">
        <x:f>IF(AND(MiniCase_Data!C357="야간",MiniCase_Data!F357="M03"),1,0)</x:f>
        <x:v>0</x:v>
      </x:c>
      <x:c r="F357" t="n">
        <x:f>IF(C357="밖",1,0)</x:f>
        <x:v>0</x:v>
      </x:c>
      <x:c r="G357" t="n">
        <x:f>IF(OR(F357=1,E357=1),1,0)</x:f>
        <x:v>0</x:v>
      </x:c>
      <x:c r="H357" t="str">
        <x:f>IF(B357=1,IF(F357=1,"TP","FN"),IF(F357=1,"FP","TN"))</x:f>
        <x:v>TN</x:v>
      </x:c>
      <x:c r="I357" t="str">
        <x:f>IF(B357=1,IF(G357=1,"TP","FN"),IF(G357=1,"FP","TN"))</x:f>
        <x:v>TN</x:v>
      </x:c>
    </x:row>
    <x:row r="358">
      <x:c r="A358" t="str">
        <x:f>MiniCase_Data!A358</x:f>
        <x:v>R00357</x:v>
      </x:c>
      <x:c r="B358" t="n">
        <x:f>IF(MiniCase_Data!O358="불합격",1,0)</x:f>
        <x:v>0</x:v>
      </x:c>
      <x:c r="C358" t="str">
        <x:f>IF(ISBLANK(MiniCase_Data!H358),"missing",IF(OR(MiniCase_Data!H358&lt;27,MiniCase_Data!H358&gt;33),"밖","안"))</x:f>
        <x:v>안</x:v>
      </x:c>
      <x:c r="D358" t="n">
        <x:f>IF(ISBLANK(MiniCase_Data!H358),VLOOKUP(A358,센서로그!$A$2:$C$13,3,FALSE),MiniCase_Data!H358)</x:f>
        <x:v>31.74</x:v>
      </x:c>
      <x:c r="E358" t="n">
        <x:f>IF(AND(MiniCase_Data!C358="야간",MiniCase_Data!F358="M03"),1,0)</x:f>
        <x:v>0</x:v>
      </x:c>
      <x:c r="F358" t="n">
        <x:f>IF(C358="밖",1,0)</x:f>
        <x:v>0</x:v>
      </x:c>
      <x:c r="G358" t="n">
        <x:f>IF(OR(F358=1,E358=1),1,0)</x:f>
        <x:v>0</x:v>
      </x:c>
      <x:c r="H358" t="str">
        <x:f>IF(B358=1,IF(F358=1,"TP","FN"),IF(F358=1,"FP","TN"))</x:f>
        <x:v>TN</x:v>
      </x:c>
      <x:c r="I358" t="str">
        <x:f>IF(B358=1,IF(G358=1,"TP","FN"),IF(G358=1,"FP","TN"))</x:f>
        <x:v>TN</x:v>
      </x:c>
    </x:row>
    <x:row r="359">
      <x:c r="A359" t="str">
        <x:f>MiniCase_Data!A359</x:f>
        <x:v>R00358</x:v>
      </x:c>
      <x:c r="B359" t="n">
        <x:f>IF(MiniCase_Data!O359="불합격",1,0)</x:f>
        <x:v>0</x:v>
      </x:c>
      <x:c r="C359" t="str">
        <x:f>IF(ISBLANK(MiniCase_Data!H359),"missing",IF(OR(MiniCase_Data!H359&lt;27,MiniCase_Data!H359&gt;33),"밖","안"))</x:f>
        <x:v>안</x:v>
      </x:c>
      <x:c r="D359" t="n">
        <x:f>IF(ISBLANK(MiniCase_Data!H359),VLOOKUP(A359,센서로그!$A$2:$C$13,3,FALSE),MiniCase_Data!H359)</x:f>
        <x:v>29.63</x:v>
      </x:c>
      <x:c r="E359" t="n">
        <x:f>IF(AND(MiniCase_Data!C359="야간",MiniCase_Data!F359="M03"),1,0)</x:f>
        <x:v>0</x:v>
      </x:c>
      <x:c r="F359" t="n">
        <x:f>IF(C359="밖",1,0)</x:f>
        <x:v>0</x:v>
      </x:c>
      <x:c r="G359" t="n">
        <x:f>IF(OR(F359=1,E359=1),1,0)</x:f>
        <x:v>0</x:v>
      </x:c>
      <x:c r="H359" t="str">
        <x:f>IF(B359=1,IF(F359=1,"TP","FN"),IF(F359=1,"FP","TN"))</x:f>
        <x:v>TN</x:v>
      </x:c>
      <x:c r="I359" t="str">
        <x:f>IF(B359=1,IF(G359=1,"TP","FN"),IF(G359=1,"FP","TN"))</x:f>
        <x:v>TN</x:v>
      </x:c>
    </x:row>
    <x:row r="360">
      <x:c r="A360" t="str">
        <x:f>MiniCase_Data!A360</x:f>
        <x:v>R00359</x:v>
      </x:c>
      <x:c r="B360" t="n">
        <x:f>IF(MiniCase_Data!O360="불합격",1,0)</x:f>
        <x:v>0</x:v>
      </x:c>
      <x:c r="C360" t="str">
        <x:f>IF(ISBLANK(MiniCase_Data!H360),"missing",IF(OR(MiniCase_Data!H360&lt;27,MiniCase_Data!H360&gt;33),"밖","안"))</x:f>
        <x:v>안</x:v>
      </x:c>
      <x:c r="D360" t="n">
        <x:f>IF(ISBLANK(MiniCase_Data!H360),VLOOKUP(A360,센서로그!$A$2:$C$13,3,FALSE),MiniCase_Data!H360)</x:f>
        <x:v>31.96</x:v>
      </x:c>
      <x:c r="E360" t="n">
        <x:f>IF(AND(MiniCase_Data!C360="야간",MiniCase_Data!F360="M03"),1,0)</x:f>
        <x:v>0</x:v>
      </x:c>
      <x:c r="F360" t="n">
        <x:f>IF(C360="밖",1,0)</x:f>
        <x:v>0</x:v>
      </x:c>
      <x:c r="G360" t="n">
        <x:f>IF(OR(F360=1,E360=1),1,0)</x:f>
        <x:v>0</x:v>
      </x:c>
      <x:c r="H360" t="str">
        <x:f>IF(B360=1,IF(F360=1,"TP","FN"),IF(F360=1,"FP","TN"))</x:f>
        <x:v>TN</x:v>
      </x:c>
      <x:c r="I360" t="str">
        <x:f>IF(B360=1,IF(G360=1,"TP","FN"),IF(G360=1,"FP","TN"))</x:f>
        <x:v>TN</x:v>
      </x:c>
    </x:row>
    <x:row r="361">
      <x:c r="A361" t="str">
        <x:f>MiniCase_Data!A361</x:f>
        <x:v>R00360</x:v>
      </x:c>
      <x:c r="B361" t="n">
        <x:f>IF(MiniCase_Data!O361="불합격",1,0)</x:f>
        <x:v>0</x:v>
      </x:c>
      <x:c r="C361" t="str">
        <x:f>IF(ISBLANK(MiniCase_Data!H361),"missing",IF(OR(MiniCase_Data!H361&lt;27,MiniCase_Data!H361&gt;33),"밖","안"))</x:f>
        <x:v>안</x:v>
      </x:c>
      <x:c r="D361" t="n">
        <x:f>IF(ISBLANK(MiniCase_Data!H361),VLOOKUP(A361,센서로그!$A$2:$C$13,3,FALSE),MiniCase_Data!H361)</x:f>
        <x:v>32.18</x:v>
      </x:c>
      <x:c r="E361" t="n">
        <x:f>IF(AND(MiniCase_Data!C361="야간",MiniCase_Data!F361="M03"),1,0)</x:f>
        <x:v>0</x:v>
      </x:c>
      <x:c r="F361" t="n">
        <x:f>IF(C361="밖",1,0)</x:f>
        <x:v>0</x:v>
      </x:c>
      <x:c r="G361" t="n">
        <x:f>IF(OR(F361=1,E361=1),1,0)</x:f>
        <x:v>0</x:v>
      </x:c>
      <x:c r="H361" t="str">
        <x:f>IF(B361=1,IF(F361=1,"TP","FN"),IF(F361=1,"FP","TN"))</x:f>
        <x:v>TN</x:v>
      </x:c>
      <x:c r="I361" t="str">
        <x:f>IF(B361=1,IF(G361=1,"TP","FN"),IF(G361=1,"FP","TN"))</x:f>
        <x:v>TN</x:v>
      </x:c>
    </x:row>
    <x:row r="362">
      <x:c r="A362" t="str">
        <x:f>MiniCase_Data!A362</x:f>
        <x:v>R00361</x:v>
      </x:c>
      <x:c r="B362" t="n">
        <x:f>IF(MiniCase_Data!O362="불합격",1,0)</x:f>
        <x:v>0</x:v>
      </x:c>
      <x:c r="C362" t="str">
        <x:f>IF(ISBLANK(MiniCase_Data!H362),"missing",IF(OR(MiniCase_Data!H362&lt;27,MiniCase_Data!H362&gt;33),"밖","안"))</x:f>
        <x:v>안</x:v>
      </x:c>
      <x:c r="D362" t="n">
        <x:f>IF(ISBLANK(MiniCase_Data!H362),VLOOKUP(A362,센서로그!$A$2:$C$13,3,FALSE),MiniCase_Data!H362)</x:f>
        <x:v>29.75</x:v>
      </x:c>
      <x:c r="E362" t="n">
        <x:f>IF(AND(MiniCase_Data!C362="야간",MiniCase_Data!F362="M03"),1,0)</x:f>
        <x:v>0</x:v>
      </x:c>
      <x:c r="F362" t="n">
        <x:f>IF(C362="밖",1,0)</x:f>
        <x:v>0</x:v>
      </x:c>
      <x:c r="G362" t="n">
        <x:f>IF(OR(F362=1,E362=1),1,0)</x:f>
        <x:v>0</x:v>
      </x:c>
      <x:c r="H362" t="str">
        <x:f>IF(B362=1,IF(F362=1,"TP","FN"),IF(F362=1,"FP","TN"))</x:f>
        <x:v>TN</x:v>
      </x:c>
      <x:c r="I362" t="str">
        <x:f>IF(B362=1,IF(G362=1,"TP","FN"),IF(G362=1,"FP","TN"))</x:f>
        <x:v>TN</x:v>
      </x:c>
    </x:row>
    <x:row r="363">
      <x:c r="A363" t="str">
        <x:f>MiniCase_Data!A363</x:f>
        <x:v>R00362</x:v>
      </x:c>
      <x:c r="B363" t="n">
        <x:f>IF(MiniCase_Data!O363="불합격",1,0)</x:f>
        <x:v>0</x:v>
      </x:c>
      <x:c r="C363" t="str">
        <x:f>IF(ISBLANK(MiniCase_Data!H363),"missing",IF(OR(MiniCase_Data!H363&lt;27,MiniCase_Data!H363&gt;33),"밖","안"))</x:f>
        <x:v>안</x:v>
      </x:c>
      <x:c r="D363" t="n">
        <x:f>IF(ISBLANK(MiniCase_Data!H363),VLOOKUP(A363,센서로그!$A$2:$C$13,3,FALSE),MiniCase_Data!H363)</x:f>
        <x:v>28.41</x:v>
      </x:c>
      <x:c r="E363" t="n">
        <x:f>IF(AND(MiniCase_Data!C363="야간",MiniCase_Data!F363="M03"),1,0)</x:f>
        <x:v>0</x:v>
      </x:c>
      <x:c r="F363" t="n">
        <x:f>IF(C363="밖",1,0)</x:f>
        <x:v>0</x:v>
      </x:c>
      <x:c r="G363" t="n">
        <x:f>IF(OR(F363=1,E363=1),1,0)</x:f>
        <x:v>0</x:v>
      </x:c>
      <x:c r="H363" t="str">
        <x:f>IF(B363=1,IF(F363=1,"TP","FN"),IF(F363=1,"FP","TN"))</x:f>
        <x:v>TN</x:v>
      </x:c>
      <x:c r="I363" t="str">
        <x:f>IF(B363=1,IF(G363=1,"TP","FN"),IF(G363=1,"FP","TN"))</x:f>
        <x:v>TN</x:v>
      </x:c>
    </x:row>
    <x:row r="364">
      <x:c r="A364" t="str">
        <x:f>MiniCase_Data!A364</x:f>
        <x:v>R00363</x:v>
      </x:c>
      <x:c r="B364" t="n">
        <x:f>IF(MiniCase_Data!O364="불합격",1,0)</x:f>
        <x:v>0</x:v>
      </x:c>
      <x:c r="C364" t="str">
        <x:f>IF(ISBLANK(MiniCase_Data!H364),"missing",IF(OR(MiniCase_Data!H364&lt;27,MiniCase_Data!H364&gt;33),"밖","안"))</x:f>
        <x:v>안</x:v>
      </x:c>
      <x:c r="D364" t="n">
        <x:f>IF(ISBLANK(MiniCase_Data!H364),VLOOKUP(A364,센서로그!$A$2:$C$13,3,FALSE),MiniCase_Data!H364)</x:f>
        <x:v>27.78</x:v>
      </x:c>
      <x:c r="E364" t="n">
        <x:f>IF(AND(MiniCase_Data!C364="야간",MiniCase_Data!F364="M03"),1,0)</x:f>
        <x:v>0</x:v>
      </x:c>
      <x:c r="F364" t="n">
        <x:f>IF(C364="밖",1,0)</x:f>
        <x:v>0</x:v>
      </x:c>
      <x:c r="G364" t="n">
        <x:f>IF(OR(F364=1,E364=1),1,0)</x:f>
        <x:v>0</x:v>
      </x:c>
      <x:c r="H364" t="str">
        <x:f>IF(B364=1,IF(F364=1,"TP","FN"),IF(F364=1,"FP","TN"))</x:f>
        <x:v>TN</x:v>
      </x:c>
      <x:c r="I364" t="str">
        <x:f>IF(B364=1,IF(G364=1,"TP","FN"),IF(G364=1,"FP","TN"))</x:f>
        <x:v>TN</x:v>
      </x:c>
    </x:row>
    <x:row r="365">
      <x:c r="A365" t="str">
        <x:f>MiniCase_Data!A365</x:f>
        <x:v>R00364</x:v>
      </x:c>
      <x:c r="B365" t="n">
        <x:f>IF(MiniCase_Data!O365="불합격",1,0)</x:f>
        <x:v>0</x:v>
      </x:c>
      <x:c r="C365" t="str">
        <x:f>IF(ISBLANK(MiniCase_Data!H365),"missing",IF(OR(MiniCase_Data!H365&lt;27,MiniCase_Data!H365&gt;33),"밖","안"))</x:f>
        <x:v>안</x:v>
      </x:c>
      <x:c r="D365" t="n">
        <x:f>IF(ISBLANK(MiniCase_Data!H365),VLOOKUP(A365,센서로그!$A$2:$C$13,3,FALSE),MiniCase_Data!H365)</x:f>
        <x:v>27.94</x:v>
      </x:c>
      <x:c r="E365" t="n">
        <x:f>IF(AND(MiniCase_Data!C365="야간",MiniCase_Data!F365="M03"),1,0)</x:f>
        <x:v>0</x:v>
      </x:c>
      <x:c r="F365" t="n">
        <x:f>IF(C365="밖",1,0)</x:f>
        <x:v>0</x:v>
      </x:c>
      <x:c r="G365" t="n">
        <x:f>IF(OR(F365=1,E365=1),1,0)</x:f>
        <x:v>0</x:v>
      </x:c>
      <x:c r="H365" t="str">
        <x:f>IF(B365=1,IF(F365=1,"TP","FN"),IF(F365=1,"FP","TN"))</x:f>
        <x:v>TN</x:v>
      </x:c>
      <x:c r="I365" t="str">
        <x:f>IF(B365=1,IF(G365=1,"TP","FN"),IF(G365=1,"FP","TN"))</x:f>
        <x:v>TN</x:v>
      </x:c>
    </x:row>
    <x:row r="366">
      <x:c r="A366" t="str">
        <x:f>MiniCase_Data!A366</x:f>
        <x:v>R00365</x:v>
      </x:c>
      <x:c r="B366" t="n">
        <x:f>IF(MiniCase_Data!O366="불합격",1,0)</x:f>
        <x:v>0</x:v>
      </x:c>
      <x:c r="C366" t="str">
        <x:f>IF(ISBLANK(MiniCase_Data!H366),"missing",IF(OR(MiniCase_Data!H366&lt;27,MiniCase_Data!H366&gt;33),"밖","안"))</x:f>
        <x:v>밖</x:v>
      </x:c>
      <x:c r="D366" t="n">
        <x:f>IF(ISBLANK(MiniCase_Data!H366),VLOOKUP(A366,센서로그!$A$2:$C$13,3,FALSE),MiniCase_Data!H366)</x:f>
        <x:v>33.25</x:v>
      </x:c>
      <x:c r="E366" t="n">
        <x:f>IF(AND(MiniCase_Data!C366="야간",MiniCase_Data!F366="M03"),1,0)</x:f>
        <x:v>1</x:v>
      </x:c>
      <x:c r="F366" t="n">
        <x:f>IF(C366="밖",1,0)</x:f>
        <x:v>1</x:v>
      </x:c>
      <x:c r="G366" t="n">
        <x:f>IF(OR(F366=1,E366=1),1,0)</x:f>
        <x:v>1</x:v>
      </x:c>
      <x:c r="H366" t="str">
        <x:f>IF(B366=1,IF(F366=1,"TP","FN"),IF(F366=1,"FP","TN"))</x:f>
        <x:v>FP</x:v>
      </x:c>
      <x:c r="I366" t="str">
        <x:f>IF(B366=1,IF(G366=1,"TP","FN"),IF(G366=1,"FP","TN"))</x:f>
        <x:v>FP</x:v>
      </x:c>
    </x:row>
    <x:row r="367">
      <x:c r="A367" t="str">
        <x:f>MiniCase_Data!A367</x:f>
        <x:v>R00366</x:v>
      </x:c>
      <x:c r="B367" t="n">
        <x:f>IF(MiniCase_Data!O367="불합격",1,0)</x:f>
        <x:v>0</x:v>
      </x:c>
      <x:c r="C367" t="str">
        <x:f>IF(ISBLANK(MiniCase_Data!H367),"missing",IF(OR(MiniCase_Data!H367&lt;27,MiniCase_Data!H367&gt;33),"밖","안"))</x:f>
        <x:v>안</x:v>
      </x:c>
      <x:c r="D367" t="n">
        <x:f>IF(ISBLANK(MiniCase_Data!H367),VLOOKUP(A367,센서로그!$A$2:$C$13,3,FALSE),MiniCase_Data!H367)</x:f>
        <x:v>30.28</x:v>
      </x:c>
      <x:c r="E367" t="n">
        <x:f>IF(AND(MiniCase_Data!C367="야간",MiniCase_Data!F367="M03"),1,0)</x:f>
        <x:v>0</x:v>
      </x:c>
      <x:c r="F367" t="n">
        <x:f>IF(C367="밖",1,0)</x:f>
        <x:v>0</x:v>
      </x:c>
      <x:c r="G367" t="n">
        <x:f>IF(OR(F367=1,E367=1),1,0)</x:f>
        <x:v>0</x:v>
      </x:c>
      <x:c r="H367" t="str">
        <x:f>IF(B367=1,IF(F367=1,"TP","FN"),IF(F367=1,"FP","TN"))</x:f>
        <x:v>TN</x:v>
      </x:c>
      <x:c r="I367" t="str">
        <x:f>IF(B367=1,IF(G367=1,"TP","FN"),IF(G367=1,"FP","TN"))</x:f>
        <x:v>TN</x:v>
      </x:c>
    </x:row>
    <x:row r="368">
      <x:c r="A368" t="str">
        <x:f>MiniCase_Data!A368</x:f>
        <x:v>R00367</x:v>
      </x:c>
      <x:c r="B368" t="n">
        <x:f>IF(MiniCase_Data!O368="불합격",1,0)</x:f>
        <x:v>0</x:v>
      </x:c>
      <x:c r="C368" t="str">
        <x:f>IF(ISBLANK(MiniCase_Data!H368),"missing",IF(OR(MiniCase_Data!H368&lt;27,MiniCase_Data!H368&gt;33),"밖","안"))</x:f>
        <x:v>안</x:v>
      </x:c>
      <x:c r="D368" t="n">
        <x:f>IF(ISBLANK(MiniCase_Data!H368),VLOOKUP(A368,센서로그!$A$2:$C$13,3,FALSE),MiniCase_Data!H368)</x:f>
        <x:v>31.09</x:v>
      </x:c>
      <x:c r="E368" t="n">
        <x:f>IF(AND(MiniCase_Data!C368="야간",MiniCase_Data!F368="M03"),1,0)</x:f>
        <x:v>0</x:v>
      </x:c>
      <x:c r="F368" t="n">
        <x:f>IF(C368="밖",1,0)</x:f>
        <x:v>0</x:v>
      </x:c>
      <x:c r="G368" t="n">
        <x:f>IF(OR(F368=1,E368=1),1,0)</x:f>
        <x:v>0</x:v>
      </x:c>
      <x:c r="H368" t="str">
        <x:f>IF(B368=1,IF(F368=1,"TP","FN"),IF(F368=1,"FP","TN"))</x:f>
        <x:v>TN</x:v>
      </x:c>
      <x:c r="I368" t="str">
        <x:f>IF(B368=1,IF(G368=1,"TP","FN"),IF(G368=1,"FP","TN"))</x:f>
        <x:v>TN</x:v>
      </x:c>
    </x:row>
    <x:row r="369">
      <x:c r="A369" t="str">
        <x:f>MiniCase_Data!A369</x:f>
        <x:v>R00368</x:v>
      </x:c>
      <x:c r="B369" t="n">
        <x:f>IF(MiniCase_Data!O369="불합격",1,0)</x:f>
        <x:v>0</x:v>
      </x:c>
      <x:c r="C369" t="str">
        <x:f>IF(ISBLANK(MiniCase_Data!H369),"missing",IF(OR(MiniCase_Data!H369&lt;27,MiniCase_Data!H369&gt;33),"밖","안"))</x:f>
        <x:v>안</x:v>
      </x:c>
      <x:c r="D369" t="n">
        <x:f>IF(ISBLANK(MiniCase_Data!H369),VLOOKUP(A369,센서로그!$A$2:$C$13,3,FALSE),MiniCase_Data!H369)</x:f>
        <x:v>28.24</x:v>
      </x:c>
      <x:c r="E369" t="n">
        <x:f>IF(AND(MiniCase_Data!C369="야간",MiniCase_Data!F369="M03"),1,0)</x:f>
        <x:v>0</x:v>
      </x:c>
      <x:c r="F369" t="n">
        <x:f>IF(C369="밖",1,0)</x:f>
        <x:v>0</x:v>
      </x:c>
      <x:c r="G369" t="n">
        <x:f>IF(OR(F369=1,E369=1),1,0)</x:f>
        <x:v>0</x:v>
      </x:c>
      <x:c r="H369" t="str">
        <x:f>IF(B369=1,IF(F369=1,"TP","FN"),IF(F369=1,"FP","TN"))</x:f>
        <x:v>TN</x:v>
      </x:c>
      <x:c r="I369" t="str">
        <x:f>IF(B369=1,IF(G369=1,"TP","FN"),IF(G369=1,"FP","TN"))</x:f>
        <x:v>TN</x:v>
      </x:c>
    </x:row>
    <x:row r="370">
      <x:c r="A370" t="str">
        <x:f>MiniCase_Data!A370</x:f>
        <x:v>R00369</x:v>
      </x:c>
      <x:c r="B370" t="n">
        <x:f>IF(MiniCase_Data!O370="불합격",1,0)</x:f>
        <x:v>0</x:v>
      </x:c>
      <x:c r="C370" t="str">
        <x:f>IF(ISBLANK(MiniCase_Data!H370),"missing",IF(OR(MiniCase_Data!H370&lt;27,MiniCase_Data!H370&gt;33),"밖","안"))</x:f>
        <x:v>안</x:v>
      </x:c>
      <x:c r="D370" t="n">
        <x:f>IF(ISBLANK(MiniCase_Data!H370),VLOOKUP(A370,센서로그!$A$2:$C$13,3,FALSE),MiniCase_Data!H370)</x:f>
        <x:v>31.65</x:v>
      </x:c>
      <x:c r="E370" t="n">
        <x:f>IF(AND(MiniCase_Data!C370="야간",MiniCase_Data!F370="M03"),1,0)</x:f>
        <x:v>0</x:v>
      </x:c>
      <x:c r="F370" t="n">
        <x:f>IF(C370="밖",1,0)</x:f>
        <x:v>0</x:v>
      </x:c>
      <x:c r="G370" t="n">
        <x:f>IF(OR(F370=1,E370=1),1,0)</x:f>
        <x:v>0</x:v>
      </x:c>
      <x:c r="H370" t="str">
        <x:f>IF(B370=1,IF(F370=1,"TP","FN"),IF(F370=1,"FP","TN"))</x:f>
        <x:v>TN</x:v>
      </x:c>
      <x:c r="I370" t="str">
        <x:f>IF(B370=1,IF(G370=1,"TP","FN"),IF(G370=1,"FP","TN"))</x:f>
        <x:v>TN</x:v>
      </x:c>
    </x:row>
    <x:row r="371">
      <x:c r="A371" t="str">
        <x:f>MiniCase_Data!A371</x:f>
        <x:v>R00370</x:v>
      </x:c>
      <x:c r="B371" t="n">
        <x:f>IF(MiniCase_Data!O371="불합격",1,0)</x:f>
        <x:v>0</x:v>
      </x:c>
      <x:c r="C371" t="str">
        <x:f>IF(ISBLANK(MiniCase_Data!H371),"missing",IF(OR(MiniCase_Data!H371&lt;27,MiniCase_Data!H371&gt;33),"밖","안"))</x:f>
        <x:v>안</x:v>
      </x:c>
      <x:c r="D371" t="n">
        <x:f>IF(ISBLANK(MiniCase_Data!H371),VLOOKUP(A371,센서로그!$A$2:$C$13,3,FALSE),MiniCase_Data!H371)</x:f>
        <x:v>32.75</x:v>
      </x:c>
      <x:c r="E371" t="n">
        <x:f>IF(AND(MiniCase_Data!C371="야간",MiniCase_Data!F371="M03"),1,0)</x:f>
        <x:v>0</x:v>
      </x:c>
      <x:c r="F371" t="n">
        <x:f>IF(C371="밖",1,0)</x:f>
        <x:v>0</x:v>
      </x:c>
      <x:c r="G371" t="n">
        <x:f>IF(OR(F371=1,E371=1),1,0)</x:f>
        <x:v>0</x:v>
      </x:c>
      <x:c r="H371" t="str">
        <x:f>IF(B371=1,IF(F371=1,"TP","FN"),IF(F371=1,"FP","TN"))</x:f>
        <x:v>TN</x:v>
      </x:c>
      <x:c r="I371" t="str">
        <x:f>IF(B371=1,IF(G371=1,"TP","FN"),IF(G371=1,"FP","TN"))</x:f>
        <x:v>TN</x:v>
      </x:c>
    </x:row>
    <x:row r="372">
      <x:c r="A372" t="str">
        <x:f>MiniCase_Data!A372</x:f>
        <x:v>R00371</x:v>
      </x:c>
      <x:c r="B372" t="n">
        <x:f>IF(MiniCase_Data!O372="불합격",1,0)</x:f>
        <x:v>0</x:v>
      </x:c>
      <x:c r="C372" t="str">
        <x:f>IF(ISBLANK(MiniCase_Data!H372),"missing",IF(OR(MiniCase_Data!H372&lt;27,MiniCase_Data!H372&gt;33),"밖","안"))</x:f>
        <x:v>안</x:v>
      </x:c>
      <x:c r="D372" t="n">
        <x:f>IF(ISBLANK(MiniCase_Data!H372),VLOOKUP(A372,센서로그!$A$2:$C$13,3,FALSE),MiniCase_Data!H372)</x:f>
        <x:v>32.78</x:v>
      </x:c>
      <x:c r="E372" t="n">
        <x:f>IF(AND(MiniCase_Data!C372="야간",MiniCase_Data!F372="M03"),1,0)</x:f>
        <x:v>0</x:v>
      </x:c>
      <x:c r="F372" t="n">
        <x:f>IF(C372="밖",1,0)</x:f>
        <x:v>0</x:v>
      </x:c>
      <x:c r="G372" t="n">
        <x:f>IF(OR(F372=1,E372=1),1,0)</x:f>
        <x:v>0</x:v>
      </x:c>
      <x:c r="H372" t="str">
        <x:f>IF(B372=1,IF(F372=1,"TP","FN"),IF(F372=1,"FP","TN"))</x:f>
        <x:v>TN</x:v>
      </x:c>
      <x:c r="I372" t="str">
        <x:f>IF(B372=1,IF(G372=1,"TP","FN"),IF(G372=1,"FP","TN"))</x:f>
        <x:v>TN</x:v>
      </x:c>
    </x:row>
    <x:row r="373">
      <x:c r="A373" t="str">
        <x:f>MiniCase_Data!A373</x:f>
        <x:v>R00372</x:v>
      </x:c>
      <x:c r="B373" t="n">
        <x:f>IF(MiniCase_Data!O373="불합격",1,0)</x:f>
        <x:v>0</x:v>
      </x:c>
      <x:c r="C373" t="str">
        <x:f>IF(ISBLANK(MiniCase_Data!H373),"missing",IF(OR(MiniCase_Data!H373&lt;27,MiniCase_Data!H373&gt;33),"밖","안"))</x:f>
        <x:v>안</x:v>
      </x:c>
      <x:c r="D373" t="n">
        <x:f>IF(ISBLANK(MiniCase_Data!H373),VLOOKUP(A373,센서로그!$A$2:$C$13,3,FALSE),MiniCase_Data!H373)</x:f>
        <x:v>28.44</x:v>
      </x:c>
      <x:c r="E373" t="n">
        <x:f>IF(AND(MiniCase_Data!C373="야간",MiniCase_Data!F373="M03"),1,0)</x:f>
        <x:v>0</x:v>
      </x:c>
      <x:c r="F373" t="n">
        <x:f>IF(C373="밖",1,0)</x:f>
        <x:v>0</x:v>
      </x:c>
      <x:c r="G373" t="n">
        <x:f>IF(OR(F373=1,E373=1),1,0)</x:f>
        <x:v>0</x:v>
      </x:c>
      <x:c r="H373" t="str">
        <x:f>IF(B373=1,IF(F373=1,"TP","FN"),IF(F373=1,"FP","TN"))</x:f>
        <x:v>TN</x:v>
      </x:c>
      <x:c r="I373" t="str">
        <x:f>IF(B373=1,IF(G373=1,"TP","FN"),IF(G373=1,"FP","TN"))</x:f>
        <x:v>TN</x:v>
      </x:c>
    </x:row>
    <x:row r="374">
      <x:c r="A374" t="str">
        <x:f>MiniCase_Data!A374</x:f>
        <x:v>R00373</x:v>
      </x:c>
      <x:c r="B374" t="n">
        <x:f>IF(MiniCase_Data!O374="불합격",1,0)</x:f>
        <x:v>0</x:v>
      </x:c>
      <x:c r="C374" t="str">
        <x:f>IF(ISBLANK(MiniCase_Data!H374),"missing",IF(OR(MiniCase_Data!H374&lt;27,MiniCase_Data!H374&gt;33),"밖","안"))</x:f>
        <x:v>안</x:v>
      </x:c>
      <x:c r="D374" t="n">
        <x:f>IF(ISBLANK(MiniCase_Data!H374),VLOOKUP(A374,센서로그!$A$2:$C$13,3,FALSE),MiniCase_Data!H374)</x:f>
        <x:v>29.77</x:v>
      </x:c>
      <x:c r="E374" t="n">
        <x:f>IF(AND(MiniCase_Data!C374="야간",MiniCase_Data!F374="M03"),1,0)</x:f>
        <x:v>0</x:v>
      </x:c>
      <x:c r="F374" t="n">
        <x:f>IF(C374="밖",1,0)</x:f>
        <x:v>0</x:v>
      </x:c>
      <x:c r="G374" t="n">
        <x:f>IF(OR(F374=1,E374=1),1,0)</x:f>
        <x:v>0</x:v>
      </x:c>
      <x:c r="H374" t="str">
        <x:f>IF(B374=1,IF(F374=1,"TP","FN"),IF(F374=1,"FP","TN"))</x:f>
        <x:v>TN</x:v>
      </x:c>
      <x:c r="I374" t="str">
        <x:f>IF(B374=1,IF(G374=1,"TP","FN"),IF(G374=1,"FP","TN"))</x:f>
        <x:v>TN</x:v>
      </x:c>
    </x:row>
    <x:row r="375">
      <x:c r="A375" t="str">
        <x:f>MiniCase_Data!A375</x:f>
        <x:v>R00374</x:v>
      </x:c>
      <x:c r="B375" t="n">
        <x:f>IF(MiniCase_Data!O375="불합격",1,0)</x:f>
        <x:v>1</x:v>
      </x:c>
      <x:c r="C375" t="str">
        <x:f>IF(ISBLANK(MiniCase_Data!H375),"missing",IF(OR(MiniCase_Data!H375&lt;27,MiniCase_Data!H375&gt;33),"밖","안"))</x:f>
        <x:v>안</x:v>
      </x:c>
      <x:c r="D375" t="n">
        <x:f>IF(ISBLANK(MiniCase_Data!H375),VLOOKUP(A375,센서로그!$A$2:$C$13,3,FALSE),MiniCase_Data!H375)</x:f>
        <x:v>29.99</x:v>
      </x:c>
      <x:c r="E375" t="n">
        <x:f>IF(AND(MiniCase_Data!C375="야간",MiniCase_Data!F375="M03"),1,0)</x:f>
        <x:v>0</x:v>
      </x:c>
      <x:c r="F375" t="n">
        <x:f>IF(C375="밖",1,0)</x:f>
        <x:v>0</x:v>
      </x:c>
      <x:c r="G375" t="n">
        <x:f>IF(OR(F375=1,E375=1),1,0)</x:f>
        <x:v>0</x:v>
      </x:c>
      <x:c r="H375" t="str">
        <x:f>IF(B375=1,IF(F375=1,"TP","FN"),IF(F375=1,"FP","TN"))</x:f>
        <x:v>FN</x:v>
      </x:c>
      <x:c r="I375" t="str">
        <x:f>IF(B375=1,IF(G375=1,"TP","FN"),IF(G375=1,"FP","TN"))</x:f>
        <x:v>FN</x:v>
      </x:c>
    </x:row>
    <x:row r="376">
      <x:c r="A376" t="str">
        <x:f>MiniCase_Data!A376</x:f>
        <x:v>R00375</x:v>
      </x:c>
      <x:c r="B376" t="n">
        <x:f>IF(MiniCase_Data!O376="불합격",1,0)</x:f>
        <x:v>0</x:v>
      </x:c>
      <x:c r="C376" t="str">
        <x:f>IF(ISBLANK(MiniCase_Data!H376),"missing",IF(OR(MiniCase_Data!H376&lt;27,MiniCase_Data!H376&gt;33),"밖","안"))</x:f>
        <x:v>안</x:v>
      </x:c>
      <x:c r="D376" t="n">
        <x:f>IF(ISBLANK(MiniCase_Data!H376),VLOOKUP(A376,센서로그!$A$2:$C$13,3,FALSE),MiniCase_Data!H376)</x:f>
        <x:v>32.11</x:v>
      </x:c>
      <x:c r="E376" t="n">
        <x:f>IF(AND(MiniCase_Data!C376="야간",MiniCase_Data!F376="M03"),1,0)</x:f>
        <x:v>0</x:v>
      </x:c>
      <x:c r="F376" t="n">
        <x:f>IF(C376="밖",1,0)</x:f>
        <x:v>0</x:v>
      </x:c>
      <x:c r="G376" t="n">
        <x:f>IF(OR(F376=1,E376=1),1,0)</x:f>
        <x:v>0</x:v>
      </x:c>
      <x:c r="H376" t="str">
        <x:f>IF(B376=1,IF(F376=1,"TP","FN"),IF(F376=1,"FP","TN"))</x:f>
        <x:v>TN</x:v>
      </x:c>
      <x:c r="I376" t="str">
        <x:f>IF(B376=1,IF(G376=1,"TP","FN"),IF(G376=1,"FP","TN"))</x:f>
        <x:v>TN</x:v>
      </x:c>
    </x:row>
    <x:row r="377">
      <x:c r="A377" t="str">
        <x:f>MiniCase_Data!A377</x:f>
        <x:v>R00376</x:v>
      </x:c>
      <x:c r="B377" t="n">
        <x:f>IF(MiniCase_Data!O377="불합격",1,0)</x:f>
        <x:v>0</x:v>
      </x:c>
      <x:c r="C377" t="str">
        <x:f>IF(ISBLANK(MiniCase_Data!H377),"missing",IF(OR(MiniCase_Data!H377&lt;27,MiniCase_Data!H377&gt;33),"밖","안"))</x:f>
        <x:v>안</x:v>
      </x:c>
      <x:c r="D377" t="n">
        <x:f>IF(ISBLANK(MiniCase_Data!H377),VLOOKUP(A377,센서로그!$A$2:$C$13,3,FALSE),MiniCase_Data!H377)</x:f>
        <x:v>27.38</x:v>
      </x:c>
      <x:c r="E377" t="n">
        <x:f>IF(AND(MiniCase_Data!C377="야간",MiniCase_Data!F377="M03"),1,0)</x:f>
        <x:v>0</x:v>
      </x:c>
      <x:c r="F377" t="n">
        <x:f>IF(C377="밖",1,0)</x:f>
        <x:v>0</x:v>
      </x:c>
      <x:c r="G377" t="n">
        <x:f>IF(OR(F377=1,E377=1),1,0)</x:f>
        <x:v>0</x:v>
      </x:c>
      <x:c r="H377" t="str">
        <x:f>IF(B377=1,IF(F377=1,"TP","FN"),IF(F377=1,"FP","TN"))</x:f>
        <x:v>TN</x:v>
      </x:c>
      <x:c r="I377" t="str">
        <x:f>IF(B377=1,IF(G377=1,"TP","FN"),IF(G377=1,"FP","TN"))</x:f>
        <x:v>TN</x:v>
      </x:c>
    </x:row>
    <x:row r="378">
      <x:c r="A378" t="str">
        <x:f>MiniCase_Data!A378</x:f>
        <x:v>R00377</x:v>
      </x:c>
      <x:c r="B378" t="n">
        <x:f>IF(MiniCase_Data!O378="불합격",1,0)</x:f>
        <x:v>0</x:v>
      </x:c>
      <x:c r="C378" t="str">
        <x:f>IF(ISBLANK(MiniCase_Data!H378),"missing",IF(OR(MiniCase_Data!H378&lt;27,MiniCase_Data!H378&gt;33),"밖","안"))</x:f>
        <x:v>안</x:v>
      </x:c>
      <x:c r="D378" t="n">
        <x:f>IF(ISBLANK(MiniCase_Data!H378),VLOOKUP(A378,센서로그!$A$2:$C$13,3,FALSE),MiniCase_Data!H378)</x:f>
        <x:v>31.49</x:v>
      </x:c>
      <x:c r="E378" t="n">
        <x:f>IF(AND(MiniCase_Data!C378="야간",MiniCase_Data!F378="M03"),1,0)</x:f>
        <x:v>0</x:v>
      </x:c>
      <x:c r="F378" t="n">
        <x:f>IF(C378="밖",1,0)</x:f>
        <x:v>0</x:v>
      </x:c>
      <x:c r="G378" t="n">
        <x:f>IF(OR(F378=1,E378=1),1,0)</x:f>
        <x:v>0</x:v>
      </x:c>
      <x:c r="H378" t="str">
        <x:f>IF(B378=1,IF(F378=1,"TP","FN"),IF(F378=1,"FP","TN"))</x:f>
        <x:v>TN</x:v>
      </x:c>
      <x:c r="I378" t="str">
        <x:f>IF(B378=1,IF(G378=1,"TP","FN"),IF(G378=1,"FP","TN"))</x:f>
        <x:v>TN</x:v>
      </x:c>
    </x:row>
    <x:row r="379">
      <x:c r="A379" t="str">
        <x:f>MiniCase_Data!A379</x:f>
        <x:v>R00378</x:v>
      </x:c>
      <x:c r="B379" t="n">
        <x:f>IF(MiniCase_Data!O379="불합격",1,0)</x:f>
        <x:v>0</x:v>
      </x:c>
      <x:c r="C379" t="str">
        <x:f>IF(ISBLANK(MiniCase_Data!H379),"missing",IF(OR(MiniCase_Data!H379&lt;27,MiniCase_Data!H379&gt;33),"밖","안"))</x:f>
        <x:v>안</x:v>
      </x:c>
      <x:c r="D379" t="n">
        <x:f>IF(ISBLANK(MiniCase_Data!H379),VLOOKUP(A379,센서로그!$A$2:$C$13,3,FALSE),MiniCase_Data!H379)</x:f>
        <x:v>30.96</x:v>
      </x:c>
      <x:c r="E379" t="n">
        <x:f>IF(AND(MiniCase_Data!C379="야간",MiniCase_Data!F379="M03"),1,0)</x:f>
        <x:v>0</x:v>
      </x:c>
      <x:c r="F379" t="n">
        <x:f>IF(C379="밖",1,0)</x:f>
        <x:v>0</x:v>
      </x:c>
      <x:c r="G379" t="n">
        <x:f>IF(OR(F379=1,E379=1),1,0)</x:f>
        <x:v>0</x:v>
      </x:c>
      <x:c r="H379" t="str">
        <x:f>IF(B379=1,IF(F379=1,"TP","FN"),IF(F379=1,"FP","TN"))</x:f>
        <x:v>TN</x:v>
      </x:c>
      <x:c r="I379" t="str">
        <x:f>IF(B379=1,IF(G379=1,"TP","FN"),IF(G379=1,"FP","TN"))</x:f>
        <x:v>TN</x:v>
      </x:c>
    </x:row>
    <x:row r="380">
      <x:c r="A380" t="str">
        <x:f>MiniCase_Data!A380</x:f>
        <x:v>R00379</x:v>
      </x:c>
      <x:c r="B380" t="n">
        <x:f>IF(MiniCase_Data!O380="불합격",1,0)</x:f>
        <x:v>0</x:v>
      </x:c>
      <x:c r="C380" t="str">
        <x:f>IF(ISBLANK(MiniCase_Data!H380),"missing",IF(OR(MiniCase_Data!H380&lt;27,MiniCase_Data!H380&gt;33),"밖","안"))</x:f>
        <x:v>안</x:v>
      </x:c>
      <x:c r="D380" t="n">
        <x:f>IF(ISBLANK(MiniCase_Data!H380),VLOOKUP(A380,센서로그!$A$2:$C$13,3,FALSE),MiniCase_Data!H380)</x:f>
        <x:v>30.54</x:v>
      </x:c>
      <x:c r="E380" t="n">
        <x:f>IF(AND(MiniCase_Data!C380="야간",MiniCase_Data!F380="M03"),1,0)</x:f>
        <x:v>0</x:v>
      </x:c>
      <x:c r="F380" t="n">
        <x:f>IF(C380="밖",1,0)</x:f>
        <x:v>0</x:v>
      </x:c>
      <x:c r="G380" t="n">
        <x:f>IF(OR(F380=1,E380=1),1,0)</x:f>
        <x:v>0</x:v>
      </x:c>
      <x:c r="H380" t="str">
        <x:f>IF(B380=1,IF(F380=1,"TP","FN"),IF(F380=1,"FP","TN"))</x:f>
        <x:v>TN</x:v>
      </x:c>
      <x:c r="I380" t="str">
        <x:f>IF(B380=1,IF(G380=1,"TP","FN"),IF(G380=1,"FP","TN"))</x:f>
        <x:v>TN</x:v>
      </x:c>
    </x:row>
    <x:row r="381">
      <x:c r="A381" t="str">
        <x:f>MiniCase_Data!A381</x:f>
        <x:v>R00380</x:v>
      </x:c>
      <x:c r="B381" t="n">
        <x:f>IF(MiniCase_Data!O381="불합격",1,0)</x:f>
        <x:v>0</x:v>
      </x:c>
      <x:c r="C381" t="str">
        <x:f>IF(ISBLANK(MiniCase_Data!H381),"missing",IF(OR(MiniCase_Data!H381&lt;27,MiniCase_Data!H381&gt;33),"밖","안"))</x:f>
        <x:v>안</x:v>
      </x:c>
      <x:c r="D381" t="n">
        <x:f>IF(ISBLANK(MiniCase_Data!H381),VLOOKUP(A381,센서로그!$A$2:$C$13,3,FALSE),MiniCase_Data!H381)</x:f>
        <x:v>30.28</x:v>
      </x:c>
      <x:c r="E381" t="n">
        <x:f>IF(AND(MiniCase_Data!C381="야간",MiniCase_Data!F381="M03"),1,0)</x:f>
        <x:v>0</x:v>
      </x:c>
      <x:c r="F381" t="n">
        <x:f>IF(C381="밖",1,0)</x:f>
        <x:v>0</x:v>
      </x:c>
      <x:c r="G381" t="n">
        <x:f>IF(OR(F381=1,E381=1),1,0)</x:f>
        <x:v>0</x:v>
      </x:c>
      <x:c r="H381" t="str">
        <x:f>IF(B381=1,IF(F381=1,"TP","FN"),IF(F381=1,"FP","TN"))</x:f>
        <x:v>TN</x:v>
      </x:c>
      <x:c r="I381" t="str">
        <x:f>IF(B381=1,IF(G381=1,"TP","FN"),IF(G381=1,"FP","TN"))</x:f>
        <x:v>TN</x:v>
      </x:c>
    </x:row>
    <x:row r="382">
      <x:c r="A382" t="str">
        <x:f>MiniCase_Data!A382</x:f>
        <x:v>R00381</x:v>
      </x:c>
      <x:c r="B382" t="n">
        <x:f>IF(MiniCase_Data!O382="불합격",1,0)</x:f>
        <x:v>0</x:v>
      </x:c>
      <x:c r="C382" t="str">
        <x:f>IF(ISBLANK(MiniCase_Data!H382),"missing",IF(OR(MiniCase_Data!H382&lt;27,MiniCase_Data!H382&gt;33),"밖","안"))</x:f>
        <x:v>안</x:v>
      </x:c>
      <x:c r="D382" t="n">
        <x:f>IF(ISBLANK(MiniCase_Data!H382),VLOOKUP(A382,센서로그!$A$2:$C$13,3,FALSE),MiniCase_Data!H382)</x:f>
        <x:v>27.37</x:v>
      </x:c>
      <x:c r="E382" t="n">
        <x:f>IF(AND(MiniCase_Data!C382="야간",MiniCase_Data!F382="M03"),1,0)</x:f>
        <x:v>0</x:v>
      </x:c>
      <x:c r="F382" t="n">
        <x:f>IF(C382="밖",1,0)</x:f>
        <x:v>0</x:v>
      </x:c>
      <x:c r="G382" t="n">
        <x:f>IF(OR(F382=1,E382=1),1,0)</x:f>
        <x:v>0</x:v>
      </x:c>
      <x:c r="H382" t="str">
        <x:f>IF(B382=1,IF(F382=1,"TP","FN"),IF(F382=1,"FP","TN"))</x:f>
        <x:v>TN</x:v>
      </x:c>
      <x:c r="I382" t="str">
        <x:f>IF(B382=1,IF(G382=1,"TP","FN"),IF(G382=1,"FP","TN"))</x:f>
        <x:v>TN</x:v>
      </x:c>
    </x:row>
    <x:row r="383">
      <x:c r="A383" t="str">
        <x:f>MiniCase_Data!A383</x:f>
        <x:v>R00382</x:v>
      </x:c>
      <x:c r="B383" t="n">
        <x:f>IF(MiniCase_Data!O383="불합격",1,0)</x:f>
        <x:v>0</x:v>
      </x:c>
      <x:c r="C383" t="str">
        <x:f>IF(ISBLANK(MiniCase_Data!H383),"missing",IF(OR(MiniCase_Data!H383&lt;27,MiniCase_Data!H383&gt;33),"밖","안"))</x:f>
        <x:v>안</x:v>
      </x:c>
      <x:c r="D383" t="n">
        <x:f>IF(ISBLANK(MiniCase_Data!H383),VLOOKUP(A383,센서로그!$A$2:$C$13,3,FALSE),MiniCase_Data!H383)</x:f>
        <x:v>30.51</x:v>
      </x:c>
      <x:c r="E383" t="n">
        <x:f>IF(AND(MiniCase_Data!C383="야간",MiniCase_Data!F383="M03"),1,0)</x:f>
        <x:v>0</x:v>
      </x:c>
      <x:c r="F383" t="n">
        <x:f>IF(C383="밖",1,0)</x:f>
        <x:v>0</x:v>
      </x:c>
      <x:c r="G383" t="n">
        <x:f>IF(OR(F383=1,E383=1),1,0)</x:f>
        <x:v>0</x:v>
      </x:c>
      <x:c r="H383" t="str">
        <x:f>IF(B383=1,IF(F383=1,"TP","FN"),IF(F383=1,"FP","TN"))</x:f>
        <x:v>TN</x:v>
      </x:c>
      <x:c r="I383" t="str">
        <x:f>IF(B383=1,IF(G383=1,"TP","FN"),IF(G383=1,"FP","TN"))</x:f>
        <x:v>TN</x:v>
      </x:c>
    </x:row>
    <x:row r="384">
      <x:c r="A384" t="str">
        <x:f>MiniCase_Data!A384</x:f>
        <x:v>R00383</x:v>
      </x:c>
      <x:c r="B384" t="n">
        <x:f>IF(MiniCase_Data!O384="불합격",1,0)</x:f>
        <x:v>0</x:v>
      </x:c>
      <x:c r="C384" t="str">
        <x:f>IF(ISBLANK(MiniCase_Data!H384),"missing",IF(OR(MiniCase_Data!H384&lt;27,MiniCase_Data!H384&gt;33),"밖","안"))</x:f>
        <x:v>안</x:v>
      </x:c>
      <x:c r="D384" t="n">
        <x:f>IF(ISBLANK(MiniCase_Data!H384),VLOOKUP(A384,센서로그!$A$2:$C$13,3,FALSE),MiniCase_Data!H384)</x:f>
        <x:v>30.64</x:v>
      </x:c>
      <x:c r="E384" t="n">
        <x:f>IF(AND(MiniCase_Data!C384="야간",MiniCase_Data!F384="M03"),1,0)</x:f>
        <x:v>0</x:v>
      </x:c>
      <x:c r="F384" t="n">
        <x:f>IF(C384="밖",1,0)</x:f>
        <x:v>0</x:v>
      </x:c>
      <x:c r="G384" t="n">
        <x:f>IF(OR(F384=1,E384=1),1,0)</x:f>
        <x:v>0</x:v>
      </x:c>
      <x:c r="H384" t="str">
        <x:f>IF(B384=1,IF(F384=1,"TP","FN"),IF(F384=1,"FP","TN"))</x:f>
        <x:v>TN</x:v>
      </x:c>
      <x:c r="I384" t="str">
        <x:f>IF(B384=1,IF(G384=1,"TP","FN"),IF(G384=1,"FP","TN"))</x:f>
        <x:v>TN</x:v>
      </x:c>
    </x:row>
    <x:row r="385">
      <x:c r="A385" t="str">
        <x:f>MiniCase_Data!A385</x:f>
        <x:v>R00384</x:v>
      </x:c>
      <x:c r="B385" t="n">
        <x:f>IF(MiniCase_Data!O385="불합격",1,0)</x:f>
        <x:v>0</x:v>
      </x:c>
      <x:c r="C385" t="str">
        <x:f>IF(ISBLANK(MiniCase_Data!H385),"missing",IF(OR(MiniCase_Data!H385&lt;27,MiniCase_Data!H385&gt;33),"밖","안"))</x:f>
        <x:v>안</x:v>
      </x:c>
      <x:c r="D385" t="n">
        <x:f>IF(ISBLANK(MiniCase_Data!H385),VLOOKUP(A385,센서로그!$A$2:$C$13,3,FALSE),MiniCase_Data!H385)</x:f>
        <x:v>28.36</x:v>
      </x:c>
      <x:c r="E385" t="n">
        <x:f>IF(AND(MiniCase_Data!C385="야간",MiniCase_Data!F385="M03"),1,0)</x:f>
        <x:v>0</x:v>
      </x:c>
      <x:c r="F385" t="n">
        <x:f>IF(C385="밖",1,0)</x:f>
        <x:v>0</x:v>
      </x:c>
      <x:c r="G385" t="n">
        <x:f>IF(OR(F385=1,E385=1),1,0)</x:f>
        <x:v>0</x:v>
      </x:c>
      <x:c r="H385" t="str">
        <x:f>IF(B385=1,IF(F385=1,"TP","FN"),IF(F385=1,"FP","TN"))</x:f>
        <x:v>TN</x:v>
      </x:c>
      <x:c r="I385" t="str">
        <x:f>IF(B385=1,IF(G385=1,"TP","FN"),IF(G385=1,"FP","TN"))</x:f>
        <x:v>TN</x:v>
      </x:c>
    </x:row>
    <x:row r="386">
      <x:c r="A386" t="str">
        <x:f>MiniCase_Data!A386</x:f>
        <x:v>R00385</x:v>
      </x:c>
      <x:c r="B386" t="n">
        <x:f>IF(MiniCase_Data!O386="불합격",1,0)</x:f>
        <x:v>0</x:v>
      </x:c>
      <x:c r="C386" t="str">
        <x:f>IF(ISBLANK(MiniCase_Data!H386),"missing",IF(OR(MiniCase_Data!H386&lt;27,MiniCase_Data!H386&gt;33),"밖","안"))</x:f>
        <x:v>안</x:v>
      </x:c>
      <x:c r="D386" t="n">
        <x:f>IF(ISBLANK(MiniCase_Data!H386),VLOOKUP(A386,센서로그!$A$2:$C$13,3,FALSE),MiniCase_Data!H386)</x:f>
        <x:v>32</x:v>
      </x:c>
      <x:c r="E386" t="n">
        <x:f>IF(AND(MiniCase_Data!C386="야간",MiniCase_Data!F386="M03"),1,0)</x:f>
        <x:v>0</x:v>
      </x:c>
      <x:c r="F386" t="n">
        <x:f>IF(C386="밖",1,0)</x:f>
        <x:v>0</x:v>
      </x:c>
      <x:c r="G386" t="n">
        <x:f>IF(OR(F386=1,E386=1),1,0)</x:f>
        <x:v>0</x:v>
      </x:c>
      <x:c r="H386" t="str">
        <x:f>IF(B386=1,IF(F386=1,"TP","FN"),IF(F386=1,"FP","TN"))</x:f>
        <x:v>TN</x:v>
      </x:c>
      <x:c r="I386" t="str">
        <x:f>IF(B386=1,IF(G386=1,"TP","FN"),IF(G386=1,"FP","TN"))</x:f>
        <x:v>TN</x:v>
      </x:c>
    </x:row>
    <x:row r="387">
      <x:c r="A387" t="str">
        <x:f>MiniCase_Data!A387</x:f>
        <x:v>R00386</x:v>
      </x:c>
      <x:c r="B387" t="n">
        <x:f>IF(MiniCase_Data!O387="불합격",1,0)</x:f>
        <x:v>0</x:v>
      </x:c>
      <x:c r="C387" t="str">
        <x:f>IF(ISBLANK(MiniCase_Data!H387),"missing",IF(OR(MiniCase_Data!H387&lt;27,MiniCase_Data!H387&gt;33),"밖","안"))</x:f>
        <x:v>안</x:v>
      </x:c>
      <x:c r="D387" t="n">
        <x:f>IF(ISBLANK(MiniCase_Data!H387),VLOOKUP(A387,센서로그!$A$2:$C$13,3,FALSE),MiniCase_Data!H387)</x:f>
        <x:v>29.17</x:v>
      </x:c>
      <x:c r="E387" t="n">
        <x:f>IF(AND(MiniCase_Data!C387="야간",MiniCase_Data!F387="M03"),1,0)</x:f>
        <x:v>0</x:v>
      </x:c>
      <x:c r="F387" t="n">
        <x:f>IF(C387="밖",1,0)</x:f>
        <x:v>0</x:v>
      </x:c>
      <x:c r="G387" t="n">
        <x:f>IF(OR(F387=1,E387=1),1,0)</x:f>
        <x:v>0</x:v>
      </x:c>
      <x:c r="H387" t="str">
        <x:f>IF(B387=1,IF(F387=1,"TP","FN"),IF(F387=1,"FP","TN"))</x:f>
        <x:v>TN</x:v>
      </x:c>
      <x:c r="I387" t="str">
        <x:f>IF(B387=1,IF(G387=1,"TP","FN"),IF(G387=1,"FP","TN"))</x:f>
        <x:v>TN</x:v>
      </x:c>
    </x:row>
    <x:row r="388">
      <x:c r="A388" t="str">
        <x:f>MiniCase_Data!A388</x:f>
        <x:v>R00387</x:v>
      </x:c>
      <x:c r="B388" t="n">
        <x:f>IF(MiniCase_Data!O388="불합격",1,0)</x:f>
        <x:v>0</x:v>
      </x:c>
      <x:c r="C388" t="str">
        <x:f>IF(ISBLANK(MiniCase_Data!H388),"missing",IF(OR(MiniCase_Data!H388&lt;27,MiniCase_Data!H388&gt;33),"밖","안"))</x:f>
        <x:v>안</x:v>
      </x:c>
      <x:c r="D388" t="n">
        <x:f>IF(ISBLANK(MiniCase_Data!H388),VLOOKUP(A388,센서로그!$A$2:$C$13,3,FALSE),MiniCase_Data!H388)</x:f>
        <x:v>28.35</x:v>
      </x:c>
      <x:c r="E388" t="n">
        <x:f>IF(AND(MiniCase_Data!C388="야간",MiniCase_Data!F388="M03"),1,0)</x:f>
        <x:v>0</x:v>
      </x:c>
      <x:c r="F388" t="n">
        <x:f>IF(C388="밖",1,0)</x:f>
        <x:v>0</x:v>
      </x:c>
      <x:c r="G388" t="n">
        <x:f>IF(OR(F388=1,E388=1),1,0)</x:f>
        <x:v>0</x:v>
      </x:c>
      <x:c r="H388" t="str">
        <x:f>IF(B388=1,IF(F388=1,"TP","FN"),IF(F388=1,"FP","TN"))</x:f>
        <x:v>TN</x:v>
      </x:c>
      <x:c r="I388" t="str">
        <x:f>IF(B388=1,IF(G388=1,"TP","FN"),IF(G388=1,"FP","TN"))</x:f>
        <x:v>TN</x:v>
      </x:c>
    </x:row>
    <x:row r="389">
      <x:c r="A389" t="str">
        <x:f>MiniCase_Data!A389</x:f>
        <x:v>R00388</x:v>
      </x:c>
      <x:c r="B389" t="n">
        <x:f>IF(MiniCase_Data!O389="불합격",1,0)</x:f>
        <x:v>0</x:v>
      </x:c>
      <x:c r="C389" t="str">
        <x:f>IF(ISBLANK(MiniCase_Data!H389),"missing",IF(OR(MiniCase_Data!H389&lt;27,MiniCase_Data!H389&gt;33),"밖","안"))</x:f>
        <x:v>안</x:v>
      </x:c>
      <x:c r="D389" t="n">
        <x:f>IF(ISBLANK(MiniCase_Data!H389),VLOOKUP(A389,센서로그!$A$2:$C$13,3,FALSE),MiniCase_Data!H389)</x:f>
        <x:v>31.47</x:v>
      </x:c>
      <x:c r="E389" t="n">
        <x:f>IF(AND(MiniCase_Data!C389="야간",MiniCase_Data!F389="M03"),1,0)</x:f>
        <x:v>0</x:v>
      </x:c>
      <x:c r="F389" t="n">
        <x:f>IF(C389="밖",1,0)</x:f>
        <x:v>0</x:v>
      </x:c>
      <x:c r="G389" t="n">
        <x:f>IF(OR(F389=1,E389=1),1,0)</x:f>
        <x:v>0</x:v>
      </x:c>
      <x:c r="H389" t="str">
        <x:f>IF(B389=1,IF(F389=1,"TP","FN"),IF(F389=1,"FP","TN"))</x:f>
        <x:v>TN</x:v>
      </x:c>
      <x:c r="I389" t="str">
        <x:f>IF(B389=1,IF(G389=1,"TP","FN"),IF(G389=1,"FP","TN"))</x:f>
        <x:v>TN</x:v>
      </x:c>
    </x:row>
    <x:row r="390">
      <x:c r="A390" t="str">
        <x:f>MiniCase_Data!A390</x:f>
        <x:v>R00389</x:v>
      </x:c>
      <x:c r="B390" t="n">
        <x:f>IF(MiniCase_Data!O390="불합격",1,0)</x:f>
        <x:v>0</x:v>
      </x:c>
      <x:c r="C390" t="str">
        <x:f>IF(ISBLANK(MiniCase_Data!H390),"missing",IF(OR(MiniCase_Data!H390&lt;27,MiniCase_Data!H390&gt;33),"밖","안"))</x:f>
        <x:v>안</x:v>
      </x:c>
      <x:c r="D390" t="n">
        <x:f>IF(ISBLANK(MiniCase_Data!H390),VLOOKUP(A390,센서로그!$A$2:$C$13,3,FALSE),MiniCase_Data!H390)</x:f>
        <x:v>29.48</x:v>
      </x:c>
      <x:c r="E390" t="n">
        <x:f>IF(AND(MiniCase_Data!C390="야간",MiniCase_Data!F390="M03"),1,0)</x:f>
        <x:v>0</x:v>
      </x:c>
      <x:c r="F390" t="n">
        <x:f>IF(C390="밖",1,0)</x:f>
        <x:v>0</x:v>
      </x:c>
      <x:c r="G390" t="n">
        <x:f>IF(OR(F390=1,E390=1),1,0)</x:f>
        <x:v>0</x:v>
      </x:c>
      <x:c r="H390" t="str">
        <x:f>IF(B390=1,IF(F390=1,"TP","FN"),IF(F390=1,"FP","TN"))</x:f>
        <x:v>TN</x:v>
      </x:c>
      <x:c r="I390" t="str">
        <x:f>IF(B390=1,IF(G390=1,"TP","FN"),IF(G390=1,"FP","TN"))</x:f>
        <x:v>TN</x:v>
      </x:c>
    </x:row>
    <x:row r="391">
      <x:c r="A391" t="str">
        <x:f>MiniCase_Data!A391</x:f>
        <x:v>R00390</x:v>
      </x:c>
      <x:c r="B391" t="n">
        <x:f>IF(MiniCase_Data!O391="불합격",1,0)</x:f>
        <x:v>1</x:v>
      </x:c>
      <x:c r="C391" t="str">
        <x:f>IF(ISBLANK(MiniCase_Data!H391),"missing",IF(OR(MiniCase_Data!H391&lt;27,MiniCase_Data!H391&gt;33),"밖","안"))</x:f>
        <x:v>밖</x:v>
      </x:c>
      <x:c r="D391" t="n">
        <x:f>IF(ISBLANK(MiniCase_Data!H391),VLOOKUP(A391,센서로그!$A$2:$C$13,3,FALSE),MiniCase_Data!H391)</x:f>
        <x:v>26.13</x:v>
      </x:c>
      <x:c r="E391" t="n">
        <x:f>IF(AND(MiniCase_Data!C391="야간",MiniCase_Data!F391="M03"),1,0)</x:f>
        <x:v>0</x:v>
      </x:c>
      <x:c r="F391" t="n">
        <x:f>IF(C391="밖",1,0)</x:f>
        <x:v>1</x:v>
      </x:c>
      <x:c r="G391" t="n">
        <x:f>IF(OR(F391=1,E391=1),1,0)</x:f>
        <x:v>1</x:v>
      </x:c>
      <x:c r="H391" t="str">
        <x:f>IF(B391=1,IF(F391=1,"TP","FN"),IF(F391=1,"FP","TN"))</x:f>
        <x:v>TP</x:v>
      </x:c>
      <x:c r="I391" t="str">
        <x:f>IF(B391=1,IF(G391=1,"TP","FN"),IF(G391=1,"FP","TN"))</x:f>
        <x:v>TP</x:v>
      </x:c>
    </x:row>
    <x:row r="392">
      <x:c r="A392" t="str">
        <x:f>MiniCase_Data!A392</x:f>
        <x:v>R00391</x:v>
      </x:c>
      <x:c r="B392" t="n">
        <x:f>IF(MiniCase_Data!O392="불합격",1,0)</x:f>
        <x:v>0</x:v>
      </x:c>
      <x:c r="C392" t="str">
        <x:f>IF(ISBLANK(MiniCase_Data!H392),"missing",IF(OR(MiniCase_Data!H392&lt;27,MiniCase_Data!H392&gt;33),"밖","안"))</x:f>
        <x:v>안</x:v>
      </x:c>
      <x:c r="D392" t="n">
        <x:f>IF(ISBLANK(MiniCase_Data!H392),VLOOKUP(A392,센서로그!$A$2:$C$13,3,FALSE),MiniCase_Data!H392)</x:f>
        <x:v>27.56</x:v>
      </x:c>
      <x:c r="E392" t="n">
        <x:f>IF(AND(MiniCase_Data!C392="야간",MiniCase_Data!F392="M03"),1,0)</x:f>
        <x:v>0</x:v>
      </x:c>
      <x:c r="F392" t="n">
        <x:f>IF(C392="밖",1,0)</x:f>
        <x:v>0</x:v>
      </x:c>
      <x:c r="G392" t="n">
        <x:f>IF(OR(F392=1,E392=1),1,0)</x:f>
        <x:v>0</x:v>
      </x:c>
      <x:c r="H392" t="str">
        <x:f>IF(B392=1,IF(F392=1,"TP","FN"),IF(F392=1,"FP","TN"))</x:f>
        <x:v>TN</x:v>
      </x:c>
      <x:c r="I392" t="str">
        <x:f>IF(B392=1,IF(G392=1,"TP","FN"),IF(G392=1,"FP","TN"))</x:f>
        <x:v>TN</x:v>
      </x:c>
    </x:row>
    <x:row r="393">
      <x:c r="A393" t="str">
        <x:f>MiniCase_Data!A393</x:f>
        <x:v>R00392</x:v>
      </x:c>
      <x:c r="B393" t="n">
        <x:f>IF(MiniCase_Data!O393="불합격",1,0)</x:f>
        <x:v>0</x:v>
      </x:c>
      <x:c r="C393" t="str">
        <x:f>IF(ISBLANK(MiniCase_Data!H393),"missing",IF(OR(MiniCase_Data!H393&lt;27,MiniCase_Data!H393&gt;33),"밖","안"))</x:f>
        <x:v>안</x:v>
      </x:c>
      <x:c r="D393" t="n">
        <x:f>IF(ISBLANK(MiniCase_Data!H393),VLOOKUP(A393,센서로그!$A$2:$C$13,3,FALSE),MiniCase_Data!H393)</x:f>
        <x:v>27.93</x:v>
      </x:c>
      <x:c r="E393" t="n">
        <x:f>IF(AND(MiniCase_Data!C393="야간",MiniCase_Data!F393="M03"),1,0)</x:f>
        <x:v>0</x:v>
      </x:c>
      <x:c r="F393" t="n">
        <x:f>IF(C393="밖",1,0)</x:f>
        <x:v>0</x:v>
      </x:c>
      <x:c r="G393" t="n">
        <x:f>IF(OR(F393=1,E393=1),1,0)</x:f>
        <x:v>0</x:v>
      </x:c>
      <x:c r="H393" t="str">
        <x:f>IF(B393=1,IF(F393=1,"TP","FN"),IF(F393=1,"FP","TN"))</x:f>
        <x:v>TN</x:v>
      </x:c>
      <x:c r="I393" t="str">
        <x:f>IF(B393=1,IF(G393=1,"TP","FN"),IF(G393=1,"FP","TN"))</x:f>
        <x:v>TN</x:v>
      </x:c>
    </x:row>
    <x:row r="394">
      <x:c r="A394" t="str">
        <x:f>MiniCase_Data!A394</x:f>
        <x:v>R00393</x:v>
      </x:c>
      <x:c r="B394" t="n">
        <x:f>IF(MiniCase_Data!O394="불합격",1,0)</x:f>
        <x:v>0</x:v>
      </x:c>
      <x:c r="C394" t="str">
        <x:f>IF(ISBLANK(MiniCase_Data!H394),"missing",IF(OR(MiniCase_Data!H394&lt;27,MiniCase_Data!H394&gt;33),"밖","안"))</x:f>
        <x:v>안</x:v>
      </x:c>
      <x:c r="D394" t="n">
        <x:f>IF(ISBLANK(MiniCase_Data!H394),VLOOKUP(A394,센서로그!$A$2:$C$13,3,FALSE),MiniCase_Data!H394)</x:f>
        <x:v>28.75</x:v>
      </x:c>
      <x:c r="E394" t="n">
        <x:f>IF(AND(MiniCase_Data!C394="야간",MiniCase_Data!F394="M03"),1,0)</x:f>
        <x:v>0</x:v>
      </x:c>
      <x:c r="F394" t="n">
        <x:f>IF(C394="밖",1,0)</x:f>
        <x:v>0</x:v>
      </x:c>
      <x:c r="G394" t="n">
        <x:f>IF(OR(F394=1,E394=1),1,0)</x:f>
        <x:v>0</x:v>
      </x:c>
      <x:c r="H394" t="str">
        <x:f>IF(B394=1,IF(F394=1,"TP","FN"),IF(F394=1,"FP","TN"))</x:f>
        <x:v>TN</x:v>
      </x:c>
      <x:c r="I394" t="str">
        <x:f>IF(B394=1,IF(G394=1,"TP","FN"),IF(G394=1,"FP","TN"))</x:f>
        <x:v>TN</x:v>
      </x:c>
    </x:row>
    <x:row r="395">
      <x:c r="A395" t="str">
        <x:f>MiniCase_Data!A395</x:f>
        <x:v>R00394</x:v>
      </x:c>
      <x:c r="B395" t="n">
        <x:f>IF(MiniCase_Data!O395="불합격",1,0)</x:f>
        <x:v>0</x:v>
      </x:c>
      <x:c r="C395" t="str">
        <x:f>IF(ISBLANK(MiniCase_Data!H395),"missing",IF(OR(MiniCase_Data!H395&lt;27,MiniCase_Data!H395&gt;33),"밖","안"))</x:f>
        <x:v>안</x:v>
      </x:c>
      <x:c r="D395" t="n">
        <x:f>IF(ISBLANK(MiniCase_Data!H395),VLOOKUP(A395,센서로그!$A$2:$C$13,3,FALSE),MiniCase_Data!H395)</x:f>
        <x:v>31.03</x:v>
      </x:c>
      <x:c r="E395" t="n">
        <x:f>IF(AND(MiniCase_Data!C395="야간",MiniCase_Data!F395="M03"),1,0)</x:f>
        <x:v>0</x:v>
      </x:c>
      <x:c r="F395" t="n">
        <x:f>IF(C395="밖",1,0)</x:f>
        <x:v>0</x:v>
      </x:c>
      <x:c r="G395" t="n">
        <x:f>IF(OR(F395=1,E395=1),1,0)</x:f>
        <x:v>0</x:v>
      </x:c>
      <x:c r="H395" t="str">
        <x:f>IF(B395=1,IF(F395=1,"TP","FN"),IF(F395=1,"FP","TN"))</x:f>
        <x:v>TN</x:v>
      </x:c>
      <x:c r="I395" t="str">
        <x:f>IF(B395=1,IF(G395=1,"TP","FN"),IF(G395=1,"FP","TN"))</x:f>
        <x:v>TN</x:v>
      </x:c>
    </x:row>
    <x:row r="396">
      <x:c r="A396" t="str">
        <x:f>MiniCase_Data!A396</x:f>
        <x:v>R00395</x:v>
      </x:c>
      <x:c r="B396" t="n">
        <x:f>IF(MiniCase_Data!O396="불합격",1,0)</x:f>
        <x:v>0</x:v>
      </x:c>
      <x:c r="C396" t="str">
        <x:f>IF(ISBLANK(MiniCase_Data!H396),"missing",IF(OR(MiniCase_Data!H396&lt;27,MiniCase_Data!H396&gt;33),"밖","안"))</x:f>
        <x:v>안</x:v>
      </x:c>
      <x:c r="D396" t="n">
        <x:f>IF(ISBLANK(MiniCase_Data!H396),VLOOKUP(A396,센서로그!$A$2:$C$13,3,FALSE),MiniCase_Data!H396)</x:f>
        <x:v>29.18</x:v>
      </x:c>
      <x:c r="E396" t="n">
        <x:f>IF(AND(MiniCase_Data!C396="야간",MiniCase_Data!F396="M03"),1,0)</x:f>
        <x:v>0</x:v>
      </x:c>
      <x:c r="F396" t="n">
        <x:f>IF(C396="밖",1,0)</x:f>
        <x:v>0</x:v>
      </x:c>
      <x:c r="G396" t="n">
        <x:f>IF(OR(F396=1,E396=1),1,0)</x:f>
        <x:v>0</x:v>
      </x:c>
      <x:c r="H396" t="str">
        <x:f>IF(B396=1,IF(F396=1,"TP","FN"),IF(F396=1,"FP","TN"))</x:f>
        <x:v>TN</x:v>
      </x:c>
      <x:c r="I396" t="str">
        <x:f>IF(B396=1,IF(G396=1,"TP","FN"),IF(G396=1,"FP","TN"))</x:f>
        <x:v>TN</x:v>
      </x:c>
    </x:row>
    <x:row r="397">
      <x:c r="A397" t="str">
        <x:f>MiniCase_Data!A397</x:f>
        <x:v>R00396</x:v>
      </x:c>
      <x:c r="B397" t="n">
        <x:f>IF(MiniCase_Data!O397="불합격",1,0)</x:f>
        <x:v>0</x:v>
      </x:c>
      <x:c r="C397" t="str">
        <x:f>IF(ISBLANK(MiniCase_Data!H397),"missing",IF(OR(MiniCase_Data!H397&lt;27,MiniCase_Data!H397&gt;33),"밖","안"))</x:f>
        <x:v>안</x:v>
      </x:c>
      <x:c r="D397" t="n">
        <x:f>IF(ISBLANK(MiniCase_Data!H397),VLOOKUP(A397,센서로그!$A$2:$C$13,3,FALSE),MiniCase_Data!H397)</x:f>
        <x:v>28.03</x:v>
      </x:c>
      <x:c r="E397" t="n">
        <x:f>IF(AND(MiniCase_Data!C397="야간",MiniCase_Data!F397="M03"),1,0)</x:f>
        <x:v>0</x:v>
      </x:c>
      <x:c r="F397" t="n">
        <x:f>IF(C397="밖",1,0)</x:f>
        <x:v>0</x:v>
      </x:c>
      <x:c r="G397" t="n">
        <x:f>IF(OR(F397=1,E397=1),1,0)</x:f>
        <x:v>0</x:v>
      </x:c>
      <x:c r="H397" t="str">
        <x:f>IF(B397=1,IF(F397=1,"TP","FN"),IF(F397=1,"FP","TN"))</x:f>
        <x:v>TN</x:v>
      </x:c>
      <x:c r="I397" t="str">
        <x:f>IF(B397=1,IF(G397=1,"TP","FN"),IF(G397=1,"FP","TN"))</x:f>
        <x:v>TN</x:v>
      </x:c>
    </x:row>
    <x:row r="398">
      <x:c r="A398" t="str">
        <x:f>MiniCase_Data!A398</x:f>
        <x:v>R00397</x:v>
      </x:c>
      <x:c r="B398" t="n">
        <x:f>IF(MiniCase_Data!O398="불합격",1,0)</x:f>
        <x:v>0</x:v>
      </x:c>
      <x:c r="C398" t="str">
        <x:f>IF(ISBLANK(MiniCase_Data!H398),"missing",IF(OR(MiniCase_Data!H398&lt;27,MiniCase_Data!H398&gt;33),"밖","안"))</x:f>
        <x:v>안</x:v>
      </x:c>
      <x:c r="D398" t="n">
        <x:f>IF(ISBLANK(MiniCase_Data!H398),VLOOKUP(A398,센서로그!$A$2:$C$13,3,FALSE),MiniCase_Data!H398)</x:f>
        <x:v>27.48</x:v>
      </x:c>
      <x:c r="E398" t="n">
        <x:f>IF(AND(MiniCase_Data!C398="야간",MiniCase_Data!F398="M03"),1,0)</x:f>
        <x:v>0</x:v>
      </x:c>
      <x:c r="F398" t="n">
        <x:f>IF(C398="밖",1,0)</x:f>
        <x:v>0</x:v>
      </x:c>
      <x:c r="G398" t="n">
        <x:f>IF(OR(F398=1,E398=1),1,0)</x:f>
        <x:v>0</x:v>
      </x:c>
      <x:c r="H398" t="str">
        <x:f>IF(B398=1,IF(F398=1,"TP","FN"),IF(F398=1,"FP","TN"))</x:f>
        <x:v>TN</x:v>
      </x:c>
      <x:c r="I398" t="str">
        <x:f>IF(B398=1,IF(G398=1,"TP","FN"),IF(G398=1,"FP","TN"))</x:f>
        <x:v>TN</x:v>
      </x:c>
    </x:row>
    <x:row r="399">
      <x:c r="A399" t="str">
        <x:f>MiniCase_Data!A399</x:f>
        <x:v>R00398</x:v>
      </x:c>
      <x:c r="B399" t="n">
        <x:f>IF(MiniCase_Data!O399="불합격",1,0)</x:f>
        <x:v>0</x:v>
      </x:c>
      <x:c r="C399" t="str">
        <x:f>IF(ISBLANK(MiniCase_Data!H399),"missing",IF(OR(MiniCase_Data!H399&lt;27,MiniCase_Data!H399&gt;33),"밖","안"))</x:f>
        <x:v>안</x:v>
      </x:c>
      <x:c r="D399" t="n">
        <x:f>IF(ISBLANK(MiniCase_Data!H399),VLOOKUP(A399,센서로그!$A$2:$C$13,3,FALSE),MiniCase_Data!H399)</x:f>
        <x:v>29.92</x:v>
      </x:c>
      <x:c r="E399" t="n">
        <x:f>IF(AND(MiniCase_Data!C399="야간",MiniCase_Data!F399="M03"),1,0)</x:f>
        <x:v>1</x:v>
      </x:c>
      <x:c r="F399" t="n">
        <x:f>IF(C399="밖",1,0)</x:f>
        <x:v>0</x:v>
      </x:c>
      <x:c r="G399" t="n">
        <x:f>IF(OR(F399=1,E399=1),1,0)</x:f>
        <x:v>1</x:v>
      </x:c>
      <x:c r="H399" t="str">
        <x:f>IF(B399=1,IF(F399=1,"TP","FN"),IF(F399=1,"FP","TN"))</x:f>
        <x:v>TN</x:v>
      </x:c>
      <x:c r="I399" t="str">
        <x:f>IF(B399=1,IF(G399=1,"TP","FN"),IF(G399=1,"FP","TN"))</x:f>
        <x:v>FP</x:v>
      </x:c>
    </x:row>
    <x:row r="400">
      <x:c r="A400" t="str">
        <x:f>MiniCase_Data!A400</x:f>
        <x:v>R00399</x:v>
      </x:c>
      <x:c r="B400" t="n">
        <x:f>IF(MiniCase_Data!O400="불합격",1,0)</x:f>
        <x:v>0</x:v>
      </x:c>
      <x:c r="C400" t="str">
        <x:f>IF(ISBLANK(MiniCase_Data!H400),"missing",IF(OR(MiniCase_Data!H400&lt;27,MiniCase_Data!H400&gt;33),"밖","안"))</x:f>
        <x:v>안</x:v>
      </x:c>
      <x:c r="D400" t="n">
        <x:f>IF(ISBLANK(MiniCase_Data!H400),VLOOKUP(A400,센서로그!$A$2:$C$13,3,FALSE),MiniCase_Data!H400)</x:f>
        <x:v>31.02</x:v>
      </x:c>
      <x:c r="E400" t="n">
        <x:f>IF(AND(MiniCase_Data!C400="야간",MiniCase_Data!F400="M03"),1,0)</x:f>
        <x:v>0</x:v>
      </x:c>
      <x:c r="F400" t="n">
        <x:f>IF(C400="밖",1,0)</x:f>
        <x:v>0</x:v>
      </x:c>
      <x:c r="G400" t="n">
        <x:f>IF(OR(F400=1,E400=1),1,0)</x:f>
        <x:v>0</x:v>
      </x:c>
      <x:c r="H400" t="str">
        <x:f>IF(B400=1,IF(F400=1,"TP","FN"),IF(F400=1,"FP","TN"))</x:f>
        <x:v>TN</x:v>
      </x:c>
      <x:c r="I400" t="str">
        <x:f>IF(B400=1,IF(G400=1,"TP","FN"),IF(G400=1,"FP","TN"))</x:f>
        <x:v>TN</x:v>
      </x:c>
    </x:row>
    <x:row r="401">
      <x:c r="A401" t="str">
        <x:f>MiniCase_Data!A401</x:f>
        <x:v>R00400</x:v>
      </x:c>
      <x:c r="B401" t="n">
        <x:f>IF(MiniCase_Data!O401="불합격",1,0)</x:f>
        <x:v>1</x:v>
      </x:c>
      <x:c r="C401" t="str">
        <x:f>IF(ISBLANK(MiniCase_Data!H401),"missing",IF(OR(MiniCase_Data!H401&lt;27,MiniCase_Data!H401&gt;33),"밖","안"))</x:f>
        <x:v>안</x:v>
      </x:c>
      <x:c r="D401" t="n">
        <x:f>IF(ISBLANK(MiniCase_Data!H401),VLOOKUP(A401,센서로그!$A$2:$C$13,3,FALSE),MiniCase_Data!H401)</x:f>
        <x:v>29.19</x:v>
      </x:c>
      <x:c r="E401" t="n">
        <x:f>IF(AND(MiniCase_Data!C401="야간",MiniCase_Data!F401="M03"),1,0)</x:f>
        <x:v>0</x:v>
      </x:c>
      <x:c r="F401" t="n">
        <x:f>IF(C401="밖",1,0)</x:f>
        <x:v>0</x:v>
      </x:c>
      <x:c r="G401" t="n">
        <x:f>IF(OR(F401=1,E401=1),1,0)</x:f>
        <x:v>0</x:v>
      </x:c>
      <x:c r="H401" t="str">
        <x:f>IF(B401=1,IF(F401=1,"TP","FN"),IF(F401=1,"FP","TN"))</x:f>
        <x:v>FN</x:v>
      </x:c>
      <x:c r="I401" t="str">
        <x:f>IF(B401=1,IF(G401=1,"TP","FN"),IF(G401=1,"FP","TN"))</x:f>
        <x:v>FN</x:v>
      </x:c>
    </x:row>
    <x:row r="402">
      <x:c r="A402" t="str">
        <x:f>MiniCase_Data!A402</x:f>
        <x:v>R00401</x:v>
      </x:c>
      <x:c r="B402" t="n">
        <x:f>IF(MiniCase_Data!O402="불합격",1,0)</x:f>
        <x:v>0</x:v>
      </x:c>
      <x:c r="C402" t="str">
        <x:f>IF(ISBLANK(MiniCase_Data!H402),"missing",IF(OR(MiniCase_Data!H402&lt;27,MiniCase_Data!H402&gt;33),"밖","안"))</x:f>
        <x:v>안</x:v>
      </x:c>
      <x:c r="D402" t="n">
        <x:f>IF(ISBLANK(MiniCase_Data!H402),VLOOKUP(A402,센서로그!$A$2:$C$13,3,FALSE),MiniCase_Data!H402)</x:f>
        <x:v>29.34</x:v>
      </x:c>
      <x:c r="E402" t="n">
        <x:f>IF(AND(MiniCase_Data!C402="야간",MiniCase_Data!F402="M03"),1,0)</x:f>
        <x:v>0</x:v>
      </x:c>
      <x:c r="F402" t="n">
        <x:f>IF(C402="밖",1,0)</x:f>
        <x:v>0</x:v>
      </x:c>
      <x:c r="G402" t="n">
        <x:f>IF(OR(F402=1,E402=1),1,0)</x:f>
        <x:v>0</x:v>
      </x:c>
      <x:c r="H402" t="str">
        <x:f>IF(B402=1,IF(F402=1,"TP","FN"),IF(F402=1,"FP","TN"))</x:f>
        <x:v>TN</x:v>
      </x:c>
      <x:c r="I402" t="str">
        <x:f>IF(B402=1,IF(G402=1,"TP","FN"),IF(G402=1,"FP","TN"))</x:f>
        <x:v>TN</x:v>
      </x:c>
    </x:row>
    <x:row r="403">
      <x:c r="A403" t="str">
        <x:f>MiniCase_Data!A403</x:f>
        <x:v>R00402</x:v>
      </x:c>
      <x:c r="B403" t="n">
        <x:f>IF(MiniCase_Data!O403="불합격",1,0)</x:f>
        <x:v>0</x:v>
      </x:c>
      <x:c r="C403" t="str">
        <x:f>IF(ISBLANK(MiniCase_Data!H403),"missing",IF(OR(MiniCase_Data!H403&lt;27,MiniCase_Data!H403&gt;33),"밖","안"))</x:f>
        <x:v>안</x:v>
      </x:c>
      <x:c r="D403" t="n">
        <x:f>IF(ISBLANK(MiniCase_Data!H403),VLOOKUP(A403,센서로그!$A$2:$C$13,3,FALSE),MiniCase_Data!H403)</x:f>
        <x:v>32.42</x:v>
      </x:c>
      <x:c r="E403" t="n">
        <x:f>IF(AND(MiniCase_Data!C403="야간",MiniCase_Data!F403="M03"),1,0)</x:f>
        <x:v>0</x:v>
      </x:c>
      <x:c r="F403" t="n">
        <x:f>IF(C403="밖",1,0)</x:f>
        <x:v>0</x:v>
      </x:c>
      <x:c r="G403" t="n">
        <x:f>IF(OR(F403=1,E403=1),1,0)</x:f>
        <x:v>0</x:v>
      </x:c>
      <x:c r="H403" t="str">
        <x:f>IF(B403=1,IF(F403=1,"TP","FN"),IF(F403=1,"FP","TN"))</x:f>
        <x:v>TN</x:v>
      </x:c>
      <x:c r="I403" t="str">
        <x:f>IF(B403=1,IF(G403=1,"TP","FN"),IF(G403=1,"FP","TN"))</x:f>
        <x:v>TN</x:v>
      </x:c>
    </x:row>
    <x:row r="404">
      <x:c r="A404" t="str">
        <x:f>MiniCase_Data!A404</x:f>
        <x:v>R00403</x:v>
      </x:c>
      <x:c r="B404" t="n">
        <x:f>IF(MiniCase_Data!O404="불합격",1,0)</x:f>
        <x:v>1</x:v>
      </x:c>
      <x:c r="C404" t="str">
        <x:f>IF(ISBLANK(MiniCase_Data!H404),"missing",IF(OR(MiniCase_Data!H404&lt;27,MiniCase_Data!H404&gt;33),"밖","안"))</x:f>
        <x:v>밖</x:v>
      </x:c>
      <x:c r="D404" t="n">
        <x:f>IF(ISBLANK(MiniCase_Data!H404),VLOOKUP(A404,센서로그!$A$2:$C$13,3,FALSE),MiniCase_Data!H404)</x:f>
        <x:v>33.82</x:v>
      </x:c>
      <x:c r="E404" t="n">
        <x:f>IF(AND(MiniCase_Data!C404="야간",MiniCase_Data!F404="M03"),1,0)</x:f>
        <x:v>0</x:v>
      </x:c>
      <x:c r="F404" t="n">
        <x:f>IF(C404="밖",1,0)</x:f>
        <x:v>1</x:v>
      </x:c>
      <x:c r="G404" t="n">
        <x:f>IF(OR(F404=1,E404=1),1,0)</x:f>
        <x:v>1</x:v>
      </x:c>
      <x:c r="H404" t="str">
        <x:f>IF(B404=1,IF(F404=1,"TP","FN"),IF(F404=1,"FP","TN"))</x:f>
        <x:v>TP</x:v>
      </x:c>
      <x:c r="I404" t="str">
        <x:f>IF(B404=1,IF(G404=1,"TP","FN"),IF(G404=1,"FP","TN"))</x:f>
        <x:v>TP</x:v>
      </x:c>
    </x:row>
    <x:row r="405">
      <x:c r="A405" t="str">
        <x:f>MiniCase_Data!A405</x:f>
        <x:v>R00404</x:v>
      </x:c>
      <x:c r="B405" t="n">
        <x:f>IF(MiniCase_Data!O405="불합격",1,0)</x:f>
        <x:v>0</x:v>
      </x:c>
      <x:c r="C405" t="str">
        <x:f>IF(ISBLANK(MiniCase_Data!H405),"missing",IF(OR(MiniCase_Data!H405&lt;27,MiniCase_Data!H405&gt;33),"밖","안"))</x:f>
        <x:v>안</x:v>
      </x:c>
      <x:c r="D405" t="n">
        <x:f>IF(ISBLANK(MiniCase_Data!H405),VLOOKUP(A405,센서로그!$A$2:$C$13,3,FALSE),MiniCase_Data!H405)</x:f>
        <x:v>27.63</x:v>
      </x:c>
      <x:c r="E405" t="n">
        <x:f>IF(AND(MiniCase_Data!C405="야간",MiniCase_Data!F405="M03"),1,0)</x:f>
        <x:v>1</x:v>
      </x:c>
      <x:c r="F405" t="n">
        <x:f>IF(C405="밖",1,0)</x:f>
        <x:v>0</x:v>
      </x:c>
      <x:c r="G405" t="n">
        <x:f>IF(OR(F405=1,E405=1),1,0)</x:f>
        <x:v>1</x:v>
      </x:c>
      <x:c r="H405" t="str">
        <x:f>IF(B405=1,IF(F405=1,"TP","FN"),IF(F405=1,"FP","TN"))</x:f>
        <x:v>TN</x:v>
      </x:c>
      <x:c r="I405" t="str">
        <x:f>IF(B405=1,IF(G405=1,"TP","FN"),IF(G405=1,"FP","TN"))</x:f>
        <x:v>FP</x:v>
      </x:c>
    </x:row>
    <x:row r="406">
      <x:c r="A406" t="str">
        <x:f>MiniCase_Data!A406</x:f>
        <x:v>R00405</x:v>
      </x:c>
      <x:c r="B406" t="n">
        <x:f>IF(MiniCase_Data!O406="불합격",1,0)</x:f>
        <x:v>0</x:v>
      </x:c>
      <x:c r="C406" t="str">
        <x:f>IF(ISBLANK(MiniCase_Data!H406),"missing",IF(OR(MiniCase_Data!H406&lt;27,MiniCase_Data!H406&gt;33),"밖","안"))</x:f>
        <x:v>안</x:v>
      </x:c>
      <x:c r="D406" t="n">
        <x:f>IF(ISBLANK(MiniCase_Data!H406),VLOOKUP(A406,센서로그!$A$2:$C$13,3,FALSE),MiniCase_Data!H406)</x:f>
        <x:v>27.52</x:v>
      </x:c>
      <x:c r="E406" t="n">
        <x:f>IF(AND(MiniCase_Data!C406="야간",MiniCase_Data!F406="M03"),1,0)</x:f>
        <x:v>0</x:v>
      </x:c>
      <x:c r="F406" t="n">
        <x:f>IF(C406="밖",1,0)</x:f>
        <x:v>0</x:v>
      </x:c>
      <x:c r="G406" t="n">
        <x:f>IF(OR(F406=1,E406=1),1,0)</x:f>
        <x:v>0</x:v>
      </x:c>
      <x:c r="H406" t="str">
        <x:f>IF(B406=1,IF(F406=1,"TP","FN"),IF(F406=1,"FP","TN"))</x:f>
        <x:v>TN</x:v>
      </x:c>
      <x:c r="I406" t="str">
        <x:f>IF(B406=1,IF(G406=1,"TP","FN"),IF(G406=1,"FP","TN"))</x:f>
        <x:v>TN</x:v>
      </x:c>
    </x:row>
    <x:row r="407">
      <x:c r="A407" t="str">
        <x:f>MiniCase_Data!A407</x:f>
        <x:v>R00406</x:v>
      </x:c>
      <x:c r="B407" t="n">
        <x:f>IF(MiniCase_Data!O407="불합격",1,0)</x:f>
        <x:v>0</x:v>
      </x:c>
      <x:c r="C407" t="str">
        <x:f>IF(ISBLANK(MiniCase_Data!H407),"missing",IF(OR(MiniCase_Data!H407&lt;27,MiniCase_Data!H407&gt;33),"밖","안"))</x:f>
        <x:v>안</x:v>
      </x:c>
      <x:c r="D407" t="n">
        <x:f>IF(ISBLANK(MiniCase_Data!H407),VLOOKUP(A407,센서로그!$A$2:$C$13,3,FALSE),MiniCase_Data!H407)</x:f>
        <x:v>30.18</x:v>
      </x:c>
      <x:c r="E407" t="n">
        <x:f>IF(AND(MiniCase_Data!C407="야간",MiniCase_Data!F407="M03"),1,0)</x:f>
        <x:v>0</x:v>
      </x:c>
      <x:c r="F407" t="n">
        <x:f>IF(C407="밖",1,0)</x:f>
        <x:v>0</x:v>
      </x:c>
      <x:c r="G407" t="n">
        <x:f>IF(OR(F407=1,E407=1),1,0)</x:f>
        <x:v>0</x:v>
      </x:c>
      <x:c r="H407" t="str">
        <x:f>IF(B407=1,IF(F407=1,"TP","FN"),IF(F407=1,"FP","TN"))</x:f>
        <x:v>TN</x:v>
      </x:c>
      <x:c r="I407" t="str">
        <x:f>IF(B407=1,IF(G407=1,"TP","FN"),IF(G407=1,"FP","TN"))</x:f>
        <x:v>TN</x:v>
      </x:c>
    </x:row>
    <x:row r="408">
      <x:c r="A408" t="str">
        <x:f>MiniCase_Data!A408</x:f>
        <x:v>R00407</x:v>
      </x:c>
      <x:c r="B408" t="n">
        <x:f>IF(MiniCase_Data!O408="불합격",1,0)</x:f>
        <x:v>0</x:v>
      </x:c>
      <x:c r="C408" t="str">
        <x:f>IF(ISBLANK(MiniCase_Data!H408),"missing",IF(OR(MiniCase_Data!H408&lt;27,MiniCase_Data!H408&gt;33),"밖","안"))</x:f>
        <x:v>안</x:v>
      </x:c>
      <x:c r="D408" t="n">
        <x:f>IF(ISBLANK(MiniCase_Data!H408),VLOOKUP(A408,센서로그!$A$2:$C$13,3,FALSE),MiniCase_Data!H408)</x:f>
        <x:v>32.02</x:v>
      </x:c>
      <x:c r="E408" t="n">
        <x:f>IF(AND(MiniCase_Data!C408="야간",MiniCase_Data!F408="M03"),1,0)</x:f>
        <x:v>0</x:v>
      </x:c>
      <x:c r="F408" t="n">
        <x:f>IF(C408="밖",1,0)</x:f>
        <x:v>0</x:v>
      </x:c>
      <x:c r="G408" t="n">
        <x:f>IF(OR(F408=1,E408=1),1,0)</x:f>
        <x:v>0</x:v>
      </x:c>
      <x:c r="H408" t="str">
        <x:f>IF(B408=1,IF(F408=1,"TP","FN"),IF(F408=1,"FP","TN"))</x:f>
        <x:v>TN</x:v>
      </x:c>
      <x:c r="I408" t="str">
        <x:f>IF(B408=1,IF(G408=1,"TP","FN"),IF(G408=1,"FP","TN"))</x:f>
        <x:v>TN</x:v>
      </x:c>
    </x:row>
    <x:row r="409">
      <x:c r="A409" t="str">
        <x:f>MiniCase_Data!A409</x:f>
        <x:v>R00408</x:v>
      </x:c>
      <x:c r="B409" t="n">
        <x:f>IF(MiniCase_Data!O409="불합격",1,0)</x:f>
        <x:v>0</x:v>
      </x:c>
      <x:c r="C409" t="str">
        <x:f>IF(ISBLANK(MiniCase_Data!H409),"missing",IF(OR(MiniCase_Data!H409&lt;27,MiniCase_Data!H409&gt;33),"밖","안"))</x:f>
        <x:v>안</x:v>
      </x:c>
      <x:c r="D409" t="n">
        <x:f>IF(ISBLANK(MiniCase_Data!H409),VLOOKUP(A409,센서로그!$A$2:$C$13,3,FALSE),MiniCase_Data!H409)</x:f>
        <x:v>27.42</x:v>
      </x:c>
      <x:c r="E409" t="n">
        <x:f>IF(AND(MiniCase_Data!C409="야간",MiniCase_Data!F409="M03"),1,0)</x:f>
        <x:v>0</x:v>
      </x:c>
      <x:c r="F409" t="n">
        <x:f>IF(C409="밖",1,0)</x:f>
        <x:v>0</x:v>
      </x:c>
      <x:c r="G409" t="n">
        <x:f>IF(OR(F409=1,E409=1),1,0)</x:f>
        <x:v>0</x:v>
      </x:c>
      <x:c r="H409" t="str">
        <x:f>IF(B409=1,IF(F409=1,"TP","FN"),IF(F409=1,"FP","TN"))</x:f>
        <x:v>TN</x:v>
      </x:c>
      <x:c r="I409" t="str">
        <x:f>IF(B409=1,IF(G409=1,"TP","FN"),IF(G409=1,"FP","TN"))</x:f>
        <x:v>TN</x:v>
      </x:c>
    </x:row>
    <x:row r="410">
      <x:c r="A410" t="str">
        <x:f>MiniCase_Data!A410</x:f>
        <x:v>R00409</x:v>
      </x:c>
      <x:c r="B410" t="n">
        <x:f>IF(MiniCase_Data!O410="불합격",1,0)</x:f>
        <x:v>0</x:v>
      </x:c>
      <x:c r="C410" t="str">
        <x:f>IF(ISBLANK(MiniCase_Data!H410),"missing",IF(OR(MiniCase_Data!H410&lt;27,MiniCase_Data!H410&gt;33),"밖","안"))</x:f>
        <x:v>안</x:v>
      </x:c>
      <x:c r="D410" t="n">
        <x:f>IF(ISBLANK(MiniCase_Data!H410),VLOOKUP(A410,센서로그!$A$2:$C$13,3,FALSE),MiniCase_Data!H410)</x:f>
        <x:v>31.7</x:v>
      </x:c>
      <x:c r="E410" t="n">
        <x:f>IF(AND(MiniCase_Data!C410="야간",MiniCase_Data!F410="M03"),1,0)</x:f>
        <x:v>0</x:v>
      </x:c>
      <x:c r="F410" t="n">
        <x:f>IF(C410="밖",1,0)</x:f>
        <x:v>0</x:v>
      </x:c>
      <x:c r="G410" t="n">
        <x:f>IF(OR(F410=1,E410=1),1,0)</x:f>
        <x:v>0</x:v>
      </x:c>
      <x:c r="H410" t="str">
        <x:f>IF(B410=1,IF(F410=1,"TP","FN"),IF(F410=1,"FP","TN"))</x:f>
        <x:v>TN</x:v>
      </x:c>
      <x:c r="I410" t="str">
        <x:f>IF(B410=1,IF(G410=1,"TP","FN"),IF(G410=1,"FP","TN"))</x:f>
        <x:v>TN</x:v>
      </x:c>
    </x:row>
    <x:row r="411">
      <x:c r="A411" t="str">
        <x:f>MiniCase_Data!A411</x:f>
        <x:v>R00410</x:v>
      </x:c>
      <x:c r="B411" t="n">
        <x:f>IF(MiniCase_Data!O411="불합격",1,0)</x:f>
        <x:v>0</x:v>
      </x:c>
      <x:c r="C411" t="str">
        <x:f>IF(ISBLANK(MiniCase_Data!H411),"missing",IF(OR(MiniCase_Data!H411&lt;27,MiniCase_Data!H411&gt;33),"밖","안"))</x:f>
        <x:v>안</x:v>
      </x:c>
      <x:c r="D411" t="n">
        <x:f>IF(ISBLANK(MiniCase_Data!H411),VLOOKUP(A411,센서로그!$A$2:$C$13,3,FALSE),MiniCase_Data!H411)</x:f>
        <x:v>31.34</x:v>
      </x:c>
      <x:c r="E411" t="n">
        <x:f>IF(AND(MiniCase_Data!C411="야간",MiniCase_Data!F411="M03"),1,0)</x:f>
        <x:v>1</x:v>
      </x:c>
      <x:c r="F411" t="n">
        <x:f>IF(C411="밖",1,0)</x:f>
        <x:v>0</x:v>
      </x:c>
      <x:c r="G411" t="n">
        <x:f>IF(OR(F411=1,E411=1),1,0)</x:f>
        <x:v>1</x:v>
      </x:c>
      <x:c r="H411" t="str">
        <x:f>IF(B411=1,IF(F411=1,"TP","FN"),IF(F411=1,"FP","TN"))</x:f>
        <x:v>TN</x:v>
      </x:c>
      <x:c r="I411" t="str">
        <x:f>IF(B411=1,IF(G411=1,"TP","FN"),IF(G411=1,"FP","TN"))</x:f>
        <x:v>FP</x:v>
      </x:c>
    </x:row>
    <x:row r="412">
      <x:c r="A412" t="str">
        <x:f>MiniCase_Data!A412</x:f>
        <x:v>R00411</x:v>
      </x:c>
      <x:c r="B412" t="n">
        <x:f>IF(MiniCase_Data!O412="불합격",1,0)</x:f>
        <x:v>0</x:v>
      </x:c>
      <x:c r="C412" t="str">
        <x:f>IF(ISBLANK(MiniCase_Data!H412),"missing",IF(OR(MiniCase_Data!H412&lt;27,MiniCase_Data!H412&gt;33),"밖","안"))</x:f>
        <x:v>밖</x:v>
      </x:c>
      <x:c r="D412" t="n">
        <x:f>IF(ISBLANK(MiniCase_Data!H412),VLOOKUP(A412,센서로그!$A$2:$C$13,3,FALSE),MiniCase_Data!H412)</x:f>
        <x:v>33.67</x:v>
      </x:c>
      <x:c r="E412" t="n">
        <x:f>IF(AND(MiniCase_Data!C412="야간",MiniCase_Data!F412="M03"),1,0)</x:f>
        <x:v>1</x:v>
      </x:c>
      <x:c r="F412" t="n">
        <x:f>IF(C412="밖",1,0)</x:f>
        <x:v>1</x:v>
      </x:c>
      <x:c r="G412" t="n">
        <x:f>IF(OR(F412=1,E412=1),1,0)</x:f>
        <x:v>1</x:v>
      </x:c>
      <x:c r="H412" t="str">
        <x:f>IF(B412=1,IF(F412=1,"TP","FN"),IF(F412=1,"FP","TN"))</x:f>
        <x:v>FP</x:v>
      </x:c>
      <x:c r="I412" t="str">
        <x:f>IF(B412=1,IF(G412=1,"TP","FN"),IF(G412=1,"FP","TN"))</x:f>
        <x:v>FP</x:v>
      </x:c>
    </x:row>
    <x:row r="413">
      <x:c r="A413" t="str">
        <x:f>MiniCase_Data!A413</x:f>
        <x:v>R00412</x:v>
      </x:c>
      <x:c r="B413" t="n">
        <x:f>IF(MiniCase_Data!O413="불합격",1,0)</x:f>
        <x:v>0</x:v>
      </x:c>
      <x:c r="C413" t="str">
        <x:f>IF(ISBLANK(MiniCase_Data!H413),"missing",IF(OR(MiniCase_Data!H413&lt;27,MiniCase_Data!H413&gt;33),"밖","안"))</x:f>
        <x:v>밖</x:v>
      </x:c>
      <x:c r="D413" t="n">
        <x:f>IF(ISBLANK(MiniCase_Data!H413),VLOOKUP(A413,센서로그!$A$2:$C$13,3,FALSE),MiniCase_Data!H413)</x:f>
        <x:v>26.19</x:v>
      </x:c>
      <x:c r="E413" t="n">
        <x:f>IF(AND(MiniCase_Data!C413="야간",MiniCase_Data!F413="M03"),1,0)</x:f>
        <x:v>1</x:v>
      </x:c>
      <x:c r="F413" t="n">
        <x:f>IF(C413="밖",1,0)</x:f>
        <x:v>1</x:v>
      </x:c>
      <x:c r="G413" t="n">
        <x:f>IF(OR(F413=1,E413=1),1,0)</x:f>
        <x:v>1</x:v>
      </x:c>
      <x:c r="H413" t="str">
        <x:f>IF(B413=1,IF(F413=1,"TP","FN"),IF(F413=1,"FP","TN"))</x:f>
        <x:v>FP</x:v>
      </x:c>
      <x:c r="I413" t="str">
        <x:f>IF(B413=1,IF(G413=1,"TP","FN"),IF(G413=1,"FP","TN"))</x:f>
        <x:v>FP</x:v>
      </x:c>
    </x:row>
    <x:row r="414">
      <x:c r="A414" t="str">
        <x:f>MiniCase_Data!A414</x:f>
        <x:v>R00413</x:v>
      </x:c>
      <x:c r="B414" t="n">
        <x:f>IF(MiniCase_Data!O414="불합격",1,0)</x:f>
        <x:v>0</x:v>
      </x:c>
      <x:c r="C414" t="str">
        <x:f>IF(ISBLANK(MiniCase_Data!H414),"missing",IF(OR(MiniCase_Data!H414&lt;27,MiniCase_Data!H414&gt;33),"밖","안"))</x:f>
        <x:v>안</x:v>
      </x:c>
      <x:c r="D414" t="n">
        <x:f>IF(ISBLANK(MiniCase_Data!H414),VLOOKUP(A414,센서로그!$A$2:$C$13,3,FALSE),MiniCase_Data!H414)</x:f>
        <x:v>31.96</x:v>
      </x:c>
      <x:c r="E414" t="n">
        <x:f>IF(AND(MiniCase_Data!C414="야간",MiniCase_Data!F414="M03"),1,0)</x:f>
        <x:v>0</x:v>
      </x:c>
      <x:c r="F414" t="n">
        <x:f>IF(C414="밖",1,0)</x:f>
        <x:v>0</x:v>
      </x:c>
      <x:c r="G414" t="n">
        <x:f>IF(OR(F414=1,E414=1),1,0)</x:f>
        <x:v>0</x:v>
      </x:c>
      <x:c r="H414" t="str">
        <x:f>IF(B414=1,IF(F414=1,"TP","FN"),IF(F414=1,"FP","TN"))</x:f>
        <x:v>TN</x:v>
      </x:c>
      <x:c r="I414" t="str">
        <x:f>IF(B414=1,IF(G414=1,"TP","FN"),IF(G414=1,"FP","TN"))</x:f>
        <x:v>TN</x:v>
      </x:c>
    </x:row>
    <x:row r="415">
      <x:c r="A415" t="str">
        <x:f>MiniCase_Data!A415</x:f>
        <x:v>R00414</x:v>
      </x:c>
      <x:c r="B415" t="n">
        <x:f>IF(MiniCase_Data!O415="불합격",1,0)</x:f>
        <x:v>0</x:v>
      </x:c>
      <x:c r="C415" t="str">
        <x:f>IF(ISBLANK(MiniCase_Data!H415),"missing",IF(OR(MiniCase_Data!H415&lt;27,MiniCase_Data!H415&gt;33),"밖","안"))</x:f>
        <x:v>안</x:v>
      </x:c>
      <x:c r="D415" t="n">
        <x:f>IF(ISBLANK(MiniCase_Data!H415),VLOOKUP(A415,센서로그!$A$2:$C$13,3,FALSE),MiniCase_Data!H415)</x:f>
        <x:v>31.36</x:v>
      </x:c>
      <x:c r="E415" t="n">
        <x:f>IF(AND(MiniCase_Data!C415="야간",MiniCase_Data!F415="M03"),1,0)</x:f>
        <x:v>0</x:v>
      </x:c>
      <x:c r="F415" t="n">
        <x:f>IF(C415="밖",1,0)</x:f>
        <x:v>0</x:v>
      </x:c>
      <x:c r="G415" t="n">
        <x:f>IF(OR(F415=1,E415=1),1,0)</x:f>
        <x:v>0</x:v>
      </x:c>
      <x:c r="H415" t="str">
        <x:f>IF(B415=1,IF(F415=1,"TP","FN"),IF(F415=1,"FP","TN"))</x:f>
        <x:v>TN</x:v>
      </x:c>
      <x:c r="I415" t="str">
        <x:f>IF(B415=1,IF(G415=1,"TP","FN"),IF(G415=1,"FP","TN"))</x:f>
        <x:v>TN</x:v>
      </x:c>
    </x:row>
    <x:row r="416">
      <x:c r="A416" t="str">
        <x:f>MiniCase_Data!A416</x:f>
        <x:v>R00415</x:v>
      </x:c>
      <x:c r="B416" t="n">
        <x:f>IF(MiniCase_Data!O416="불합격",1,0)</x:f>
        <x:v>0</x:v>
      </x:c>
      <x:c r="C416" t="str">
        <x:f>IF(ISBLANK(MiniCase_Data!H416),"missing",IF(OR(MiniCase_Data!H416&lt;27,MiniCase_Data!H416&gt;33),"밖","안"))</x:f>
        <x:v>안</x:v>
      </x:c>
      <x:c r="D416" t="n">
        <x:f>IF(ISBLANK(MiniCase_Data!H416),VLOOKUP(A416,센서로그!$A$2:$C$13,3,FALSE),MiniCase_Data!H416)</x:f>
        <x:v>30.92</x:v>
      </x:c>
      <x:c r="E416" t="n">
        <x:f>IF(AND(MiniCase_Data!C416="야간",MiniCase_Data!F416="M03"),1,0)</x:f>
        <x:v>0</x:v>
      </x:c>
      <x:c r="F416" t="n">
        <x:f>IF(C416="밖",1,0)</x:f>
        <x:v>0</x:v>
      </x:c>
      <x:c r="G416" t="n">
        <x:f>IF(OR(F416=1,E416=1),1,0)</x:f>
        <x:v>0</x:v>
      </x:c>
      <x:c r="H416" t="str">
        <x:f>IF(B416=1,IF(F416=1,"TP","FN"),IF(F416=1,"FP","TN"))</x:f>
        <x:v>TN</x:v>
      </x:c>
      <x:c r="I416" t="str">
        <x:f>IF(B416=1,IF(G416=1,"TP","FN"),IF(G416=1,"FP","TN"))</x:f>
        <x:v>TN</x:v>
      </x:c>
    </x:row>
    <x:row r="417">
      <x:c r="A417" t="str">
        <x:f>MiniCase_Data!A417</x:f>
        <x:v>R00416</x:v>
      </x:c>
      <x:c r="B417" t="n">
        <x:f>IF(MiniCase_Data!O417="불합격",1,0)</x:f>
        <x:v>0</x:v>
      </x:c>
      <x:c r="C417" t="str">
        <x:f>IF(ISBLANK(MiniCase_Data!H417),"missing",IF(OR(MiniCase_Data!H417&lt;27,MiniCase_Data!H417&gt;33),"밖","안"))</x:f>
        <x:v>안</x:v>
      </x:c>
      <x:c r="D417" t="n">
        <x:f>IF(ISBLANK(MiniCase_Data!H417),VLOOKUP(A417,센서로그!$A$2:$C$13,3,FALSE),MiniCase_Data!H417)</x:f>
        <x:v>28.31</x:v>
      </x:c>
      <x:c r="E417" t="n">
        <x:f>IF(AND(MiniCase_Data!C417="야간",MiniCase_Data!F417="M03"),1,0)</x:f>
        <x:v>0</x:v>
      </x:c>
      <x:c r="F417" t="n">
        <x:f>IF(C417="밖",1,0)</x:f>
        <x:v>0</x:v>
      </x:c>
      <x:c r="G417" t="n">
        <x:f>IF(OR(F417=1,E417=1),1,0)</x:f>
        <x:v>0</x:v>
      </x:c>
      <x:c r="H417" t="str">
        <x:f>IF(B417=1,IF(F417=1,"TP","FN"),IF(F417=1,"FP","TN"))</x:f>
        <x:v>TN</x:v>
      </x:c>
      <x:c r="I417" t="str">
        <x:f>IF(B417=1,IF(G417=1,"TP","FN"),IF(G417=1,"FP","TN"))</x:f>
        <x:v>TN</x:v>
      </x:c>
    </x:row>
    <x:row r="418">
      <x:c r="A418" t="str">
        <x:f>MiniCase_Data!A418</x:f>
        <x:v>R00417</x:v>
      </x:c>
      <x:c r="B418" t="n">
        <x:f>IF(MiniCase_Data!O418="불합격",1,0)</x:f>
        <x:v>0</x:v>
      </x:c>
      <x:c r="C418" t="str">
        <x:f>IF(ISBLANK(MiniCase_Data!H418),"missing",IF(OR(MiniCase_Data!H418&lt;27,MiniCase_Data!H418&gt;33),"밖","안"))</x:f>
        <x:v>안</x:v>
      </x:c>
      <x:c r="D418" t="n">
        <x:f>IF(ISBLANK(MiniCase_Data!H418),VLOOKUP(A418,센서로그!$A$2:$C$13,3,FALSE),MiniCase_Data!H418)</x:f>
        <x:v>30.82</x:v>
      </x:c>
      <x:c r="E418" t="n">
        <x:f>IF(AND(MiniCase_Data!C418="야간",MiniCase_Data!F418="M03"),1,0)</x:f>
        <x:v>0</x:v>
      </x:c>
      <x:c r="F418" t="n">
        <x:f>IF(C418="밖",1,0)</x:f>
        <x:v>0</x:v>
      </x:c>
      <x:c r="G418" t="n">
        <x:f>IF(OR(F418=1,E418=1),1,0)</x:f>
        <x:v>0</x:v>
      </x:c>
      <x:c r="H418" t="str">
        <x:f>IF(B418=1,IF(F418=1,"TP","FN"),IF(F418=1,"FP","TN"))</x:f>
        <x:v>TN</x:v>
      </x:c>
      <x:c r="I418" t="str">
        <x:f>IF(B418=1,IF(G418=1,"TP","FN"),IF(G418=1,"FP","TN"))</x:f>
        <x:v>TN</x:v>
      </x:c>
    </x:row>
    <x:row r="419">
      <x:c r="A419" t="str">
        <x:f>MiniCase_Data!A419</x:f>
        <x:v>R00418</x:v>
      </x:c>
      <x:c r="B419" t="n">
        <x:f>IF(MiniCase_Data!O419="불합격",1,0)</x:f>
        <x:v>0</x:v>
      </x:c>
      <x:c r="C419" t="str">
        <x:f>IF(ISBLANK(MiniCase_Data!H419),"missing",IF(OR(MiniCase_Data!H419&lt;27,MiniCase_Data!H419&gt;33),"밖","안"))</x:f>
        <x:v>안</x:v>
      </x:c>
      <x:c r="D419" t="n">
        <x:f>IF(ISBLANK(MiniCase_Data!H419),VLOOKUP(A419,센서로그!$A$2:$C$13,3,FALSE),MiniCase_Data!H419)</x:f>
        <x:v>31.77</x:v>
      </x:c>
      <x:c r="E419" t="n">
        <x:f>IF(AND(MiniCase_Data!C419="야간",MiniCase_Data!F419="M03"),1,0)</x:f>
        <x:v>0</x:v>
      </x:c>
      <x:c r="F419" t="n">
        <x:f>IF(C419="밖",1,0)</x:f>
        <x:v>0</x:v>
      </x:c>
      <x:c r="G419" t="n">
        <x:f>IF(OR(F419=1,E419=1),1,0)</x:f>
        <x:v>0</x:v>
      </x:c>
      <x:c r="H419" t="str">
        <x:f>IF(B419=1,IF(F419=1,"TP","FN"),IF(F419=1,"FP","TN"))</x:f>
        <x:v>TN</x:v>
      </x:c>
      <x:c r="I419" t="str">
        <x:f>IF(B419=1,IF(G419=1,"TP","FN"),IF(G419=1,"FP","TN"))</x:f>
        <x:v>TN</x:v>
      </x:c>
    </x:row>
    <x:row r="420">
      <x:c r="A420" t="str">
        <x:f>MiniCase_Data!A420</x:f>
        <x:v>R00419</x:v>
      </x:c>
      <x:c r="B420" t="n">
        <x:f>IF(MiniCase_Data!O420="불합격",1,0)</x:f>
        <x:v>0</x:v>
      </x:c>
      <x:c r="C420" t="str">
        <x:f>IF(ISBLANK(MiniCase_Data!H420),"missing",IF(OR(MiniCase_Data!H420&lt;27,MiniCase_Data!H420&gt;33),"밖","안"))</x:f>
        <x:v>안</x:v>
      </x:c>
      <x:c r="D420" t="n">
        <x:f>IF(ISBLANK(MiniCase_Data!H420),VLOOKUP(A420,센서로그!$A$2:$C$13,3,FALSE),MiniCase_Data!H420)</x:f>
        <x:v>30.82</x:v>
      </x:c>
      <x:c r="E420" t="n">
        <x:f>IF(AND(MiniCase_Data!C420="야간",MiniCase_Data!F420="M03"),1,0)</x:f>
        <x:v>0</x:v>
      </x:c>
      <x:c r="F420" t="n">
        <x:f>IF(C420="밖",1,0)</x:f>
        <x:v>0</x:v>
      </x:c>
      <x:c r="G420" t="n">
        <x:f>IF(OR(F420=1,E420=1),1,0)</x:f>
        <x:v>0</x:v>
      </x:c>
      <x:c r="H420" t="str">
        <x:f>IF(B420=1,IF(F420=1,"TP","FN"),IF(F420=1,"FP","TN"))</x:f>
        <x:v>TN</x:v>
      </x:c>
      <x:c r="I420" t="str">
        <x:f>IF(B420=1,IF(G420=1,"TP","FN"),IF(G420=1,"FP","TN"))</x:f>
        <x:v>TN</x:v>
      </x:c>
    </x:row>
    <x:row r="421">
      <x:c r="A421" t="str">
        <x:f>MiniCase_Data!A421</x:f>
        <x:v>R00420</x:v>
      </x:c>
      <x:c r="B421" t="n">
        <x:f>IF(MiniCase_Data!O421="불합격",1,0)</x:f>
        <x:v>0</x:v>
      </x:c>
      <x:c r="C421" t="str">
        <x:f>IF(ISBLANK(MiniCase_Data!H421),"missing",IF(OR(MiniCase_Data!H421&lt;27,MiniCase_Data!H421&gt;33),"밖","안"))</x:f>
        <x:v>안</x:v>
      </x:c>
      <x:c r="D421" t="n">
        <x:f>IF(ISBLANK(MiniCase_Data!H421),VLOOKUP(A421,센서로그!$A$2:$C$13,3,FALSE),MiniCase_Data!H421)</x:f>
        <x:v>31.14</x:v>
      </x:c>
      <x:c r="E421" t="n">
        <x:f>IF(AND(MiniCase_Data!C421="야간",MiniCase_Data!F421="M03"),1,0)</x:f>
        <x:v>0</x:v>
      </x:c>
      <x:c r="F421" t="n">
        <x:f>IF(C421="밖",1,0)</x:f>
        <x:v>0</x:v>
      </x:c>
      <x:c r="G421" t="n">
        <x:f>IF(OR(F421=1,E421=1),1,0)</x:f>
        <x:v>0</x:v>
      </x:c>
      <x:c r="H421" t="str">
        <x:f>IF(B421=1,IF(F421=1,"TP","FN"),IF(F421=1,"FP","TN"))</x:f>
        <x:v>TN</x:v>
      </x:c>
      <x:c r="I421" t="str">
        <x:f>IF(B421=1,IF(G421=1,"TP","FN"),IF(G421=1,"FP","TN"))</x:f>
        <x:v>TN</x:v>
      </x:c>
    </x:row>
    <x:row r="422">
      <x:c r="A422" t="str">
        <x:f>MiniCase_Data!A422</x:f>
        <x:v>R00421</x:v>
      </x:c>
      <x:c r="B422" t="n">
        <x:f>IF(MiniCase_Data!O422="불합격",1,0)</x:f>
        <x:v>0</x:v>
      </x:c>
      <x:c r="C422" t="str">
        <x:f>IF(ISBLANK(MiniCase_Data!H422),"missing",IF(OR(MiniCase_Data!H422&lt;27,MiniCase_Data!H422&gt;33),"밖","안"))</x:f>
        <x:v>밖</x:v>
      </x:c>
      <x:c r="D422" t="n">
        <x:f>IF(ISBLANK(MiniCase_Data!H422),VLOOKUP(A422,센서로그!$A$2:$C$13,3,FALSE),MiniCase_Data!H422)</x:f>
        <x:v>33.98</x:v>
      </x:c>
      <x:c r="E422" t="n">
        <x:f>IF(AND(MiniCase_Data!C422="야간",MiniCase_Data!F422="M03"),1,0)</x:f>
        <x:v>1</x:v>
      </x:c>
      <x:c r="F422" t="n">
        <x:f>IF(C422="밖",1,0)</x:f>
        <x:v>1</x:v>
      </x:c>
      <x:c r="G422" t="n">
        <x:f>IF(OR(F422=1,E422=1),1,0)</x:f>
        <x:v>1</x:v>
      </x:c>
      <x:c r="H422" t="str">
        <x:f>IF(B422=1,IF(F422=1,"TP","FN"),IF(F422=1,"FP","TN"))</x:f>
        <x:v>FP</x:v>
      </x:c>
      <x:c r="I422" t="str">
        <x:f>IF(B422=1,IF(G422=1,"TP","FN"),IF(G422=1,"FP","TN"))</x:f>
        <x:v>FP</x:v>
      </x:c>
    </x:row>
    <x:row r="423">
      <x:c r="A423" t="str">
        <x:f>MiniCase_Data!A423</x:f>
        <x:v>R00422</x:v>
      </x:c>
      <x:c r="B423" t="n">
        <x:f>IF(MiniCase_Data!O423="불합격",1,0)</x:f>
        <x:v>0</x:v>
      </x:c>
      <x:c r="C423" t="str">
        <x:f>IF(ISBLANK(MiniCase_Data!H423),"missing",IF(OR(MiniCase_Data!H423&lt;27,MiniCase_Data!H423&gt;33),"밖","안"))</x:f>
        <x:v>안</x:v>
      </x:c>
      <x:c r="D423" t="n">
        <x:f>IF(ISBLANK(MiniCase_Data!H423),VLOOKUP(A423,센서로그!$A$2:$C$13,3,FALSE),MiniCase_Data!H423)</x:f>
        <x:v>27.57</x:v>
      </x:c>
      <x:c r="E423" t="n">
        <x:f>IF(AND(MiniCase_Data!C423="야간",MiniCase_Data!F423="M03"),1,0)</x:f>
        <x:v>0</x:v>
      </x:c>
      <x:c r="F423" t="n">
        <x:f>IF(C423="밖",1,0)</x:f>
        <x:v>0</x:v>
      </x:c>
      <x:c r="G423" t="n">
        <x:f>IF(OR(F423=1,E423=1),1,0)</x:f>
        <x:v>0</x:v>
      </x:c>
      <x:c r="H423" t="str">
        <x:f>IF(B423=1,IF(F423=1,"TP","FN"),IF(F423=1,"FP","TN"))</x:f>
        <x:v>TN</x:v>
      </x:c>
      <x:c r="I423" t="str">
        <x:f>IF(B423=1,IF(G423=1,"TP","FN"),IF(G423=1,"FP","TN"))</x:f>
        <x:v>TN</x:v>
      </x:c>
    </x:row>
    <x:row r="424">
      <x:c r="A424" t="str">
        <x:f>MiniCase_Data!A424</x:f>
        <x:v>R00423</x:v>
      </x:c>
      <x:c r="B424" t="n">
        <x:f>IF(MiniCase_Data!O424="불합격",1,0)</x:f>
        <x:v>0</x:v>
      </x:c>
      <x:c r="C424" t="str">
        <x:f>IF(ISBLANK(MiniCase_Data!H424),"missing",IF(OR(MiniCase_Data!H424&lt;27,MiniCase_Data!H424&gt;33),"밖","안"))</x:f>
        <x:v>안</x:v>
      </x:c>
      <x:c r="D424" t="n">
        <x:f>IF(ISBLANK(MiniCase_Data!H424),VLOOKUP(A424,센서로그!$A$2:$C$13,3,FALSE),MiniCase_Data!H424)</x:f>
        <x:v>27.8</x:v>
      </x:c>
      <x:c r="E424" t="n">
        <x:f>IF(AND(MiniCase_Data!C424="야간",MiniCase_Data!F424="M03"),1,0)</x:f>
        <x:v>0</x:v>
      </x:c>
      <x:c r="F424" t="n">
        <x:f>IF(C424="밖",1,0)</x:f>
        <x:v>0</x:v>
      </x:c>
      <x:c r="G424" t="n">
        <x:f>IF(OR(F424=1,E424=1),1,0)</x:f>
        <x:v>0</x:v>
      </x:c>
      <x:c r="H424" t="str">
        <x:f>IF(B424=1,IF(F424=1,"TP","FN"),IF(F424=1,"FP","TN"))</x:f>
        <x:v>TN</x:v>
      </x:c>
      <x:c r="I424" t="str">
        <x:f>IF(B424=1,IF(G424=1,"TP","FN"),IF(G424=1,"FP","TN"))</x:f>
        <x:v>TN</x:v>
      </x:c>
    </x:row>
    <x:row r="425">
      <x:c r="A425" t="str">
        <x:f>MiniCase_Data!A425</x:f>
        <x:v>R00424</x:v>
      </x:c>
      <x:c r="B425" t="n">
        <x:f>IF(MiniCase_Data!O425="불합격",1,0)</x:f>
        <x:v>0</x:v>
      </x:c>
      <x:c r="C425" t="str">
        <x:f>IF(ISBLANK(MiniCase_Data!H425),"missing",IF(OR(MiniCase_Data!H425&lt;27,MiniCase_Data!H425&gt;33),"밖","안"))</x:f>
        <x:v>안</x:v>
      </x:c>
      <x:c r="D425" t="n">
        <x:f>IF(ISBLANK(MiniCase_Data!H425),VLOOKUP(A425,센서로그!$A$2:$C$13,3,FALSE),MiniCase_Data!H425)</x:f>
        <x:v>29.74</x:v>
      </x:c>
      <x:c r="E425" t="n">
        <x:f>IF(AND(MiniCase_Data!C425="야간",MiniCase_Data!F425="M03"),1,0)</x:f>
        <x:v>0</x:v>
      </x:c>
      <x:c r="F425" t="n">
        <x:f>IF(C425="밖",1,0)</x:f>
        <x:v>0</x:v>
      </x:c>
      <x:c r="G425" t="n">
        <x:f>IF(OR(F425=1,E425=1),1,0)</x:f>
        <x:v>0</x:v>
      </x:c>
      <x:c r="H425" t="str">
        <x:f>IF(B425=1,IF(F425=1,"TP","FN"),IF(F425=1,"FP","TN"))</x:f>
        <x:v>TN</x:v>
      </x:c>
      <x:c r="I425" t="str">
        <x:f>IF(B425=1,IF(G425=1,"TP","FN"),IF(G425=1,"FP","TN"))</x:f>
        <x:v>TN</x:v>
      </x:c>
    </x:row>
    <x:row r="426">
      <x:c r="A426" t="str">
        <x:f>MiniCase_Data!A426</x:f>
        <x:v>R00425</x:v>
      </x:c>
      <x:c r="B426" t="n">
        <x:f>IF(MiniCase_Data!O426="불합격",1,0)</x:f>
        <x:v>0</x:v>
      </x:c>
      <x:c r="C426" t="str">
        <x:f>IF(ISBLANK(MiniCase_Data!H426),"missing",IF(OR(MiniCase_Data!H426&lt;27,MiniCase_Data!H426&gt;33),"밖","안"))</x:f>
        <x:v>밖</x:v>
      </x:c>
      <x:c r="D426" t="n">
        <x:f>IF(ISBLANK(MiniCase_Data!H426),VLOOKUP(A426,센서로그!$A$2:$C$13,3,FALSE),MiniCase_Data!H426)</x:f>
        <x:v>33.86</x:v>
      </x:c>
      <x:c r="E426" t="n">
        <x:f>IF(AND(MiniCase_Data!C426="야간",MiniCase_Data!F426="M03"),1,0)</x:f>
        <x:v>1</x:v>
      </x:c>
      <x:c r="F426" t="n">
        <x:f>IF(C426="밖",1,0)</x:f>
        <x:v>1</x:v>
      </x:c>
      <x:c r="G426" t="n">
        <x:f>IF(OR(F426=1,E426=1),1,0)</x:f>
        <x:v>1</x:v>
      </x:c>
      <x:c r="H426" t="str">
        <x:f>IF(B426=1,IF(F426=1,"TP","FN"),IF(F426=1,"FP","TN"))</x:f>
        <x:v>FP</x:v>
      </x:c>
      <x:c r="I426" t="str">
        <x:f>IF(B426=1,IF(G426=1,"TP","FN"),IF(G426=1,"FP","TN"))</x:f>
        <x:v>FP</x:v>
      </x:c>
    </x:row>
    <x:row r="427">
      <x:c r="A427" t="str">
        <x:f>MiniCase_Data!A427</x:f>
        <x:v>R00426</x:v>
      </x:c>
      <x:c r="B427" t="n">
        <x:f>IF(MiniCase_Data!O427="불합격",1,0)</x:f>
        <x:v>0</x:v>
      </x:c>
      <x:c r="C427" t="str">
        <x:f>IF(ISBLANK(MiniCase_Data!H427),"missing",IF(OR(MiniCase_Data!H427&lt;27,MiniCase_Data!H427&gt;33),"밖","안"))</x:f>
        <x:v>안</x:v>
      </x:c>
      <x:c r="D427" t="n">
        <x:f>IF(ISBLANK(MiniCase_Data!H427),VLOOKUP(A427,센서로그!$A$2:$C$13,3,FALSE),MiniCase_Data!H427)</x:f>
        <x:v>27.87</x:v>
      </x:c>
      <x:c r="E427" t="n">
        <x:f>IF(AND(MiniCase_Data!C427="야간",MiniCase_Data!F427="M03"),1,0)</x:f>
        <x:v>0</x:v>
      </x:c>
      <x:c r="F427" t="n">
        <x:f>IF(C427="밖",1,0)</x:f>
        <x:v>0</x:v>
      </x:c>
      <x:c r="G427" t="n">
        <x:f>IF(OR(F427=1,E427=1),1,0)</x:f>
        <x:v>0</x:v>
      </x:c>
      <x:c r="H427" t="str">
        <x:f>IF(B427=1,IF(F427=1,"TP","FN"),IF(F427=1,"FP","TN"))</x:f>
        <x:v>TN</x:v>
      </x:c>
      <x:c r="I427" t="str">
        <x:f>IF(B427=1,IF(G427=1,"TP","FN"),IF(G427=1,"FP","TN"))</x:f>
        <x:v>TN</x:v>
      </x:c>
    </x:row>
    <x:row r="428">
      <x:c r="A428" t="str">
        <x:f>MiniCase_Data!A428</x:f>
        <x:v>R00427</x:v>
      </x:c>
      <x:c r="B428" t="n">
        <x:f>IF(MiniCase_Data!O428="불합격",1,0)</x:f>
        <x:v>0</x:v>
      </x:c>
      <x:c r="C428" t="str">
        <x:f>IF(ISBLANK(MiniCase_Data!H428),"missing",IF(OR(MiniCase_Data!H428&lt;27,MiniCase_Data!H428&gt;33),"밖","안"))</x:f>
        <x:v>안</x:v>
      </x:c>
      <x:c r="D428" t="n">
        <x:f>IF(ISBLANK(MiniCase_Data!H428),VLOOKUP(A428,센서로그!$A$2:$C$13,3,FALSE),MiniCase_Data!H428)</x:f>
        <x:v>31.37</x:v>
      </x:c>
      <x:c r="E428" t="n">
        <x:f>IF(AND(MiniCase_Data!C428="야간",MiniCase_Data!F428="M03"),1,0)</x:f>
        <x:v>0</x:v>
      </x:c>
      <x:c r="F428" t="n">
        <x:f>IF(C428="밖",1,0)</x:f>
        <x:v>0</x:v>
      </x:c>
      <x:c r="G428" t="n">
        <x:f>IF(OR(F428=1,E428=1),1,0)</x:f>
        <x:v>0</x:v>
      </x:c>
      <x:c r="H428" t="str">
        <x:f>IF(B428=1,IF(F428=1,"TP","FN"),IF(F428=1,"FP","TN"))</x:f>
        <x:v>TN</x:v>
      </x:c>
      <x:c r="I428" t="str">
        <x:f>IF(B428=1,IF(G428=1,"TP","FN"),IF(G428=1,"FP","TN"))</x:f>
        <x:v>TN</x:v>
      </x:c>
    </x:row>
    <x:row r="429">
      <x:c r="A429" t="str">
        <x:f>MiniCase_Data!A429</x:f>
        <x:v>R00428</x:v>
      </x:c>
      <x:c r="B429" t="n">
        <x:f>IF(MiniCase_Data!O429="불합격",1,0)</x:f>
        <x:v>0</x:v>
      </x:c>
      <x:c r="C429" t="str">
        <x:f>IF(ISBLANK(MiniCase_Data!H429),"missing",IF(OR(MiniCase_Data!H429&lt;27,MiniCase_Data!H429&gt;33),"밖","안"))</x:f>
        <x:v>안</x:v>
      </x:c>
      <x:c r="D429" t="n">
        <x:f>IF(ISBLANK(MiniCase_Data!H429),VLOOKUP(A429,센서로그!$A$2:$C$13,3,FALSE),MiniCase_Data!H429)</x:f>
        <x:v>32.41</x:v>
      </x:c>
      <x:c r="E429" t="n">
        <x:f>IF(AND(MiniCase_Data!C429="야간",MiniCase_Data!F429="M03"),1,0)</x:f>
        <x:v>0</x:v>
      </x:c>
      <x:c r="F429" t="n">
        <x:f>IF(C429="밖",1,0)</x:f>
        <x:v>0</x:v>
      </x:c>
      <x:c r="G429" t="n">
        <x:f>IF(OR(F429=1,E429=1),1,0)</x:f>
        <x:v>0</x:v>
      </x:c>
      <x:c r="H429" t="str">
        <x:f>IF(B429=1,IF(F429=1,"TP","FN"),IF(F429=1,"FP","TN"))</x:f>
        <x:v>TN</x:v>
      </x:c>
      <x:c r="I429" t="str">
        <x:f>IF(B429=1,IF(G429=1,"TP","FN"),IF(G429=1,"FP","TN"))</x:f>
        <x:v>TN</x:v>
      </x:c>
    </x:row>
    <x:row r="430">
      <x:c r="A430" t="str">
        <x:f>MiniCase_Data!A430</x:f>
        <x:v>R00429</x:v>
      </x:c>
      <x:c r="B430" t="n">
        <x:f>IF(MiniCase_Data!O430="불합격",1,0)</x:f>
        <x:v>0</x:v>
      </x:c>
      <x:c r="C430" t="str">
        <x:f>IF(ISBLANK(MiniCase_Data!H430),"missing",IF(OR(MiniCase_Data!H430&lt;27,MiniCase_Data!H430&gt;33),"밖","안"))</x:f>
        <x:v>안</x:v>
      </x:c>
      <x:c r="D430" t="n">
        <x:f>IF(ISBLANK(MiniCase_Data!H430),VLOOKUP(A430,센서로그!$A$2:$C$13,3,FALSE),MiniCase_Data!H430)</x:f>
        <x:v>31.75</x:v>
      </x:c>
      <x:c r="E430" t="n">
        <x:f>IF(AND(MiniCase_Data!C430="야간",MiniCase_Data!F430="M03"),1,0)</x:f>
        <x:v>0</x:v>
      </x:c>
      <x:c r="F430" t="n">
        <x:f>IF(C430="밖",1,0)</x:f>
        <x:v>0</x:v>
      </x:c>
      <x:c r="G430" t="n">
        <x:f>IF(OR(F430=1,E430=1),1,0)</x:f>
        <x:v>0</x:v>
      </x:c>
      <x:c r="H430" t="str">
        <x:f>IF(B430=1,IF(F430=1,"TP","FN"),IF(F430=1,"FP","TN"))</x:f>
        <x:v>TN</x:v>
      </x:c>
      <x:c r="I430" t="str">
        <x:f>IF(B430=1,IF(G430=1,"TP","FN"),IF(G430=1,"FP","TN"))</x:f>
        <x:v>TN</x:v>
      </x:c>
    </x:row>
    <x:row r="431">
      <x:c r="A431" t="str">
        <x:f>MiniCase_Data!A431</x:f>
        <x:v>R00430</x:v>
      </x:c>
      <x:c r="B431" t="n">
        <x:f>IF(MiniCase_Data!O431="불합격",1,0)</x:f>
        <x:v>0</x:v>
      </x:c>
      <x:c r="C431" t="str">
        <x:f>IF(ISBLANK(MiniCase_Data!H431),"missing",IF(OR(MiniCase_Data!H431&lt;27,MiniCase_Data!H431&gt;33),"밖","안"))</x:f>
        <x:v>밖</x:v>
      </x:c>
      <x:c r="D431" t="n">
        <x:f>IF(ISBLANK(MiniCase_Data!H431),VLOOKUP(A431,센서로그!$A$2:$C$13,3,FALSE),MiniCase_Data!H431)</x:f>
        <x:v>25.88</x:v>
      </x:c>
      <x:c r="E431" t="n">
        <x:f>IF(AND(MiniCase_Data!C431="야간",MiniCase_Data!F431="M03"),1,0)</x:f>
        <x:v>1</x:v>
      </x:c>
      <x:c r="F431" t="n">
        <x:f>IF(C431="밖",1,0)</x:f>
        <x:v>1</x:v>
      </x:c>
      <x:c r="G431" t="n">
        <x:f>IF(OR(F431=1,E431=1),1,0)</x:f>
        <x:v>1</x:v>
      </x:c>
      <x:c r="H431" t="str">
        <x:f>IF(B431=1,IF(F431=1,"TP","FN"),IF(F431=1,"FP","TN"))</x:f>
        <x:v>FP</x:v>
      </x:c>
      <x:c r="I431" t="str">
        <x:f>IF(B431=1,IF(G431=1,"TP","FN"),IF(G431=1,"FP","TN"))</x:f>
        <x:v>FP</x:v>
      </x:c>
    </x:row>
    <x:row r="432">
      <x:c r="A432" t="str">
        <x:f>MiniCase_Data!A432</x:f>
        <x:v>R00431</x:v>
      </x:c>
      <x:c r="B432" t="n">
        <x:f>IF(MiniCase_Data!O432="불합격",1,0)</x:f>
        <x:v>0</x:v>
      </x:c>
      <x:c r="C432" t="str">
        <x:f>IF(ISBLANK(MiniCase_Data!H432),"missing",IF(OR(MiniCase_Data!H432&lt;27,MiniCase_Data!H432&gt;33),"밖","안"))</x:f>
        <x:v>안</x:v>
      </x:c>
      <x:c r="D432" t="n">
        <x:f>IF(ISBLANK(MiniCase_Data!H432),VLOOKUP(A432,센서로그!$A$2:$C$13,3,FALSE),MiniCase_Data!H432)</x:f>
        <x:v>31.96</x:v>
      </x:c>
      <x:c r="E432" t="n">
        <x:f>IF(AND(MiniCase_Data!C432="야간",MiniCase_Data!F432="M03"),1,0)</x:f>
        <x:v>0</x:v>
      </x:c>
      <x:c r="F432" t="n">
        <x:f>IF(C432="밖",1,0)</x:f>
        <x:v>0</x:v>
      </x:c>
      <x:c r="G432" t="n">
        <x:f>IF(OR(F432=1,E432=1),1,0)</x:f>
        <x:v>0</x:v>
      </x:c>
      <x:c r="H432" t="str">
        <x:f>IF(B432=1,IF(F432=1,"TP","FN"),IF(F432=1,"FP","TN"))</x:f>
        <x:v>TN</x:v>
      </x:c>
      <x:c r="I432" t="str">
        <x:f>IF(B432=1,IF(G432=1,"TP","FN"),IF(G432=1,"FP","TN"))</x:f>
        <x:v>TN</x:v>
      </x:c>
    </x:row>
    <x:row r="433">
      <x:c r="A433" t="str">
        <x:f>MiniCase_Data!A433</x:f>
        <x:v>R00432</x:v>
      </x:c>
      <x:c r="B433" t="n">
        <x:f>IF(MiniCase_Data!O433="불합격",1,0)</x:f>
        <x:v>0</x:v>
      </x:c>
      <x:c r="C433" t="str">
        <x:f>IF(ISBLANK(MiniCase_Data!H433),"missing",IF(OR(MiniCase_Data!H433&lt;27,MiniCase_Data!H433&gt;33),"밖","안"))</x:f>
        <x:v>안</x:v>
      </x:c>
      <x:c r="D433" t="n">
        <x:f>IF(ISBLANK(MiniCase_Data!H433),VLOOKUP(A433,센서로그!$A$2:$C$13,3,FALSE),MiniCase_Data!H433)</x:f>
        <x:v>30.28</x:v>
      </x:c>
      <x:c r="E433" t="n">
        <x:f>IF(AND(MiniCase_Data!C433="야간",MiniCase_Data!F433="M03"),1,0)</x:f>
        <x:v>0</x:v>
      </x:c>
      <x:c r="F433" t="n">
        <x:f>IF(C433="밖",1,0)</x:f>
        <x:v>0</x:v>
      </x:c>
      <x:c r="G433" t="n">
        <x:f>IF(OR(F433=1,E433=1),1,0)</x:f>
        <x:v>0</x:v>
      </x:c>
      <x:c r="H433" t="str">
        <x:f>IF(B433=1,IF(F433=1,"TP","FN"),IF(F433=1,"FP","TN"))</x:f>
        <x:v>TN</x:v>
      </x:c>
      <x:c r="I433" t="str">
        <x:f>IF(B433=1,IF(G433=1,"TP","FN"),IF(G433=1,"FP","TN"))</x:f>
        <x:v>TN</x:v>
      </x:c>
    </x:row>
    <x:row r="434">
      <x:c r="A434" t="str">
        <x:f>MiniCase_Data!A434</x:f>
        <x:v>R00433</x:v>
      </x:c>
      <x:c r="B434" t="n">
        <x:f>IF(MiniCase_Data!O434="불합격",1,0)</x:f>
        <x:v>0</x:v>
      </x:c>
      <x:c r="C434" t="str">
        <x:f>IF(ISBLANK(MiniCase_Data!H434),"missing",IF(OR(MiniCase_Data!H434&lt;27,MiniCase_Data!H434&gt;33),"밖","안"))</x:f>
        <x:v>안</x:v>
      </x:c>
      <x:c r="D434" t="n">
        <x:f>IF(ISBLANK(MiniCase_Data!H434),VLOOKUP(A434,센서로그!$A$2:$C$13,3,FALSE),MiniCase_Data!H434)</x:f>
        <x:v>29.86</x:v>
      </x:c>
      <x:c r="E434" t="n">
        <x:f>IF(AND(MiniCase_Data!C434="야간",MiniCase_Data!F434="M03"),1,0)</x:f>
        <x:v>0</x:v>
      </x:c>
      <x:c r="F434" t="n">
        <x:f>IF(C434="밖",1,0)</x:f>
        <x:v>0</x:v>
      </x:c>
      <x:c r="G434" t="n">
        <x:f>IF(OR(F434=1,E434=1),1,0)</x:f>
        <x:v>0</x:v>
      </x:c>
      <x:c r="H434" t="str">
        <x:f>IF(B434=1,IF(F434=1,"TP","FN"),IF(F434=1,"FP","TN"))</x:f>
        <x:v>TN</x:v>
      </x:c>
      <x:c r="I434" t="str">
        <x:f>IF(B434=1,IF(G434=1,"TP","FN"),IF(G434=1,"FP","TN"))</x:f>
        <x:v>TN</x:v>
      </x:c>
    </x:row>
    <x:row r="435">
      <x:c r="A435" t="str">
        <x:f>MiniCase_Data!A435</x:f>
        <x:v>R00434</x:v>
      </x:c>
      <x:c r="B435" t="n">
        <x:f>IF(MiniCase_Data!O435="불합격",1,0)</x:f>
        <x:v>0</x:v>
      </x:c>
      <x:c r="C435" t="str">
        <x:f>IF(ISBLANK(MiniCase_Data!H435),"missing",IF(OR(MiniCase_Data!H435&lt;27,MiniCase_Data!H435&gt;33),"밖","안"))</x:f>
        <x:v>안</x:v>
      </x:c>
      <x:c r="D435" t="n">
        <x:f>IF(ISBLANK(MiniCase_Data!H435),VLOOKUP(A435,센서로그!$A$2:$C$13,3,FALSE),MiniCase_Data!H435)</x:f>
        <x:v>27.88</x:v>
      </x:c>
      <x:c r="E435" t="n">
        <x:f>IF(AND(MiniCase_Data!C435="야간",MiniCase_Data!F435="M03"),1,0)</x:f>
        <x:v>0</x:v>
      </x:c>
      <x:c r="F435" t="n">
        <x:f>IF(C435="밖",1,0)</x:f>
        <x:v>0</x:v>
      </x:c>
      <x:c r="G435" t="n">
        <x:f>IF(OR(F435=1,E435=1),1,0)</x:f>
        <x:v>0</x:v>
      </x:c>
      <x:c r="H435" t="str">
        <x:f>IF(B435=1,IF(F435=1,"TP","FN"),IF(F435=1,"FP","TN"))</x:f>
        <x:v>TN</x:v>
      </x:c>
      <x:c r="I435" t="str">
        <x:f>IF(B435=1,IF(G435=1,"TP","FN"),IF(G435=1,"FP","TN"))</x:f>
        <x:v>TN</x:v>
      </x:c>
    </x:row>
    <x:row r="436">
      <x:c r="A436" t="str">
        <x:f>MiniCase_Data!A436</x:f>
        <x:v>R00435</x:v>
      </x:c>
      <x:c r="B436" t="n">
        <x:f>IF(MiniCase_Data!O436="불합격",1,0)</x:f>
        <x:v>0</x:v>
      </x:c>
      <x:c r="C436" t="str">
        <x:f>IF(ISBLANK(MiniCase_Data!H436),"missing",IF(OR(MiniCase_Data!H436&lt;27,MiniCase_Data!H436&gt;33),"밖","안"))</x:f>
        <x:v>안</x:v>
      </x:c>
      <x:c r="D436" t="n">
        <x:f>IF(ISBLANK(MiniCase_Data!H436),VLOOKUP(A436,센서로그!$A$2:$C$13,3,FALSE),MiniCase_Data!H436)</x:f>
        <x:v>32.42</x:v>
      </x:c>
      <x:c r="E436" t="n">
        <x:f>IF(AND(MiniCase_Data!C436="야간",MiniCase_Data!F436="M03"),1,0)</x:f>
        <x:v>0</x:v>
      </x:c>
      <x:c r="F436" t="n">
        <x:f>IF(C436="밖",1,0)</x:f>
        <x:v>0</x:v>
      </x:c>
      <x:c r="G436" t="n">
        <x:f>IF(OR(F436=1,E436=1),1,0)</x:f>
        <x:v>0</x:v>
      </x:c>
      <x:c r="H436" t="str">
        <x:f>IF(B436=1,IF(F436=1,"TP","FN"),IF(F436=1,"FP","TN"))</x:f>
        <x:v>TN</x:v>
      </x:c>
      <x:c r="I436" t="str">
        <x:f>IF(B436=1,IF(G436=1,"TP","FN"),IF(G436=1,"FP","TN"))</x:f>
        <x:v>TN</x:v>
      </x:c>
    </x:row>
    <x:row r="437">
      <x:c r="A437" t="str">
        <x:f>MiniCase_Data!A437</x:f>
        <x:v>R00436</x:v>
      </x:c>
      <x:c r="B437" t="n">
        <x:f>IF(MiniCase_Data!O437="불합격",1,0)</x:f>
        <x:v>0</x:v>
      </x:c>
      <x:c r="C437" t="str">
        <x:f>IF(ISBLANK(MiniCase_Data!H437),"missing",IF(OR(MiniCase_Data!H437&lt;27,MiniCase_Data!H437&gt;33),"밖","안"))</x:f>
        <x:v>안</x:v>
      </x:c>
      <x:c r="D437" t="n">
        <x:f>IF(ISBLANK(MiniCase_Data!H437),VLOOKUP(A437,센서로그!$A$2:$C$13,3,FALSE),MiniCase_Data!H437)</x:f>
        <x:v>32.78</x:v>
      </x:c>
      <x:c r="E437" t="n">
        <x:f>IF(AND(MiniCase_Data!C437="야간",MiniCase_Data!F437="M03"),1,0)</x:f>
        <x:v>0</x:v>
      </x:c>
      <x:c r="F437" t="n">
        <x:f>IF(C437="밖",1,0)</x:f>
        <x:v>0</x:v>
      </x:c>
      <x:c r="G437" t="n">
        <x:f>IF(OR(F437=1,E437=1),1,0)</x:f>
        <x:v>0</x:v>
      </x:c>
      <x:c r="H437" t="str">
        <x:f>IF(B437=1,IF(F437=1,"TP","FN"),IF(F437=1,"FP","TN"))</x:f>
        <x:v>TN</x:v>
      </x:c>
      <x:c r="I437" t="str">
        <x:f>IF(B437=1,IF(G437=1,"TP","FN"),IF(G437=1,"FP","TN"))</x:f>
        <x:v>TN</x:v>
      </x:c>
    </x:row>
    <x:row r="438">
      <x:c r="A438" t="str">
        <x:f>MiniCase_Data!A438</x:f>
        <x:v>R00437</x:v>
      </x:c>
      <x:c r="B438" t="n">
        <x:f>IF(MiniCase_Data!O438="불합격",1,0)</x:f>
        <x:v>0</x:v>
      </x:c>
      <x:c r="C438" t="str">
        <x:f>IF(ISBLANK(MiniCase_Data!H438),"missing",IF(OR(MiniCase_Data!H438&lt;27,MiniCase_Data!H438&gt;33),"밖","안"))</x:f>
        <x:v>안</x:v>
      </x:c>
      <x:c r="D438" t="n">
        <x:f>IF(ISBLANK(MiniCase_Data!H438),VLOOKUP(A438,센서로그!$A$2:$C$13,3,FALSE),MiniCase_Data!H438)</x:f>
        <x:v>28.88</x:v>
      </x:c>
      <x:c r="E438" t="n">
        <x:f>IF(AND(MiniCase_Data!C438="야간",MiniCase_Data!F438="M03"),1,0)</x:f>
        <x:v>0</x:v>
      </x:c>
      <x:c r="F438" t="n">
        <x:f>IF(C438="밖",1,0)</x:f>
        <x:v>0</x:v>
      </x:c>
      <x:c r="G438" t="n">
        <x:f>IF(OR(F438=1,E438=1),1,0)</x:f>
        <x:v>0</x:v>
      </x:c>
      <x:c r="H438" t="str">
        <x:f>IF(B438=1,IF(F438=1,"TP","FN"),IF(F438=1,"FP","TN"))</x:f>
        <x:v>TN</x:v>
      </x:c>
      <x:c r="I438" t="str">
        <x:f>IF(B438=1,IF(G438=1,"TP","FN"),IF(G438=1,"FP","TN"))</x:f>
        <x:v>TN</x:v>
      </x:c>
    </x:row>
    <x:row r="439">
      <x:c r="A439" t="str">
        <x:f>MiniCase_Data!A439</x:f>
        <x:v>R00438</x:v>
      </x:c>
      <x:c r="B439" t="n">
        <x:f>IF(MiniCase_Data!O439="불합격",1,0)</x:f>
        <x:v>0</x:v>
      </x:c>
      <x:c r="C439" t="str">
        <x:f>IF(ISBLANK(MiniCase_Data!H439),"missing",IF(OR(MiniCase_Data!H439&lt;27,MiniCase_Data!H439&gt;33),"밖","안"))</x:f>
        <x:v>안</x:v>
      </x:c>
      <x:c r="D439" t="n">
        <x:f>IF(ISBLANK(MiniCase_Data!H439),VLOOKUP(A439,센서로그!$A$2:$C$13,3,FALSE),MiniCase_Data!H439)</x:f>
        <x:v>30.21</x:v>
      </x:c>
      <x:c r="E439" t="n">
        <x:f>IF(AND(MiniCase_Data!C439="야간",MiniCase_Data!F439="M03"),1,0)</x:f>
        <x:v>0</x:v>
      </x:c>
      <x:c r="F439" t="n">
        <x:f>IF(C439="밖",1,0)</x:f>
        <x:v>0</x:v>
      </x:c>
      <x:c r="G439" t="n">
        <x:f>IF(OR(F439=1,E439=1),1,0)</x:f>
        <x:v>0</x:v>
      </x:c>
      <x:c r="H439" t="str">
        <x:f>IF(B439=1,IF(F439=1,"TP","FN"),IF(F439=1,"FP","TN"))</x:f>
        <x:v>TN</x:v>
      </x:c>
      <x:c r="I439" t="str">
        <x:f>IF(B439=1,IF(G439=1,"TP","FN"),IF(G439=1,"FP","TN"))</x:f>
        <x:v>TN</x:v>
      </x:c>
    </x:row>
    <x:row r="440">
      <x:c r="A440" t="str">
        <x:f>MiniCase_Data!A440</x:f>
        <x:v>R00439</x:v>
      </x:c>
      <x:c r="B440" t="n">
        <x:f>IF(MiniCase_Data!O440="불합격",1,0)</x:f>
        <x:v>0</x:v>
      </x:c>
      <x:c r="C440" t="str">
        <x:f>IF(ISBLANK(MiniCase_Data!H440),"missing",IF(OR(MiniCase_Data!H440&lt;27,MiniCase_Data!H440&gt;33),"밖","안"))</x:f>
        <x:v>안</x:v>
      </x:c>
      <x:c r="D440" t="n">
        <x:f>IF(ISBLANK(MiniCase_Data!H440),VLOOKUP(A440,센서로그!$A$2:$C$13,3,FALSE),MiniCase_Data!H440)</x:f>
        <x:v>30.84</x:v>
      </x:c>
      <x:c r="E440" t="n">
        <x:f>IF(AND(MiniCase_Data!C440="야간",MiniCase_Data!F440="M03"),1,0)</x:f>
        <x:v>0</x:v>
      </x:c>
      <x:c r="F440" t="n">
        <x:f>IF(C440="밖",1,0)</x:f>
        <x:v>0</x:v>
      </x:c>
      <x:c r="G440" t="n">
        <x:f>IF(OR(F440=1,E440=1),1,0)</x:f>
        <x:v>0</x:v>
      </x:c>
      <x:c r="H440" t="str">
        <x:f>IF(B440=1,IF(F440=1,"TP","FN"),IF(F440=1,"FP","TN"))</x:f>
        <x:v>TN</x:v>
      </x:c>
      <x:c r="I440" t="str">
        <x:f>IF(B440=1,IF(G440=1,"TP","FN"),IF(G440=1,"FP","TN"))</x:f>
        <x:v>TN</x:v>
      </x:c>
    </x:row>
    <x:row r="441">
      <x:c r="A441" t="str">
        <x:f>MiniCase_Data!A441</x:f>
        <x:v>R00440</x:v>
      </x:c>
      <x:c r="B441" t="n">
        <x:f>IF(MiniCase_Data!O441="불합격",1,0)</x:f>
        <x:v>0</x:v>
      </x:c>
      <x:c r="C441" t="str">
        <x:f>IF(ISBLANK(MiniCase_Data!H441),"missing",IF(OR(MiniCase_Data!H441&lt;27,MiniCase_Data!H441&gt;33),"밖","안"))</x:f>
        <x:v>안</x:v>
      </x:c>
      <x:c r="D441" t="n">
        <x:f>IF(ISBLANK(MiniCase_Data!H441),VLOOKUP(A441,센서로그!$A$2:$C$13,3,FALSE),MiniCase_Data!H441)</x:f>
        <x:v>31.3</x:v>
      </x:c>
      <x:c r="E441" t="n">
        <x:f>IF(AND(MiniCase_Data!C441="야간",MiniCase_Data!F441="M03"),1,0)</x:f>
        <x:v>0</x:v>
      </x:c>
      <x:c r="F441" t="n">
        <x:f>IF(C441="밖",1,0)</x:f>
        <x:v>0</x:v>
      </x:c>
      <x:c r="G441" t="n">
        <x:f>IF(OR(F441=1,E441=1),1,0)</x:f>
        <x:v>0</x:v>
      </x:c>
      <x:c r="H441" t="str">
        <x:f>IF(B441=1,IF(F441=1,"TP","FN"),IF(F441=1,"FP","TN"))</x:f>
        <x:v>TN</x:v>
      </x:c>
      <x:c r="I441" t="str">
        <x:f>IF(B441=1,IF(G441=1,"TP","FN"),IF(G441=1,"FP","TN"))</x:f>
        <x:v>TN</x:v>
      </x:c>
    </x:row>
    <x:row r="442">
      <x:c r="A442" t="str">
        <x:f>MiniCase_Data!A442</x:f>
        <x:v>R00441</x:v>
      </x:c>
      <x:c r="B442" t="n">
        <x:f>IF(MiniCase_Data!O442="불합격",1,0)</x:f>
        <x:v>0</x:v>
      </x:c>
      <x:c r="C442" t="str">
        <x:f>IF(ISBLANK(MiniCase_Data!H442),"missing",IF(OR(MiniCase_Data!H442&lt;27,MiniCase_Data!H442&gt;33),"밖","안"))</x:f>
        <x:v>안</x:v>
      </x:c>
      <x:c r="D442" t="n">
        <x:f>IF(ISBLANK(MiniCase_Data!H442),VLOOKUP(A442,센서로그!$A$2:$C$13,3,FALSE),MiniCase_Data!H442)</x:f>
        <x:v>31.26</x:v>
      </x:c>
      <x:c r="E442" t="n">
        <x:f>IF(AND(MiniCase_Data!C442="야간",MiniCase_Data!F442="M03"),1,0)</x:f>
        <x:v>0</x:v>
      </x:c>
      <x:c r="F442" t="n">
        <x:f>IF(C442="밖",1,0)</x:f>
        <x:v>0</x:v>
      </x:c>
      <x:c r="G442" t="n">
        <x:f>IF(OR(F442=1,E442=1),1,0)</x:f>
        <x:v>0</x:v>
      </x:c>
      <x:c r="H442" t="str">
        <x:f>IF(B442=1,IF(F442=1,"TP","FN"),IF(F442=1,"FP","TN"))</x:f>
        <x:v>TN</x:v>
      </x:c>
      <x:c r="I442" t="str">
        <x:f>IF(B442=1,IF(G442=1,"TP","FN"),IF(G442=1,"FP","TN"))</x:f>
        <x:v>TN</x:v>
      </x:c>
    </x:row>
    <x:row r="443">
      <x:c r="A443" t="str">
        <x:f>MiniCase_Data!A443</x:f>
        <x:v>R00442</x:v>
      </x:c>
      <x:c r="B443" t="n">
        <x:f>IF(MiniCase_Data!O443="불합격",1,0)</x:f>
        <x:v>0</x:v>
      </x:c>
      <x:c r="C443" t="str">
        <x:f>IF(ISBLANK(MiniCase_Data!H443),"missing",IF(OR(MiniCase_Data!H443&lt;27,MiniCase_Data!H443&gt;33),"밖","안"))</x:f>
        <x:v>안</x:v>
      </x:c>
      <x:c r="D443" t="n">
        <x:f>IF(ISBLANK(MiniCase_Data!H443),VLOOKUP(A443,센서로그!$A$2:$C$13,3,FALSE),MiniCase_Data!H443)</x:f>
        <x:v>29.59</x:v>
      </x:c>
      <x:c r="E443" t="n">
        <x:f>IF(AND(MiniCase_Data!C443="야간",MiniCase_Data!F443="M03"),1,0)</x:f>
        <x:v>0</x:v>
      </x:c>
      <x:c r="F443" t="n">
        <x:f>IF(C443="밖",1,0)</x:f>
        <x:v>0</x:v>
      </x:c>
      <x:c r="G443" t="n">
        <x:f>IF(OR(F443=1,E443=1),1,0)</x:f>
        <x:v>0</x:v>
      </x:c>
      <x:c r="H443" t="str">
        <x:f>IF(B443=1,IF(F443=1,"TP","FN"),IF(F443=1,"FP","TN"))</x:f>
        <x:v>TN</x:v>
      </x:c>
      <x:c r="I443" t="str">
        <x:f>IF(B443=1,IF(G443=1,"TP","FN"),IF(G443=1,"FP","TN"))</x:f>
        <x:v>TN</x:v>
      </x:c>
    </x:row>
    <x:row r="444">
      <x:c r="A444" t="str">
        <x:f>MiniCase_Data!A444</x:f>
        <x:v>R00443</x:v>
      </x:c>
      <x:c r="B444" t="n">
        <x:f>IF(MiniCase_Data!O444="불합격",1,0)</x:f>
        <x:v>0</x:v>
      </x:c>
      <x:c r="C444" t="str">
        <x:f>IF(ISBLANK(MiniCase_Data!H444),"missing",IF(OR(MiniCase_Data!H444&lt;27,MiniCase_Data!H444&gt;33),"밖","안"))</x:f>
        <x:v>안</x:v>
      </x:c>
      <x:c r="D444" t="n">
        <x:f>IF(ISBLANK(MiniCase_Data!H444),VLOOKUP(A444,센서로그!$A$2:$C$13,3,FALSE),MiniCase_Data!H444)</x:f>
        <x:v>28.06</x:v>
      </x:c>
      <x:c r="E444" t="n">
        <x:f>IF(AND(MiniCase_Data!C444="야간",MiniCase_Data!F444="M03"),1,0)</x:f>
        <x:v>0</x:v>
      </x:c>
      <x:c r="F444" t="n">
        <x:f>IF(C444="밖",1,0)</x:f>
        <x:v>0</x:v>
      </x:c>
      <x:c r="G444" t="n">
        <x:f>IF(OR(F444=1,E444=1),1,0)</x:f>
        <x:v>0</x:v>
      </x:c>
      <x:c r="H444" t="str">
        <x:f>IF(B444=1,IF(F444=1,"TP","FN"),IF(F444=1,"FP","TN"))</x:f>
        <x:v>TN</x:v>
      </x:c>
      <x:c r="I444" t="str">
        <x:f>IF(B444=1,IF(G444=1,"TP","FN"),IF(G444=1,"FP","TN"))</x:f>
        <x:v>TN</x:v>
      </x:c>
    </x:row>
    <x:row r="445">
      <x:c r="A445" t="str">
        <x:f>MiniCase_Data!A445</x:f>
        <x:v>R00444</x:v>
      </x:c>
      <x:c r="B445" t="n">
        <x:f>IF(MiniCase_Data!O445="불합격",1,0)</x:f>
        <x:v>0</x:v>
      </x:c>
      <x:c r="C445" t="str">
        <x:f>IF(ISBLANK(MiniCase_Data!H445),"missing",IF(OR(MiniCase_Data!H445&lt;27,MiniCase_Data!H445&gt;33),"밖","안"))</x:f>
        <x:v>안</x:v>
      </x:c>
      <x:c r="D445" t="n">
        <x:f>IF(ISBLANK(MiniCase_Data!H445),VLOOKUP(A445,센서로그!$A$2:$C$13,3,FALSE),MiniCase_Data!H445)</x:f>
        <x:v>32.09</x:v>
      </x:c>
      <x:c r="E445" t="n">
        <x:f>IF(AND(MiniCase_Data!C445="야간",MiniCase_Data!F445="M03"),1,0)</x:f>
        <x:v>0</x:v>
      </x:c>
      <x:c r="F445" t="n">
        <x:f>IF(C445="밖",1,0)</x:f>
        <x:v>0</x:v>
      </x:c>
      <x:c r="G445" t="n">
        <x:f>IF(OR(F445=1,E445=1),1,0)</x:f>
        <x:v>0</x:v>
      </x:c>
      <x:c r="H445" t="str">
        <x:f>IF(B445=1,IF(F445=1,"TP","FN"),IF(F445=1,"FP","TN"))</x:f>
        <x:v>TN</x:v>
      </x:c>
      <x:c r="I445" t="str">
        <x:f>IF(B445=1,IF(G445=1,"TP","FN"),IF(G445=1,"FP","TN"))</x:f>
        <x:v>TN</x:v>
      </x:c>
    </x:row>
    <x:row r="446">
      <x:c r="A446" t="str">
        <x:f>MiniCase_Data!A446</x:f>
        <x:v>R00445</x:v>
      </x:c>
      <x:c r="B446" t="n">
        <x:f>IF(MiniCase_Data!O446="불합격",1,0)</x:f>
        <x:v>0</x:v>
      </x:c>
      <x:c r="C446" t="str">
        <x:f>IF(ISBLANK(MiniCase_Data!H446),"missing",IF(OR(MiniCase_Data!H446&lt;27,MiniCase_Data!H446&gt;33),"밖","안"))</x:f>
        <x:v>안</x:v>
      </x:c>
      <x:c r="D446" t="n">
        <x:f>IF(ISBLANK(MiniCase_Data!H446),VLOOKUP(A446,센서로그!$A$2:$C$13,3,FALSE),MiniCase_Data!H446)</x:f>
        <x:v>29.72</x:v>
      </x:c>
      <x:c r="E446" t="n">
        <x:f>IF(AND(MiniCase_Data!C446="야간",MiniCase_Data!F446="M03"),1,0)</x:f>
        <x:v>1</x:v>
      </x:c>
      <x:c r="F446" t="n">
        <x:f>IF(C446="밖",1,0)</x:f>
        <x:v>0</x:v>
      </x:c>
      <x:c r="G446" t="n">
        <x:f>IF(OR(F446=1,E446=1),1,0)</x:f>
        <x:v>1</x:v>
      </x:c>
      <x:c r="H446" t="str">
        <x:f>IF(B446=1,IF(F446=1,"TP","FN"),IF(F446=1,"FP","TN"))</x:f>
        <x:v>TN</x:v>
      </x:c>
      <x:c r="I446" t="str">
        <x:f>IF(B446=1,IF(G446=1,"TP","FN"),IF(G446=1,"FP","TN"))</x:f>
        <x:v>FP</x:v>
      </x:c>
    </x:row>
    <x:row r="447">
      <x:c r="A447" t="str">
        <x:f>MiniCase_Data!A447</x:f>
        <x:v>R00446</x:v>
      </x:c>
      <x:c r="B447" t="n">
        <x:f>IF(MiniCase_Data!O447="불합격",1,0)</x:f>
        <x:v>0</x:v>
      </x:c>
      <x:c r="C447" t="str">
        <x:f>IF(ISBLANK(MiniCase_Data!H447),"missing",IF(OR(MiniCase_Data!H447&lt;27,MiniCase_Data!H447&gt;33),"밖","안"))</x:f>
        <x:v>안</x:v>
      </x:c>
      <x:c r="D447" t="n">
        <x:f>IF(ISBLANK(MiniCase_Data!H447),VLOOKUP(A447,센서로그!$A$2:$C$13,3,FALSE),MiniCase_Data!H447)</x:f>
        <x:v>29.31</x:v>
      </x:c>
      <x:c r="E447" t="n">
        <x:f>IF(AND(MiniCase_Data!C447="야간",MiniCase_Data!F447="M03"),1,0)</x:f>
        <x:v>0</x:v>
      </x:c>
      <x:c r="F447" t="n">
        <x:f>IF(C447="밖",1,0)</x:f>
        <x:v>0</x:v>
      </x:c>
      <x:c r="G447" t="n">
        <x:f>IF(OR(F447=1,E447=1),1,0)</x:f>
        <x:v>0</x:v>
      </x:c>
      <x:c r="H447" t="str">
        <x:f>IF(B447=1,IF(F447=1,"TP","FN"),IF(F447=1,"FP","TN"))</x:f>
        <x:v>TN</x:v>
      </x:c>
      <x:c r="I447" t="str">
        <x:f>IF(B447=1,IF(G447=1,"TP","FN"),IF(G447=1,"FP","TN"))</x:f>
        <x:v>TN</x:v>
      </x:c>
    </x:row>
    <x:row r="448">
      <x:c r="A448" t="str">
        <x:f>MiniCase_Data!A448</x:f>
        <x:v>R00447</x:v>
      </x:c>
      <x:c r="B448" t="n">
        <x:f>IF(MiniCase_Data!O448="불합격",1,0)</x:f>
        <x:v>0</x:v>
      </x:c>
      <x:c r="C448" t="str">
        <x:f>IF(ISBLANK(MiniCase_Data!H448),"missing",IF(OR(MiniCase_Data!H448&lt;27,MiniCase_Data!H448&gt;33),"밖","안"))</x:f>
        <x:v>안</x:v>
      </x:c>
      <x:c r="D448" t="n">
        <x:f>IF(ISBLANK(MiniCase_Data!H448),VLOOKUP(A448,센서로그!$A$2:$C$13,3,FALSE),MiniCase_Data!H448)</x:f>
        <x:v>32.36</x:v>
      </x:c>
      <x:c r="E448" t="n">
        <x:f>IF(AND(MiniCase_Data!C448="야간",MiniCase_Data!F448="M03"),1,0)</x:f>
        <x:v>0</x:v>
      </x:c>
      <x:c r="F448" t="n">
        <x:f>IF(C448="밖",1,0)</x:f>
        <x:v>0</x:v>
      </x:c>
      <x:c r="G448" t="n">
        <x:f>IF(OR(F448=1,E448=1),1,0)</x:f>
        <x:v>0</x:v>
      </x:c>
      <x:c r="H448" t="str">
        <x:f>IF(B448=1,IF(F448=1,"TP","FN"),IF(F448=1,"FP","TN"))</x:f>
        <x:v>TN</x:v>
      </x:c>
      <x:c r="I448" t="str">
        <x:f>IF(B448=1,IF(G448=1,"TP","FN"),IF(G448=1,"FP","TN"))</x:f>
        <x:v>TN</x:v>
      </x:c>
    </x:row>
    <x:row r="449">
      <x:c r="A449" t="str">
        <x:f>MiniCase_Data!A449</x:f>
        <x:v>R00448</x:v>
      </x:c>
      <x:c r="B449" t="n">
        <x:f>IF(MiniCase_Data!O449="불합격",1,0)</x:f>
        <x:v>0</x:v>
      </x:c>
      <x:c r="C449" t="str">
        <x:f>IF(ISBLANK(MiniCase_Data!H449),"missing",IF(OR(MiniCase_Data!H449&lt;27,MiniCase_Data!H449&gt;33),"밖","안"))</x:f>
        <x:v>안</x:v>
      </x:c>
      <x:c r="D449" t="n">
        <x:f>IF(ISBLANK(MiniCase_Data!H449),VLOOKUP(A449,센서로그!$A$2:$C$13,3,FALSE),MiniCase_Data!H449)</x:f>
        <x:v>29.6</x:v>
      </x:c>
      <x:c r="E449" t="n">
        <x:f>IF(AND(MiniCase_Data!C449="야간",MiniCase_Data!F449="M03"),1,0)</x:f>
        <x:v>0</x:v>
      </x:c>
      <x:c r="F449" t="n">
        <x:f>IF(C449="밖",1,0)</x:f>
        <x:v>0</x:v>
      </x:c>
      <x:c r="G449" t="n">
        <x:f>IF(OR(F449=1,E449=1),1,0)</x:f>
        <x:v>0</x:v>
      </x:c>
      <x:c r="H449" t="str">
        <x:f>IF(B449=1,IF(F449=1,"TP","FN"),IF(F449=1,"FP","TN"))</x:f>
        <x:v>TN</x:v>
      </x:c>
      <x:c r="I449" t="str">
        <x:f>IF(B449=1,IF(G449=1,"TP","FN"),IF(G449=1,"FP","TN"))</x:f>
        <x:v>TN</x:v>
      </x:c>
    </x:row>
    <x:row r="450">
      <x:c r="A450" t="str">
        <x:f>MiniCase_Data!A450</x:f>
        <x:v>R00449</x:v>
      </x:c>
      <x:c r="B450" t="n">
        <x:f>IF(MiniCase_Data!O450="불합격",1,0)</x:f>
        <x:v>0</x:v>
      </x:c>
      <x:c r="C450" t="str">
        <x:f>IF(ISBLANK(MiniCase_Data!H450),"missing",IF(OR(MiniCase_Data!H450&lt;27,MiniCase_Data!H450&gt;33),"밖","안"))</x:f>
        <x:v>안</x:v>
      </x:c>
      <x:c r="D450" t="n">
        <x:f>IF(ISBLANK(MiniCase_Data!H450),VLOOKUP(A450,센서로그!$A$2:$C$13,3,FALSE),MiniCase_Data!H450)</x:f>
        <x:v>29.89</x:v>
      </x:c>
      <x:c r="E450" t="n">
        <x:f>IF(AND(MiniCase_Data!C450="야간",MiniCase_Data!F450="M03"),1,0)</x:f>
        <x:v>0</x:v>
      </x:c>
      <x:c r="F450" t="n">
        <x:f>IF(C450="밖",1,0)</x:f>
        <x:v>0</x:v>
      </x:c>
      <x:c r="G450" t="n">
        <x:f>IF(OR(F450=1,E450=1),1,0)</x:f>
        <x:v>0</x:v>
      </x:c>
      <x:c r="H450" t="str">
        <x:f>IF(B450=1,IF(F450=1,"TP","FN"),IF(F450=1,"FP","TN"))</x:f>
        <x:v>TN</x:v>
      </x:c>
      <x:c r="I450" t="str">
        <x:f>IF(B450=1,IF(G450=1,"TP","FN"),IF(G450=1,"FP","TN"))</x:f>
        <x:v>TN</x:v>
      </x:c>
    </x:row>
    <x:row r="451">
      <x:c r="A451" t="str">
        <x:f>MiniCase_Data!A451</x:f>
        <x:v>R00450</x:v>
      </x:c>
      <x:c r="B451" t="n">
        <x:f>IF(MiniCase_Data!O451="불합격",1,0)</x:f>
        <x:v>0</x:v>
      </x:c>
      <x:c r="C451" t="str">
        <x:f>IF(ISBLANK(MiniCase_Data!H451),"missing",IF(OR(MiniCase_Data!H451&lt;27,MiniCase_Data!H451&gt;33),"밖","안"))</x:f>
        <x:v>안</x:v>
      </x:c>
      <x:c r="D451" t="n">
        <x:f>IF(ISBLANK(MiniCase_Data!H451),VLOOKUP(A451,센서로그!$A$2:$C$13,3,FALSE),MiniCase_Data!H451)</x:f>
        <x:v>32.46</x:v>
      </x:c>
      <x:c r="E451" t="n">
        <x:f>IF(AND(MiniCase_Data!C451="야간",MiniCase_Data!F451="M03"),1,0)</x:f>
        <x:v>0</x:v>
      </x:c>
      <x:c r="F451" t="n">
        <x:f>IF(C451="밖",1,0)</x:f>
        <x:v>0</x:v>
      </x:c>
      <x:c r="G451" t="n">
        <x:f>IF(OR(F451=1,E451=1),1,0)</x:f>
        <x:v>0</x:v>
      </x:c>
      <x:c r="H451" t="str">
        <x:f>IF(B451=1,IF(F451=1,"TP","FN"),IF(F451=1,"FP","TN"))</x:f>
        <x:v>TN</x:v>
      </x:c>
      <x:c r="I451" t="str">
        <x:f>IF(B451=1,IF(G451=1,"TP","FN"),IF(G451=1,"FP","TN"))</x:f>
        <x:v>TN</x:v>
      </x:c>
    </x:row>
    <x:row r="452">
      <x:c r="A452" t="str">
        <x:f>MiniCase_Data!A452</x:f>
        <x:v>R00451</x:v>
      </x:c>
      <x:c r="B452" t="n">
        <x:f>IF(MiniCase_Data!O452="불합격",1,0)</x:f>
        <x:v>0</x:v>
      </x:c>
      <x:c r="C452" t="str">
        <x:f>IF(ISBLANK(MiniCase_Data!H452),"missing",IF(OR(MiniCase_Data!H452&lt;27,MiniCase_Data!H452&gt;33),"밖","안"))</x:f>
        <x:v>안</x:v>
      </x:c>
      <x:c r="D452" t="n">
        <x:f>IF(ISBLANK(MiniCase_Data!H452),VLOOKUP(A452,센서로그!$A$2:$C$13,3,FALSE),MiniCase_Data!H452)</x:f>
        <x:v>32.5</x:v>
      </x:c>
      <x:c r="E452" t="n">
        <x:f>IF(AND(MiniCase_Data!C452="야간",MiniCase_Data!F452="M03"),1,0)</x:f>
        <x:v>0</x:v>
      </x:c>
      <x:c r="F452" t="n">
        <x:f>IF(C452="밖",1,0)</x:f>
        <x:v>0</x:v>
      </x:c>
      <x:c r="G452" t="n">
        <x:f>IF(OR(F452=1,E452=1),1,0)</x:f>
        <x:v>0</x:v>
      </x:c>
      <x:c r="H452" t="str">
        <x:f>IF(B452=1,IF(F452=1,"TP","FN"),IF(F452=1,"FP","TN"))</x:f>
        <x:v>TN</x:v>
      </x:c>
      <x:c r="I452" t="str">
        <x:f>IF(B452=1,IF(G452=1,"TP","FN"),IF(G452=1,"FP","TN"))</x:f>
        <x:v>TN</x:v>
      </x:c>
    </x:row>
    <x:row r="453">
      <x:c r="A453" t="str">
        <x:f>MiniCase_Data!A453</x:f>
        <x:v>R00452</x:v>
      </x:c>
      <x:c r="B453" t="n">
        <x:f>IF(MiniCase_Data!O453="불합격",1,0)</x:f>
        <x:v>0</x:v>
      </x:c>
      <x:c r="C453" t="str">
        <x:f>IF(ISBLANK(MiniCase_Data!H453),"missing",IF(OR(MiniCase_Data!H453&lt;27,MiniCase_Data!H453&gt;33),"밖","안"))</x:f>
        <x:v>밖</x:v>
      </x:c>
      <x:c r="D453" t="n">
        <x:f>IF(ISBLANK(MiniCase_Data!H453),VLOOKUP(A453,센서로그!$A$2:$C$13,3,FALSE),MiniCase_Data!H453)</x:f>
        <x:v>26.18</x:v>
      </x:c>
      <x:c r="E453" t="n">
        <x:f>IF(AND(MiniCase_Data!C453="야간",MiniCase_Data!F453="M03"),1,0)</x:f>
        <x:v>1</x:v>
      </x:c>
      <x:c r="F453" t="n">
        <x:f>IF(C453="밖",1,0)</x:f>
        <x:v>1</x:v>
      </x:c>
      <x:c r="G453" t="n">
        <x:f>IF(OR(F453=1,E453=1),1,0)</x:f>
        <x:v>1</x:v>
      </x:c>
      <x:c r="H453" t="str">
        <x:f>IF(B453=1,IF(F453=1,"TP","FN"),IF(F453=1,"FP","TN"))</x:f>
        <x:v>FP</x:v>
      </x:c>
      <x:c r="I453" t="str">
        <x:f>IF(B453=1,IF(G453=1,"TP","FN"),IF(G453=1,"FP","TN"))</x:f>
        <x:v>FP</x:v>
      </x:c>
    </x:row>
    <x:row r="454">
      <x:c r="A454" t="str">
        <x:f>MiniCase_Data!A454</x:f>
        <x:v>R00453</x:v>
      </x:c>
      <x:c r="B454" t="n">
        <x:f>IF(MiniCase_Data!O454="불합격",1,0)</x:f>
        <x:v>0</x:v>
      </x:c>
      <x:c r="C454" t="str">
        <x:f>IF(ISBLANK(MiniCase_Data!H454),"missing",IF(OR(MiniCase_Data!H454&lt;27,MiniCase_Data!H454&gt;33),"밖","안"))</x:f>
        <x:v>안</x:v>
      </x:c>
      <x:c r="D454" t="n">
        <x:f>IF(ISBLANK(MiniCase_Data!H454),VLOOKUP(A454,센서로그!$A$2:$C$13,3,FALSE),MiniCase_Data!H454)</x:f>
        <x:v>32.43</x:v>
      </x:c>
      <x:c r="E454" t="n">
        <x:f>IF(AND(MiniCase_Data!C454="야간",MiniCase_Data!F454="M03"),1,0)</x:f>
        <x:v>0</x:v>
      </x:c>
      <x:c r="F454" t="n">
        <x:f>IF(C454="밖",1,0)</x:f>
        <x:v>0</x:v>
      </x:c>
      <x:c r="G454" t="n">
        <x:f>IF(OR(F454=1,E454=1),1,0)</x:f>
        <x:v>0</x:v>
      </x:c>
      <x:c r="H454" t="str">
        <x:f>IF(B454=1,IF(F454=1,"TP","FN"),IF(F454=1,"FP","TN"))</x:f>
        <x:v>TN</x:v>
      </x:c>
      <x:c r="I454" t="str">
        <x:f>IF(B454=1,IF(G454=1,"TP","FN"),IF(G454=1,"FP","TN"))</x:f>
        <x:v>TN</x:v>
      </x:c>
    </x:row>
    <x:row r="455">
      <x:c r="A455" t="str">
        <x:f>MiniCase_Data!A455</x:f>
        <x:v>R00454</x:v>
      </x:c>
      <x:c r="B455" t="n">
        <x:f>IF(MiniCase_Data!O455="불합격",1,0)</x:f>
        <x:v>0</x:v>
      </x:c>
      <x:c r="C455" t="str">
        <x:f>IF(ISBLANK(MiniCase_Data!H455),"missing",IF(OR(MiniCase_Data!H455&lt;27,MiniCase_Data!H455&gt;33),"밖","안"))</x:f>
        <x:v>안</x:v>
      </x:c>
      <x:c r="D455" t="n">
        <x:f>IF(ISBLANK(MiniCase_Data!H455),VLOOKUP(A455,센서로그!$A$2:$C$13,3,FALSE),MiniCase_Data!H455)</x:f>
        <x:v>30.4</x:v>
      </x:c>
      <x:c r="E455" t="n">
        <x:f>IF(AND(MiniCase_Data!C455="야간",MiniCase_Data!F455="M03"),1,0)</x:f>
        <x:v>0</x:v>
      </x:c>
      <x:c r="F455" t="n">
        <x:f>IF(C455="밖",1,0)</x:f>
        <x:v>0</x:v>
      </x:c>
      <x:c r="G455" t="n">
        <x:f>IF(OR(F455=1,E455=1),1,0)</x:f>
        <x:v>0</x:v>
      </x:c>
      <x:c r="H455" t="str">
        <x:f>IF(B455=1,IF(F455=1,"TP","FN"),IF(F455=1,"FP","TN"))</x:f>
        <x:v>TN</x:v>
      </x:c>
      <x:c r="I455" t="str">
        <x:f>IF(B455=1,IF(G455=1,"TP","FN"),IF(G455=1,"FP","TN"))</x:f>
        <x:v>TN</x:v>
      </x:c>
    </x:row>
    <x:row r="456">
      <x:c r="A456" t="str">
        <x:f>MiniCase_Data!A456</x:f>
        <x:v>R00455</x:v>
      </x:c>
      <x:c r="B456" t="n">
        <x:f>IF(MiniCase_Data!O456="불합격",1,0)</x:f>
        <x:v>0</x:v>
      </x:c>
      <x:c r="C456" t="str">
        <x:f>IF(ISBLANK(MiniCase_Data!H456),"missing",IF(OR(MiniCase_Data!H456&lt;27,MiniCase_Data!H456&gt;33),"밖","안"))</x:f>
        <x:v>안</x:v>
      </x:c>
      <x:c r="D456" t="n">
        <x:f>IF(ISBLANK(MiniCase_Data!H456),VLOOKUP(A456,센서로그!$A$2:$C$13,3,FALSE),MiniCase_Data!H456)</x:f>
        <x:v>27.83</x:v>
      </x:c>
      <x:c r="E456" t="n">
        <x:f>IF(AND(MiniCase_Data!C456="야간",MiniCase_Data!F456="M03"),1,0)</x:f>
        <x:v>0</x:v>
      </x:c>
      <x:c r="F456" t="n">
        <x:f>IF(C456="밖",1,0)</x:f>
        <x:v>0</x:v>
      </x:c>
      <x:c r="G456" t="n">
        <x:f>IF(OR(F456=1,E456=1),1,0)</x:f>
        <x:v>0</x:v>
      </x:c>
      <x:c r="H456" t="str">
        <x:f>IF(B456=1,IF(F456=1,"TP","FN"),IF(F456=1,"FP","TN"))</x:f>
        <x:v>TN</x:v>
      </x:c>
      <x:c r="I456" t="str">
        <x:f>IF(B456=1,IF(G456=1,"TP","FN"),IF(G456=1,"FP","TN"))</x:f>
        <x:v>TN</x:v>
      </x:c>
    </x:row>
    <x:row r="457">
      <x:c r="A457" t="str">
        <x:f>MiniCase_Data!A457</x:f>
        <x:v>R00456</x:v>
      </x:c>
      <x:c r="B457" t="n">
        <x:f>IF(MiniCase_Data!O457="불합격",1,0)</x:f>
        <x:v>0</x:v>
      </x:c>
      <x:c r="C457" t="str">
        <x:f>IF(ISBLANK(MiniCase_Data!H457),"missing",IF(OR(MiniCase_Data!H457&lt;27,MiniCase_Data!H457&gt;33),"밖","안"))</x:f>
        <x:v>안</x:v>
      </x:c>
      <x:c r="D457" t="n">
        <x:f>IF(ISBLANK(MiniCase_Data!H457),VLOOKUP(A457,센서로그!$A$2:$C$13,3,FALSE),MiniCase_Data!H457)</x:f>
        <x:v>30.02</x:v>
      </x:c>
      <x:c r="E457" t="n">
        <x:f>IF(AND(MiniCase_Data!C457="야간",MiniCase_Data!F457="M03"),1,0)</x:f>
        <x:v>0</x:v>
      </x:c>
      <x:c r="F457" t="n">
        <x:f>IF(C457="밖",1,0)</x:f>
        <x:v>0</x:v>
      </x:c>
      <x:c r="G457" t="n">
        <x:f>IF(OR(F457=1,E457=1),1,0)</x:f>
        <x:v>0</x:v>
      </x:c>
      <x:c r="H457" t="str">
        <x:f>IF(B457=1,IF(F457=1,"TP","FN"),IF(F457=1,"FP","TN"))</x:f>
        <x:v>TN</x:v>
      </x:c>
      <x:c r="I457" t="str">
        <x:f>IF(B457=1,IF(G457=1,"TP","FN"),IF(G457=1,"FP","TN"))</x:f>
        <x:v>TN</x:v>
      </x:c>
    </x:row>
    <x:row r="458">
      <x:c r="A458" t="str">
        <x:f>MiniCase_Data!A458</x:f>
        <x:v>R00457</x:v>
      </x:c>
      <x:c r="B458" t="n">
        <x:f>IF(MiniCase_Data!O458="불합격",1,0)</x:f>
        <x:v>1</x:v>
      </x:c>
      <x:c r="C458" t="str">
        <x:f>IF(ISBLANK(MiniCase_Data!H458),"missing",IF(OR(MiniCase_Data!H458&lt;27,MiniCase_Data!H458&gt;33),"밖","안"))</x:f>
        <x:v>안</x:v>
      </x:c>
      <x:c r="D458" t="n">
        <x:f>IF(ISBLANK(MiniCase_Data!H458),VLOOKUP(A458,센서로그!$A$2:$C$13,3,FALSE),MiniCase_Data!H458)</x:f>
        <x:v>27.84</x:v>
      </x:c>
      <x:c r="E458" t="n">
        <x:f>IF(AND(MiniCase_Data!C458="야간",MiniCase_Data!F458="M03"),1,0)</x:f>
        <x:v>0</x:v>
      </x:c>
      <x:c r="F458" t="n">
        <x:f>IF(C458="밖",1,0)</x:f>
        <x:v>0</x:v>
      </x:c>
      <x:c r="G458" t="n">
        <x:f>IF(OR(F458=1,E458=1),1,0)</x:f>
        <x:v>0</x:v>
      </x:c>
      <x:c r="H458" t="str">
        <x:f>IF(B458=1,IF(F458=1,"TP","FN"),IF(F458=1,"FP","TN"))</x:f>
        <x:v>FN</x:v>
      </x:c>
      <x:c r="I458" t="str">
        <x:f>IF(B458=1,IF(G458=1,"TP","FN"),IF(G458=1,"FP","TN"))</x:f>
        <x:v>FN</x:v>
      </x:c>
    </x:row>
    <x:row r="459">
      <x:c r="A459" t="str">
        <x:f>MiniCase_Data!A459</x:f>
        <x:v>R00458</x:v>
      </x:c>
      <x:c r="B459" t="n">
        <x:f>IF(MiniCase_Data!O459="불합격",1,0)</x:f>
        <x:v>0</x:v>
      </x:c>
      <x:c r="C459" t="str">
        <x:f>IF(ISBLANK(MiniCase_Data!H459),"missing",IF(OR(MiniCase_Data!H459&lt;27,MiniCase_Data!H459&gt;33),"밖","안"))</x:f>
        <x:v>밖</x:v>
      </x:c>
      <x:c r="D459" t="n">
        <x:f>IF(ISBLANK(MiniCase_Data!H459),VLOOKUP(A459,센서로그!$A$2:$C$13,3,FALSE),MiniCase_Data!H459)</x:f>
        <x:v>25.88</x:v>
      </x:c>
      <x:c r="E459" t="n">
        <x:f>IF(AND(MiniCase_Data!C459="야간",MiniCase_Data!F459="M03"),1,0)</x:f>
        <x:v>1</x:v>
      </x:c>
      <x:c r="F459" t="n">
        <x:f>IF(C459="밖",1,0)</x:f>
        <x:v>1</x:v>
      </x:c>
      <x:c r="G459" t="n">
        <x:f>IF(OR(F459=1,E459=1),1,0)</x:f>
        <x:v>1</x:v>
      </x:c>
      <x:c r="H459" t="str">
        <x:f>IF(B459=1,IF(F459=1,"TP","FN"),IF(F459=1,"FP","TN"))</x:f>
        <x:v>FP</x:v>
      </x:c>
      <x:c r="I459" t="str">
        <x:f>IF(B459=1,IF(G459=1,"TP","FN"),IF(G459=1,"FP","TN"))</x:f>
        <x:v>FP</x:v>
      </x:c>
    </x:row>
    <x:row r="460">
      <x:c r="A460" t="str">
        <x:f>MiniCase_Data!A460</x:f>
        <x:v>R00459</x:v>
      </x:c>
      <x:c r="B460" t="n">
        <x:f>IF(MiniCase_Data!O460="불합격",1,0)</x:f>
        <x:v>0</x:v>
      </x:c>
      <x:c r="C460" t="str">
        <x:f>IF(ISBLANK(MiniCase_Data!H460),"missing",IF(OR(MiniCase_Data!H460&lt;27,MiniCase_Data!H460&gt;33),"밖","안"))</x:f>
        <x:v>안</x:v>
      </x:c>
      <x:c r="D460" t="n">
        <x:f>IF(ISBLANK(MiniCase_Data!H460),VLOOKUP(A460,센서로그!$A$2:$C$13,3,FALSE),MiniCase_Data!H460)</x:f>
        <x:v>30.71</x:v>
      </x:c>
      <x:c r="E460" t="n">
        <x:f>IF(AND(MiniCase_Data!C460="야간",MiniCase_Data!F460="M03"),1,0)</x:f>
        <x:v>0</x:v>
      </x:c>
      <x:c r="F460" t="n">
        <x:f>IF(C460="밖",1,0)</x:f>
        <x:v>0</x:v>
      </x:c>
      <x:c r="G460" t="n">
        <x:f>IF(OR(F460=1,E460=1),1,0)</x:f>
        <x:v>0</x:v>
      </x:c>
      <x:c r="H460" t="str">
        <x:f>IF(B460=1,IF(F460=1,"TP","FN"),IF(F460=1,"FP","TN"))</x:f>
        <x:v>TN</x:v>
      </x:c>
      <x:c r="I460" t="str">
        <x:f>IF(B460=1,IF(G460=1,"TP","FN"),IF(G460=1,"FP","TN"))</x:f>
        <x:v>TN</x:v>
      </x:c>
    </x:row>
    <x:row r="461">
      <x:c r="A461" t="str">
        <x:f>MiniCase_Data!A461</x:f>
        <x:v>R00460</x:v>
      </x:c>
      <x:c r="B461" t="n">
        <x:f>IF(MiniCase_Data!O461="불합격",1,0)</x:f>
        <x:v>0</x:v>
      </x:c>
      <x:c r="C461" t="str">
        <x:f>IF(ISBLANK(MiniCase_Data!H461),"missing",IF(OR(MiniCase_Data!H461&lt;27,MiniCase_Data!H461&gt;33),"밖","안"))</x:f>
        <x:v>안</x:v>
      </x:c>
      <x:c r="D461" t="n">
        <x:f>IF(ISBLANK(MiniCase_Data!H461),VLOOKUP(A461,센서로그!$A$2:$C$13,3,FALSE),MiniCase_Data!H461)</x:f>
        <x:v>30.78</x:v>
      </x:c>
      <x:c r="E461" t="n">
        <x:f>IF(AND(MiniCase_Data!C461="야간",MiniCase_Data!F461="M03"),1,0)</x:f>
        <x:v>0</x:v>
      </x:c>
      <x:c r="F461" t="n">
        <x:f>IF(C461="밖",1,0)</x:f>
        <x:v>0</x:v>
      </x:c>
      <x:c r="G461" t="n">
        <x:f>IF(OR(F461=1,E461=1),1,0)</x:f>
        <x:v>0</x:v>
      </x:c>
      <x:c r="H461" t="str">
        <x:f>IF(B461=1,IF(F461=1,"TP","FN"),IF(F461=1,"FP","TN"))</x:f>
        <x:v>TN</x:v>
      </x:c>
      <x:c r="I461" t="str">
        <x:f>IF(B461=1,IF(G461=1,"TP","FN"),IF(G461=1,"FP","TN"))</x:f>
        <x:v>TN</x:v>
      </x:c>
    </x:row>
    <x:row r="462">
      <x:c r="A462" t="str">
        <x:f>MiniCase_Data!A462</x:f>
        <x:v>R00461</x:v>
      </x:c>
      <x:c r="B462" t="n">
        <x:f>IF(MiniCase_Data!O462="불합격",1,0)</x:f>
        <x:v>0</x:v>
      </x:c>
      <x:c r="C462" t="str">
        <x:f>IF(ISBLANK(MiniCase_Data!H462),"missing",IF(OR(MiniCase_Data!H462&lt;27,MiniCase_Data!H462&gt;33),"밖","안"))</x:f>
        <x:v>안</x:v>
      </x:c>
      <x:c r="D462" t="n">
        <x:f>IF(ISBLANK(MiniCase_Data!H462),VLOOKUP(A462,센서로그!$A$2:$C$13,3,FALSE),MiniCase_Data!H462)</x:f>
        <x:v>31.5</x:v>
      </x:c>
      <x:c r="E462" t="n">
        <x:f>IF(AND(MiniCase_Data!C462="야간",MiniCase_Data!F462="M03"),1,0)</x:f>
        <x:v>0</x:v>
      </x:c>
      <x:c r="F462" t="n">
        <x:f>IF(C462="밖",1,0)</x:f>
        <x:v>0</x:v>
      </x:c>
      <x:c r="G462" t="n">
        <x:f>IF(OR(F462=1,E462=1),1,0)</x:f>
        <x:v>0</x:v>
      </x:c>
      <x:c r="H462" t="str">
        <x:f>IF(B462=1,IF(F462=1,"TP","FN"),IF(F462=1,"FP","TN"))</x:f>
        <x:v>TN</x:v>
      </x:c>
      <x:c r="I462" t="str">
        <x:f>IF(B462=1,IF(G462=1,"TP","FN"),IF(G462=1,"FP","TN"))</x:f>
        <x:v>TN</x:v>
      </x:c>
    </x:row>
    <x:row r="463">
      <x:c r="A463" t="str">
        <x:f>MiniCase_Data!A463</x:f>
        <x:v>R00462</x:v>
      </x:c>
      <x:c r="B463" t="n">
        <x:f>IF(MiniCase_Data!O463="불합격",1,0)</x:f>
        <x:v>0</x:v>
      </x:c>
      <x:c r="C463" t="str">
        <x:f>IF(ISBLANK(MiniCase_Data!H463),"missing",IF(OR(MiniCase_Data!H463&lt;27,MiniCase_Data!H463&gt;33),"밖","안"))</x:f>
        <x:v>안</x:v>
      </x:c>
      <x:c r="D463" t="n">
        <x:f>IF(ISBLANK(MiniCase_Data!H463),VLOOKUP(A463,센서로그!$A$2:$C$13,3,FALSE),MiniCase_Data!H463)</x:f>
        <x:v>28.49</x:v>
      </x:c>
      <x:c r="E463" t="n">
        <x:f>IF(AND(MiniCase_Data!C463="야간",MiniCase_Data!F463="M03"),1,0)</x:f>
        <x:v>0</x:v>
      </x:c>
      <x:c r="F463" t="n">
        <x:f>IF(C463="밖",1,0)</x:f>
        <x:v>0</x:v>
      </x:c>
      <x:c r="G463" t="n">
        <x:f>IF(OR(F463=1,E463=1),1,0)</x:f>
        <x:v>0</x:v>
      </x:c>
      <x:c r="H463" t="str">
        <x:f>IF(B463=1,IF(F463=1,"TP","FN"),IF(F463=1,"FP","TN"))</x:f>
        <x:v>TN</x:v>
      </x:c>
      <x:c r="I463" t="str">
        <x:f>IF(B463=1,IF(G463=1,"TP","FN"),IF(G463=1,"FP","TN"))</x:f>
        <x:v>TN</x:v>
      </x:c>
    </x:row>
    <x:row r="464">
      <x:c r="A464" t="str">
        <x:f>MiniCase_Data!A464</x:f>
        <x:v>R00463</x:v>
      </x:c>
      <x:c r="B464" t="n">
        <x:f>IF(MiniCase_Data!O464="불합격",1,0)</x:f>
        <x:v>0</x:v>
      </x:c>
      <x:c r="C464" t="str">
        <x:f>IF(ISBLANK(MiniCase_Data!H464),"missing",IF(OR(MiniCase_Data!H464&lt;27,MiniCase_Data!H464&gt;33),"밖","안"))</x:f>
        <x:v>안</x:v>
      </x:c>
      <x:c r="D464" t="n">
        <x:f>IF(ISBLANK(MiniCase_Data!H464),VLOOKUP(A464,센서로그!$A$2:$C$13,3,FALSE),MiniCase_Data!H464)</x:f>
        <x:v>28.09</x:v>
      </x:c>
      <x:c r="E464" t="n">
        <x:f>IF(AND(MiniCase_Data!C464="야간",MiniCase_Data!F464="M03"),1,0)</x:f>
        <x:v>0</x:v>
      </x:c>
      <x:c r="F464" t="n">
        <x:f>IF(C464="밖",1,0)</x:f>
        <x:v>0</x:v>
      </x:c>
      <x:c r="G464" t="n">
        <x:f>IF(OR(F464=1,E464=1),1,0)</x:f>
        <x:v>0</x:v>
      </x:c>
      <x:c r="H464" t="str">
        <x:f>IF(B464=1,IF(F464=1,"TP","FN"),IF(F464=1,"FP","TN"))</x:f>
        <x:v>TN</x:v>
      </x:c>
      <x:c r="I464" t="str">
        <x:f>IF(B464=1,IF(G464=1,"TP","FN"),IF(G464=1,"FP","TN"))</x:f>
        <x:v>TN</x:v>
      </x:c>
    </x:row>
    <x:row r="465">
      <x:c r="A465" t="str">
        <x:f>MiniCase_Data!A465</x:f>
        <x:v>R00464</x:v>
      </x:c>
      <x:c r="B465" t="n">
        <x:f>IF(MiniCase_Data!O465="불합격",1,0)</x:f>
        <x:v>0</x:v>
      </x:c>
      <x:c r="C465" t="str">
        <x:f>IF(ISBLANK(MiniCase_Data!H465),"missing",IF(OR(MiniCase_Data!H465&lt;27,MiniCase_Data!H465&gt;33),"밖","안"))</x:f>
        <x:v>안</x:v>
      </x:c>
      <x:c r="D465" t="n">
        <x:f>IF(ISBLANK(MiniCase_Data!H465),VLOOKUP(A465,센서로그!$A$2:$C$13,3,FALSE),MiniCase_Data!H465)</x:f>
        <x:v>28.82</x:v>
      </x:c>
      <x:c r="E465" t="n">
        <x:f>IF(AND(MiniCase_Data!C465="야간",MiniCase_Data!F465="M03"),1,0)</x:f>
        <x:v>0</x:v>
      </x:c>
      <x:c r="F465" t="n">
        <x:f>IF(C465="밖",1,0)</x:f>
        <x:v>0</x:v>
      </x:c>
      <x:c r="G465" t="n">
        <x:f>IF(OR(F465=1,E465=1),1,0)</x:f>
        <x:v>0</x:v>
      </x:c>
      <x:c r="H465" t="str">
        <x:f>IF(B465=1,IF(F465=1,"TP","FN"),IF(F465=1,"FP","TN"))</x:f>
        <x:v>TN</x:v>
      </x:c>
      <x:c r="I465" t="str">
        <x:f>IF(B465=1,IF(G465=1,"TP","FN"),IF(G465=1,"FP","TN"))</x:f>
        <x:v>TN</x:v>
      </x:c>
    </x:row>
    <x:row r="466">
      <x:c r="A466" t="str">
        <x:f>MiniCase_Data!A466</x:f>
        <x:v>R00465</x:v>
      </x:c>
      <x:c r="B466" t="n">
        <x:f>IF(MiniCase_Data!O466="불합격",1,0)</x:f>
        <x:v>0</x:v>
      </x:c>
      <x:c r="C466" t="str">
        <x:f>IF(ISBLANK(MiniCase_Data!H466),"missing",IF(OR(MiniCase_Data!H466&lt;27,MiniCase_Data!H466&gt;33),"밖","안"))</x:f>
        <x:v>안</x:v>
      </x:c>
      <x:c r="D466" t="n">
        <x:f>IF(ISBLANK(MiniCase_Data!H466),VLOOKUP(A466,센서로그!$A$2:$C$13,3,FALSE),MiniCase_Data!H466)</x:f>
        <x:v>31.04</x:v>
      </x:c>
      <x:c r="E466" t="n">
        <x:f>IF(AND(MiniCase_Data!C466="야간",MiniCase_Data!F466="M03"),1,0)</x:f>
        <x:v>1</x:v>
      </x:c>
      <x:c r="F466" t="n">
        <x:f>IF(C466="밖",1,0)</x:f>
        <x:v>0</x:v>
      </x:c>
      <x:c r="G466" t="n">
        <x:f>IF(OR(F466=1,E466=1),1,0)</x:f>
        <x:v>1</x:v>
      </x:c>
      <x:c r="H466" t="str">
        <x:f>IF(B466=1,IF(F466=1,"TP","FN"),IF(F466=1,"FP","TN"))</x:f>
        <x:v>TN</x:v>
      </x:c>
      <x:c r="I466" t="str">
        <x:f>IF(B466=1,IF(G466=1,"TP","FN"),IF(G466=1,"FP","TN"))</x:f>
        <x:v>FP</x:v>
      </x:c>
    </x:row>
    <x:row r="467">
      <x:c r="A467" t="str">
        <x:f>MiniCase_Data!A467</x:f>
        <x:v>R00466</x:v>
      </x:c>
      <x:c r="B467" t="n">
        <x:f>IF(MiniCase_Data!O467="불합격",1,0)</x:f>
        <x:v>0</x:v>
      </x:c>
      <x:c r="C467" t="str">
        <x:f>IF(ISBLANK(MiniCase_Data!H467),"missing",IF(OR(MiniCase_Data!H467&lt;27,MiniCase_Data!H467&gt;33),"밖","안"))</x:f>
        <x:v>안</x:v>
      </x:c>
      <x:c r="D467" t="n">
        <x:f>IF(ISBLANK(MiniCase_Data!H467),VLOOKUP(A467,센서로그!$A$2:$C$13,3,FALSE),MiniCase_Data!H467)</x:f>
        <x:v>28.56</x:v>
      </x:c>
      <x:c r="E467" t="n">
        <x:f>IF(AND(MiniCase_Data!C467="야간",MiniCase_Data!F467="M03"),1,0)</x:f>
        <x:v>0</x:v>
      </x:c>
      <x:c r="F467" t="n">
        <x:f>IF(C467="밖",1,0)</x:f>
        <x:v>0</x:v>
      </x:c>
      <x:c r="G467" t="n">
        <x:f>IF(OR(F467=1,E467=1),1,0)</x:f>
        <x:v>0</x:v>
      </x:c>
      <x:c r="H467" t="str">
        <x:f>IF(B467=1,IF(F467=1,"TP","FN"),IF(F467=1,"FP","TN"))</x:f>
        <x:v>TN</x:v>
      </x:c>
      <x:c r="I467" t="str">
        <x:f>IF(B467=1,IF(G467=1,"TP","FN"),IF(G467=1,"FP","TN"))</x:f>
        <x:v>TN</x:v>
      </x:c>
    </x:row>
    <x:row r="468">
      <x:c r="A468" t="str">
        <x:f>MiniCase_Data!A468</x:f>
        <x:v>R00467</x:v>
      </x:c>
      <x:c r="B468" t="n">
        <x:f>IF(MiniCase_Data!O468="불합격",1,0)</x:f>
        <x:v>0</x:v>
      </x:c>
      <x:c r="C468" t="str">
        <x:f>IF(ISBLANK(MiniCase_Data!H468),"missing",IF(OR(MiniCase_Data!H468&lt;27,MiniCase_Data!H468&gt;33),"밖","안"))</x:f>
        <x:v>안</x:v>
      </x:c>
      <x:c r="D468" t="n">
        <x:f>IF(ISBLANK(MiniCase_Data!H468),VLOOKUP(A468,센서로그!$A$2:$C$13,3,FALSE),MiniCase_Data!H468)</x:f>
        <x:v>31.34</x:v>
      </x:c>
      <x:c r="E468" t="n">
        <x:f>IF(AND(MiniCase_Data!C468="야간",MiniCase_Data!F468="M03"),1,0)</x:f>
        <x:v>0</x:v>
      </x:c>
      <x:c r="F468" t="n">
        <x:f>IF(C468="밖",1,0)</x:f>
        <x:v>0</x:v>
      </x:c>
      <x:c r="G468" t="n">
        <x:f>IF(OR(F468=1,E468=1),1,0)</x:f>
        <x:v>0</x:v>
      </x:c>
      <x:c r="H468" t="str">
        <x:f>IF(B468=1,IF(F468=1,"TP","FN"),IF(F468=1,"FP","TN"))</x:f>
        <x:v>TN</x:v>
      </x:c>
      <x:c r="I468" t="str">
        <x:f>IF(B468=1,IF(G468=1,"TP","FN"),IF(G468=1,"FP","TN"))</x:f>
        <x:v>TN</x:v>
      </x:c>
    </x:row>
    <x:row r="469">
      <x:c r="A469" t="str">
        <x:f>MiniCase_Data!A469</x:f>
        <x:v>R00468</x:v>
      </x:c>
      <x:c r="B469" t="n">
        <x:f>IF(MiniCase_Data!O469="불합격",1,0)</x:f>
        <x:v>0</x:v>
      </x:c>
      <x:c r="C469" t="str">
        <x:f>IF(ISBLANK(MiniCase_Data!H469),"missing",IF(OR(MiniCase_Data!H469&lt;27,MiniCase_Data!H469&gt;33),"밖","안"))</x:f>
        <x:v>안</x:v>
      </x:c>
      <x:c r="D469" t="n">
        <x:f>IF(ISBLANK(MiniCase_Data!H469),VLOOKUP(A469,센서로그!$A$2:$C$13,3,FALSE),MiniCase_Data!H469)</x:f>
        <x:v>27.68</x:v>
      </x:c>
      <x:c r="E469" t="n">
        <x:f>IF(AND(MiniCase_Data!C469="야간",MiniCase_Data!F469="M03"),1,0)</x:f>
        <x:v>0</x:v>
      </x:c>
      <x:c r="F469" t="n">
        <x:f>IF(C469="밖",1,0)</x:f>
        <x:v>0</x:v>
      </x:c>
      <x:c r="G469" t="n">
        <x:f>IF(OR(F469=1,E469=1),1,0)</x:f>
        <x:v>0</x:v>
      </x:c>
      <x:c r="H469" t="str">
        <x:f>IF(B469=1,IF(F469=1,"TP","FN"),IF(F469=1,"FP","TN"))</x:f>
        <x:v>TN</x:v>
      </x:c>
      <x:c r="I469" t="str">
        <x:f>IF(B469=1,IF(G469=1,"TP","FN"),IF(G469=1,"FP","TN"))</x:f>
        <x:v>TN</x:v>
      </x:c>
    </x:row>
    <x:row r="470">
      <x:c r="A470" t="str">
        <x:f>MiniCase_Data!A470</x:f>
        <x:v>R00469</x:v>
      </x:c>
      <x:c r="B470" t="n">
        <x:f>IF(MiniCase_Data!O470="불합격",1,0)</x:f>
        <x:v>0</x:v>
      </x:c>
      <x:c r="C470" t="str">
        <x:f>IF(ISBLANK(MiniCase_Data!H470),"missing",IF(OR(MiniCase_Data!H470&lt;27,MiniCase_Data!H470&gt;33),"밖","안"))</x:f>
        <x:v>안</x:v>
      </x:c>
      <x:c r="D470" t="n">
        <x:f>IF(ISBLANK(MiniCase_Data!H470),VLOOKUP(A470,센서로그!$A$2:$C$13,3,FALSE),MiniCase_Data!H470)</x:f>
        <x:v>29.75</x:v>
      </x:c>
      <x:c r="E470" t="n">
        <x:f>IF(AND(MiniCase_Data!C470="야간",MiniCase_Data!F470="M03"),1,0)</x:f>
        <x:v>0</x:v>
      </x:c>
      <x:c r="F470" t="n">
        <x:f>IF(C470="밖",1,0)</x:f>
        <x:v>0</x:v>
      </x:c>
      <x:c r="G470" t="n">
        <x:f>IF(OR(F470=1,E470=1),1,0)</x:f>
        <x:v>0</x:v>
      </x:c>
      <x:c r="H470" t="str">
        <x:f>IF(B470=1,IF(F470=1,"TP","FN"),IF(F470=1,"FP","TN"))</x:f>
        <x:v>TN</x:v>
      </x:c>
      <x:c r="I470" t="str">
        <x:f>IF(B470=1,IF(G470=1,"TP","FN"),IF(G470=1,"FP","TN"))</x:f>
        <x:v>TN</x:v>
      </x:c>
    </x:row>
    <x:row r="471">
      <x:c r="A471" t="str">
        <x:f>MiniCase_Data!A471</x:f>
        <x:v>R00470</x:v>
      </x:c>
      <x:c r="B471" t="n">
        <x:f>IF(MiniCase_Data!O471="불합격",1,0)</x:f>
        <x:v>0</x:v>
      </x:c>
      <x:c r="C471" t="str">
        <x:f>IF(ISBLANK(MiniCase_Data!H471),"missing",IF(OR(MiniCase_Data!H471&lt;27,MiniCase_Data!H471&gt;33),"밖","안"))</x:f>
        <x:v>안</x:v>
      </x:c>
      <x:c r="D471" t="n">
        <x:f>IF(ISBLANK(MiniCase_Data!H471),VLOOKUP(A471,센서로그!$A$2:$C$13,3,FALSE),MiniCase_Data!H471)</x:f>
        <x:v>28.15</x:v>
      </x:c>
      <x:c r="E471" t="n">
        <x:f>IF(AND(MiniCase_Data!C471="야간",MiniCase_Data!F471="M03"),1,0)</x:f>
        <x:v>0</x:v>
      </x:c>
      <x:c r="F471" t="n">
        <x:f>IF(C471="밖",1,0)</x:f>
        <x:v>0</x:v>
      </x:c>
      <x:c r="G471" t="n">
        <x:f>IF(OR(F471=1,E471=1),1,0)</x:f>
        <x:v>0</x:v>
      </x:c>
      <x:c r="H471" t="str">
        <x:f>IF(B471=1,IF(F471=1,"TP","FN"),IF(F471=1,"FP","TN"))</x:f>
        <x:v>TN</x:v>
      </x:c>
      <x:c r="I471" t="str">
        <x:f>IF(B471=1,IF(G471=1,"TP","FN"),IF(G471=1,"FP","TN"))</x:f>
        <x:v>TN</x:v>
      </x:c>
    </x:row>
    <x:row r="472">
      <x:c r="A472" t="str">
        <x:f>MiniCase_Data!A472</x:f>
        <x:v>R00471</x:v>
      </x:c>
      <x:c r="B472" t="n">
        <x:f>IF(MiniCase_Data!O472="불합격",1,0)</x:f>
        <x:v>0</x:v>
      </x:c>
      <x:c r="C472" t="str">
        <x:f>IF(ISBLANK(MiniCase_Data!H472),"missing",IF(OR(MiniCase_Data!H472&lt;27,MiniCase_Data!H472&gt;33),"밖","안"))</x:f>
        <x:v>안</x:v>
      </x:c>
      <x:c r="D472" t="n">
        <x:f>IF(ISBLANK(MiniCase_Data!H472),VLOOKUP(A472,센서로그!$A$2:$C$13,3,FALSE),MiniCase_Data!H472)</x:f>
        <x:v>31.13</x:v>
      </x:c>
      <x:c r="E472" t="n">
        <x:f>IF(AND(MiniCase_Data!C472="야간",MiniCase_Data!F472="M03"),1,0)</x:f>
        <x:v>0</x:v>
      </x:c>
      <x:c r="F472" t="n">
        <x:f>IF(C472="밖",1,0)</x:f>
        <x:v>0</x:v>
      </x:c>
      <x:c r="G472" t="n">
        <x:f>IF(OR(F472=1,E472=1),1,0)</x:f>
        <x:v>0</x:v>
      </x:c>
      <x:c r="H472" t="str">
        <x:f>IF(B472=1,IF(F472=1,"TP","FN"),IF(F472=1,"FP","TN"))</x:f>
        <x:v>TN</x:v>
      </x:c>
      <x:c r="I472" t="str">
        <x:f>IF(B472=1,IF(G472=1,"TP","FN"),IF(G472=1,"FP","TN"))</x:f>
        <x:v>TN</x:v>
      </x:c>
    </x:row>
    <x:row r="473">
      <x:c r="A473" t="str">
        <x:f>MiniCase_Data!A473</x:f>
        <x:v>R00472</x:v>
      </x:c>
      <x:c r="B473" t="n">
        <x:f>IF(MiniCase_Data!O473="불합격",1,0)</x:f>
        <x:v>0</x:v>
      </x:c>
      <x:c r="C473" t="str">
        <x:f>IF(ISBLANK(MiniCase_Data!H473),"missing",IF(OR(MiniCase_Data!H473&lt;27,MiniCase_Data!H473&gt;33),"밖","안"))</x:f>
        <x:v>missing</x:v>
      </x:c>
      <x:c r="D473" t="n">
        <x:f>IF(ISBLANK(MiniCase_Data!H473),VLOOKUP(A473,센서로그!$A$2:$C$13,3,FALSE),MiniCase_Data!H473)</x:f>
        <x:v>29.2</x:v>
      </x:c>
      <x:c r="E473" t="n">
        <x:f>IF(AND(MiniCase_Data!C473="야간",MiniCase_Data!F473="M03"),1,0)</x:f>
        <x:v>0</x:v>
      </x:c>
      <x:c r="F473" t="n">
        <x:f>IF(C473="밖",1,0)</x:f>
        <x:v>0</x:v>
      </x:c>
      <x:c r="G473" t="n">
        <x:f>IF(OR(F473=1,E473=1),1,0)</x:f>
        <x:v>0</x:v>
      </x:c>
      <x:c r="H473" t="str">
        <x:f>IF(B473=1,IF(F473=1,"TP","FN"),IF(F473=1,"FP","TN"))</x:f>
        <x:v>TN</x:v>
      </x:c>
      <x:c r="I473" t="str">
        <x:f>IF(B473=1,IF(G473=1,"TP","FN"),IF(G473=1,"FP","TN"))</x:f>
        <x:v>TN</x:v>
      </x:c>
    </x:row>
    <x:row r="474">
      <x:c r="A474" t="str">
        <x:f>MiniCase_Data!A474</x:f>
        <x:v>R00473</x:v>
      </x:c>
      <x:c r="B474" t="n">
        <x:f>IF(MiniCase_Data!O474="불합격",1,0)</x:f>
        <x:v>0</x:v>
      </x:c>
      <x:c r="C474" t="str">
        <x:f>IF(ISBLANK(MiniCase_Data!H474),"missing",IF(OR(MiniCase_Data!H474&lt;27,MiniCase_Data!H474&gt;33),"밖","안"))</x:f>
        <x:v>안</x:v>
      </x:c>
      <x:c r="D474" t="n">
        <x:f>IF(ISBLANK(MiniCase_Data!H474),VLOOKUP(A474,센서로그!$A$2:$C$13,3,FALSE),MiniCase_Data!H474)</x:f>
        <x:v>29.22</x:v>
      </x:c>
      <x:c r="E474" t="n">
        <x:f>IF(AND(MiniCase_Data!C474="야간",MiniCase_Data!F474="M03"),1,0)</x:f>
        <x:v>0</x:v>
      </x:c>
      <x:c r="F474" t="n">
        <x:f>IF(C474="밖",1,0)</x:f>
        <x:v>0</x:v>
      </x:c>
      <x:c r="G474" t="n">
        <x:f>IF(OR(F474=1,E474=1),1,0)</x:f>
        <x:v>0</x:v>
      </x:c>
      <x:c r="H474" t="str">
        <x:f>IF(B474=1,IF(F474=1,"TP","FN"),IF(F474=1,"FP","TN"))</x:f>
        <x:v>TN</x:v>
      </x:c>
      <x:c r="I474" t="str">
        <x:f>IF(B474=1,IF(G474=1,"TP","FN"),IF(G474=1,"FP","TN"))</x:f>
        <x:v>TN</x:v>
      </x:c>
    </x:row>
    <x:row r="475">
      <x:c r="A475" t="str">
        <x:f>MiniCase_Data!A475</x:f>
        <x:v>R00474</x:v>
      </x:c>
      <x:c r="B475" t="n">
        <x:f>IF(MiniCase_Data!O475="불합격",1,0)</x:f>
        <x:v>0</x:v>
      </x:c>
      <x:c r="C475" t="str">
        <x:f>IF(ISBLANK(MiniCase_Data!H475),"missing",IF(OR(MiniCase_Data!H475&lt;27,MiniCase_Data!H475&gt;33),"밖","안"))</x:f>
        <x:v>안</x:v>
      </x:c>
      <x:c r="D475" t="n">
        <x:f>IF(ISBLANK(MiniCase_Data!H475),VLOOKUP(A475,센서로그!$A$2:$C$13,3,FALSE),MiniCase_Data!H475)</x:f>
        <x:v>30.53</x:v>
      </x:c>
      <x:c r="E475" t="n">
        <x:f>IF(AND(MiniCase_Data!C475="야간",MiniCase_Data!F475="M03"),1,0)</x:f>
        <x:v>0</x:v>
      </x:c>
      <x:c r="F475" t="n">
        <x:f>IF(C475="밖",1,0)</x:f>
        <x:v>0</x:v>
      </x:c>
      <x:c r="G475" t="n">
        <x:f>IF(OR(F475=1,E475=1),1,0)</x:f>
        <x:v>0</x:v>
      </x:c>
      <x:c r="H475" t="str">
        <x:f>IF(B475=1,IF(F475=1,"TP","FN"),IF(F475=1,"FP","TN"))</x:f>
        <x:v>TN</x:v>
      </x:c>
      <x:c r="I475" t="str">
        <x:f>IF(B475=1,IF(G475=1,"TP","FN"),IF(G475=1,"FP","TN"))</x:f>
        <x:v>TN</x:v>
      </x:c>
    </x:row>
    <x:row r="476">
      <x:c r="A476" t="str">
        <x:f>MiniCase_Data!A476</x:f>
        <x:v>R00475</x:v>
      </x:c>
      <x:c r="B476" t="n">
        <x:f>IF(MiniCase_Data!O476="불합격",1,0)</x:f>
        <x:v>0</x:v>
      </x:c>
      <x:c r="C476" t="str">
        <x:f>IF(ISBLANK(MiniCase_Data!H476),"missing",IF(OR(MiniCase_Data!H476&lt;27,MiniCase_Data!H476&gt;33),"밖","안"))</x:f>
        <x:v>안</x:v>
      </x:c>
      <x:c r="D476" t="n">
        <x:f>IF(ISBLANK(MiniCase_Data!H476),VLOOKUP(A476,센서로그!$A$2:$C$13,3,FALSE),MiniCase_Data!H476)</x:f>
        <x:v>30.92</x:v>
      </x:c>
      <x:c r="E476" t="n">
        <x:f>IF(AND(MiniCase_Data!C476="야간",MiniCase_Data!F476="M03"),1,0)</x:f>
        <x:v>0</x:v>
      </x:c>
      <x:c r="F476" t="n">
        <x:f>IF(C476="밖",1,0)</x:f>
        <x:v>0</x:v>
      </x:c>
      <x:c r="G476" t="n">
        <x:f>IF(OR(F476=1,E476=1),1,0)</x:f>
        <x:v>0</x:v>
      </x:c>
      <x:c r="H476" t="str">
        <x:f>IF(B476=1,IF(F476=1,"TP","FN"),IF(F476=1,"FP","TN"))</x:f>
        <x:v>TN</x:v>
      </x:c>
      <x:c r="I476" t="str">
        <x:f>IF(B476=1,IF(G476=1,"TP","FN"),IF(G476=1,"FP","TN"))</x:f>
        <x:v>TN</x:v>
      </x:c>
    </x:row>
    <x:row r="477">
      <x:c r="A477" t="str">
        <x:f>MiniCase_Data!A477</x:f>
        <x:v>R00476</x:v>
      </x:c>
      <x:c r="B477" t="n">
        <x:f>IF(MiniCase_Data!O477="불합격",1,0)</x:f>
        <x:v>0</x:v>
      </x:c>
      <x:c r="C477" t="str">
        <x:f>IF(ISBLANK(MiniCase_Data!H477),"missing",IF(OR(MiniCase_Data!H477&lt;27,MiniCase_Data!H477&gt;33),"밖","안"))</x:f>
        <x:v>안</x:v>
      </x:c>
      <x:c r="D477" t="n">
        <x:f>IF(ISBLANK(MiniCase_Data!H477),VLOOKUP(A477,센서로그!$A$2:$C$13,3,FALSE),MiniCase_Data!H477)</x:f>
        <x:v>27.27</x:v>
      </x:c>
      <x:c r="E477" t="n">
        <x:f>IF(AND(MiniCase_Data!C477="야간",MiniCase_Data!F477="M03"),1,0)</x:f>
        <x:v>0</x:v>
      </x:c>
      <x:c r="F477" t="n">
        <x:f>IF(C477="밖",1,0)</x:f>
        <x:v>0</x:v>
      </x:c>
      <x:c r="G477" t="n">
        <x:f>IF(OR(F477=1,E477=1),1,0)</x:f>
        <x:v>0</x:v>
      </x:c>
      <x:c r="H477" t="str">
        <x:f>IF(B477=1,IF(F477=1,"TP","FN"),IF(F477=1,"FP","TN"))</x:f>
        <x:v>TN</x:v>
      </x:c>
      <x:c r="I477" t="str">
        <x:f>IF(B477=1,IF(G477=1,"TP","FN"),IF(G477=1,"FP","TN"))</x:f>
        <x:v>TN</x:v>
      </x:c>
    </x:row>
    <x:row r="478">
      <x:c r="A478" t="str">
        <x:f>MiniCase_Data!A478</x:f>
        <x:v>R00477</x:v>
      </x:c>
      <x:c r="B478" t="n">
        <x:f>IF(MiniCase_Data!O478="불합격",1,0)</x:f>
        <x:v>0</x:v>
      </x:c>
      <x:c r="C478" t="str">
        <x:f>IF(ISBLANK(MiniCase_Data!H478),"missing",IF(OR(MiniCase_Data!H478&lt;27,MiniCase_Data!H478&gt;33),"밖","안"))</x:f>
        <x:v>안</x:v>
      </x:c>
      <x:c r="D478" t="n">
        <x:f>IF(ISBLANK(MiniCase_Data!H478),VLOOKUP(A478,센서로그!$A$2:$C$13,3,FALSE),MiniCase_Data!H478)</x:f>
        <x:v>27.28</x:v>
      </x:c>
      <x:c r="E478" t="n">
        <x:f>IF(AND(MiniCase_Data!C478="야간",MiniCase_Data!F478="M03"),1,0)</x:f>
        <x:v>0</x:v>
      </x:c>
      <x:c r="F478" t="n">
        <x:f>IF(C478="밖",1,0)</x:f>
        <x:v>0</x:v>
      </x:c>
      <x:c r="G478" t="n">
        <x:f>IF(OR(F478=1,E478=1),1,0)</x:f>
        <x:v>0</x:v>
      </x:c>
      <x:c r="H478" t="str">
        <x:f>IF(B478=1,IF(F478=1,"TP","FN"),IF(F478=1,"FP","TN"))</x:f>
        <x:v>TN</x:v>
      </x:c>
      <x:c r="I478" t="str">
        <x:f>IF(B478=1,IF(G478=1,"TP","FN"),IF(G478=1,"FP","TN"))</x:f>
        <x:v>TN</x:v>
      </x:c>
    </x:row>
    <x:row r="479">
      <x:c r="A479" t="str">
        <x:f>MiniCase_Data!A479</x:f>
        <x:v>R00478</x:v>
      </x:c>
      <x:c r="B479" t="n">
        <x:f>IF(MiniCase_Data!O479="불합격",1,0)</x:f>
        <x:v>0</x:v>
      </x:c>
      <x:c r="C479" t="str">
        <x:f>IF(ISBLANK(MiniCase_Data!H479),"missing",IF(OR(MiniCase_Data!H479&lt;27,MiniCase_Data!H479&gt;33),"밖","안"))</x:f>
        <x:v>안</x:v>
      </x:c>
      <x:c r="D479" t="n">
        <x:f>IF(ISBLANK(MiniCase_Data!H479),VLOOKUP(A479,센서로그!$A$2:$C$13,3,FALSE),MiniCase_Data!H479)</x:f>
        <x:v>31.38</x:v>
      </x:c>
      <x:c r="E479" t="n">
        <x:f>IF(AND(MiniCase_Data!C479="야간",MiniCase_Data!F479="M03"),1,0)</x:f>
        <x:v>0</x:v>
      </x:c>
      <x:c r="F479" t="n">
        <x:f>IF(C479="밖",1,0)</x:f>
        <x:v>0</x:v>
      </x:c>
      <x:c r="G479" t="n">
        <x:f>IF(OR(F479=1,E479=1),1,0)</x:f>
        <x:v>0</x:v>
      </x:c>
      <x:c r="H479" t="str">
        <x:f>IF(B479=1,IF(F479=1,"TP","FN"),IF(F479=1,"FP","TN"))</x:f>
        <x:v>TN</x:v>
      </x:c>
      <x:c r="I479" t="str">
        <x:f>IF(B479=1,IF(G479=1,"TP","FN"),IF(G479=1,"FP","TN"))</x:f>
        <x:v>TN</x:v>
      </x:c>
    </x:row>
    <x:row r="480">
      <x:c r="A480" t="str">
        <x:f>MiniCase_Data!A480</x:f>
        <x:v>R00479</x:v>
      </x:c>
      <x:c r="B480" t="n">
        <x:f>IF(MiniCase_Data!O480="불합격",1,0)</x:f>
        <x:v>0</x:v>
      </x:c>
      <x:c r="C480" t="str">
        <x:f>IF(ISBLANK(MiniCase_Data!H480),"missing",IF(OR(MiniCase_Data!H480&lt;27,MiniCase_Data!H480&gt;33),"밖","안"))</x:f>
        <x:v>안</x:v>
      </x:c>
      <x:c r="D480" t="n">
        <x:f>IF(ISBLANK(MiniCase_Data!H480),VLOOKUP(A480,센서로그!$A$2:$C$13,3,FALSE),MiniCase_Data!H480)</x:f>
        <x:v>31.72</x:v>
      </x:c>
      <x:c r="E480" t="n">
        <x:f>IF(AND(MiniCase_Data!C480="야간",MiniCase_Data!F480="M03"),1,0)</x:f>
        <x:v>0</x:v>
      </x:c>
      <x:c r="F480" t="n">
        <x:f>IF(C480="밖",1,0)</x:f>
        <x:v>0</x:v>
      </x:c>
      <x:c r="G480" t="n">
        <x:f>IF(OR(F480=1,E480=1),1,0)</x:f>
        <x:v>0</x:v>
      </x:c>
      <x:c r="H480" t="str">
        <x:f>IF(B480=1,IF(F480=1,"TP","FN"),IF(F480=1,"FP","TN"))</x:f>
        <x:v>TN</x:v>
      </x:c>
      <x:c r="I480" t="str">
        <x:f>IF(B480=1,IF(G480=1,"TP","FN"),IF(G480=1,"FP","TN"))</x:f>
        <x:v>TN</x:v>
      </x:c>
    </x:row>
    <x:row r="481">
      <x:c r="A481" t="str">
        <x:f>MiniCase_Data!A481</x:f>
        <x:v>R00480</x:v>
      </x:c>
      <x:c r="B481" t="n">
        <x:f>IF(MiniCase_Data!O481="불합격",1,0)</x:f>
        <x:v>0</x:v>
      </x:c>
      <x:c r="C481" t="str">
        <x:f>IF(ISBLANK(MiniCase_Data!H481),"missing",IF(OR(MiniCase_Data!H481&lt;27,MiniCase_Data!H481&gt;33),"밖","안"))</x:f>
        <x:v>밖</x:v>
      </x:c>
      <x:c r="D481" t="n">
        <x:f>IF(ISBLANK(MiniCase_Data!H481),VLOOKUP(A481,센서로그!$A$2:$C$13,3,FALSE),MiniCase_Data!H481)</x:f>
        <x:v>26.69</x:v>
      </x:c>
      <x:c r="E481" t="n">
        <x:f>IF(AND(MiniCase_Data!C481="야간",MiniCase_Data!F481="M03"),1,0)</x:f>
        <x:v>1</x:v>
      </x:c>
      <x:c r="F481" t="n">
        <x:f>IF(C481="밖",1,0)</x:f>
        <x:v>1</x:v>
      </x:c>
      <x:c r="G481" t="n">
        <x:f>IF(OR(F481=1,E481=1),1,0)</x:f>
        <x:v>1</x:v>
      </x:c>
      <x:c r="H481" t="str">
        <x:f>IF(B481=1,IF(F481=1,"TP","FN"),IF(F481=1,"FP","TN"))</x:f>
        <x:v>FP</x:v>
      </x:c>
      <x:c r="I481" t="str">
        <x:f>IF(B481=1,IF(G481=1,"TP","FN"),IF(G481=1,"FP","TN"))</x:f>
        <x:v>FP</x:v>
      </x:c>
    </x:row>
    <x:row r="482">
      <x:c r="A482" t="str">
        <x:f>MiniCase_Data!A482</x:f>
        <x:v>R00481</x:v>
      </x:c>
      <x:c r="B482" t="n">
        <x:f>IF(MiniCase_Data!O482="불합격",1,0)</x:f>
        <x:v>1</x:v>
      </x:c>
      <x:c r="C482" t="str">
        <x:f>IF(ISBLANK(MiniCase_Data!H482),"missing",IF(OR(MiniCase_Data!H482&lt;27,MiniCase_Data!H482&gt;33),"밖","안"))</x:f>
        <x:v>밖</x:v>
      </x:c>
      <x:c r="D482" t="n">
        <x:f>IF(ISBLANK(MiniCase_Data!H482),VLOOKUP(A482,센서로그!$A$2:$C$13,3,FALSE),MiniCase_Data!H482)</x:f>
        <x:v>33.38</x:v>
      </x:c>
      <x:c r="E482" t="n">
        <x:f>IF(AND(MiniCase_Data!C482="야간",MiniCase_Data!F482="M03"),1,0)</x:f>
        <x:v>0</x:v>
      </x:c>
      <x:c r="F482" t="n">
        <x:f>IF(C482="밖",1,0)</x:f>
        <x:v>1</x:v>
      </x:c>
      <x:c r="G482" t="n">
        <x:f>IF(OR(F482=1,E482=1),1,0)</x:f>
        <x:v>1</x:v>
      </x:c>
      <x:c r="H482" t="str">
        <x:f>IF(B482=1,IF(F482=1,"TP","FN"),IF(F482=1,"FP","TN"))</x:f>
        <x:v>TP</x:v>
      </x:c>
      <x:c r="I482" t="str">
        <x:f>IF(B482=1,IF(G482=1,"TP","FN"),IF(G482=1,"FP","TN"))</x:f>
        <x:v>TP</x:v>
      </x:c>
    </x:row>
    <x:row r="483">
      <x:c r="A483" t="str">
        <x:f>MiniCase_Data!A483</x:f>
        <x:v>R00482</x:v>
      </x:c>
      <x:c r="B483" t="n">
        <x:f>IF(MiniCase_Data!O483="불합격",1,0)</x:f>
        <x:v>0</x:v>
      </x:c>
      <x:c r="C483" t="str">
        <x:f>IF(ISBLANK(MiniCase_Data!H483),"missing",IF(OR(MiniCase_Data!H483&lt;27,MiniCase_Data!H483&gt;33),"밖","안"))</x:f>
        <x:v>안</x:v>
      </x:c>
      <x:c r="D483" t="n">
        <x:f>IF(ISBLANK(MiniCase_Data!H483),VLOOKUP(A483,센서로그!$A$2:$C$13,3,FALSE),MiniCase_Data!H483)</x:f>
        <x:v>30.12</x:v>
      </x:c>
      <x:c r="E483" t="n">
        <x:f>IF(AND(MiniCase_Data!C483="야간",MiniCase_Data!F483="M03"),1,0)</x:f>
        <x:v>0</x:v>
      </x:c>
      <x:c r="F483" t="n">
        <x:f>IF(C483="밖",1,0)</x:f>
        <x:v>0</x:v>
      </x:c>
      <x:c r="G483" t="n">
        <x:f>IF(OR(F483=1,E483=1),1,0)</x:f>
        <x:v>0</x:v>
      </x:c>
      <x:c r="H483" t="str">
        <x:f>IF(B483=1,IF(F483=1,"TP","FN"),IF(F483=1,"FP","TN"))</x:f>
        <x:v>TN</x:v>
      </x:c>
      <x:c r="I483" t="str">
        <x:f>IF(B483=1,IF(G483=1,"TP","FN"),IF(G483=1,"FP","TN"))</x:f>
        <x:v>TN</x:v>
      </x:c>
    </x:row>
    <x:row r="484">
      <x:c r="A484" t="str">
        <x:f>MiniCase_Data!A484</x:f>
        <x:v>R00483</x:v>
      </x:c>
      <x:c r="B484" t="n">
        <x:f>IF(MiniCase_Data!O484="불합격",1,0)</x:f>
        <x:v>0</x:v>
      </x:c>
      <x:c r="C484" t="str">
        <x:f>IF(ISBLANK(MiniCase_Data!H484),"missing",IF(OR(MiniCase_Data!H484&lt;27,MiniCase_Data!H484&gt;33),"밖","안"))</x:f>
        <x:v>안</x:v>
      </x:c>
      <x:c r="D484" t="n">
        <x:f>IF(ISBLANK(MiniCase_Data!H484),VLOOKUP(A484,센서로그!$A$2:$C$13,3,FALSE),MiniCase_Data!H484)</x:f>
        <x:v>27.68</x:v>
      </x:c>
      <x:c r="E484" t="n">
        <x:f>IF(AND(MiniCase_Data!C484="야간",MiniCase_Data!F484="M03"),1,0)</x:f>
        <x:v>0</x:v>
      </x:c>
      <x:c r="F484" t="n">
        <x:f>IF(C484="밖",1,0)</x:f>
        <x:v>0</x:v>
      </x:c>
      <x:c r="G484" t="n">
        <x:f>IF(OR(F484=1,E484=1),1,0)</x:f>
        <x:v>0</x:v>
      </x:c>
      <x:c r="H484" t="str">
        <x:f>IF(B484=1,IF(F484=1,"TP","FN"),IF(F484=1,"FP","TN"))</x:f>
        <x:v>TN</x:v>
      </x:c>
      <x:c r="I484" t="str">
        <x:f>IF(B484=1,IF(G484=1,"TP","FN"),IF(G484=1,"FP","TN"))</x:f>
        <x:v>TN</x:v>
      </x:c>
    </x:row>
    <x:row r="485">
      <x:c r="A485" t="str">
        <x:f>MiniCase_Data!A485</x:f>
        <x:v>R00484</x:v>
      </x:c>
      <x:c r="B485" t="n">
        <x:f>IF(MiniCase_Data!O485="불합격",1,0)</x:f>
        <x:v>0</x:v>
      </x:c>
      <x:c r="C485" t="str">
        <x:f>IF(ISBLANK(MiniCase_Data!H485),"missing",IF(OR(MiniCase_Data!H485&lt;27,MiniCase_Data!H485&gt;33),"밖","안"))</x:f>
        <x:v>안</x:v>
      </x:c>
      <x:c r="D485" t="n">
        <x:f>IF(ISBLANK(MiniCase_Data!H485),VLOOKUP(A485,센서로그!$A$2:$C$13,3,FALSE),MiniCase_Data!H485)</x:f>
        <x:v>29.68</x:v>
      </x:c>
      <x:c r="E485" t="n">
        <x:f>IF(AND(MiniCase_Data!C485="야간",MiniCase_Data!F485="M03"),1,0)</x:f>
        <x:v>0</x:v>
      </x:c>
      <x:c r="F485" t="n">
        <x:f>IF(C485="밖",1,0)</x:f>
        <x:v>0</x:v>
      </x:c>
      <x:c r="G485" t="n">
        <x:f>IF(OR(F485=1,E485=1),1,0)</x:f>
        <x:v>0</x:v>
      </x:c>
      <x:c r="H485" t="str">
        <x:f>IF(B485=1,IF(F485=1,"TP","FN"),IF(F485=1,"FP","TN"))</x:f>
        <x:v>TN</x:v>
      </x:c>
      <x:c r="I485" t="str">
        <x:f>IF(B485=1,IF(G485=1,"TP","FN"),IF(G485=1,"FP","TN"))</x:f>
        <x:v>TN</x:v>
      </x:c>
    </x:row>
    <x:row r="486">
      <x:c r="A486" t="str">
        <x:f>MiniCase_Data!A486</x:f>
        <x:v>R00485</x:v>
      </x:c>
      <x:c r="B486" t="n">
        <x:f>IF(MiniCase_Data!O486="불합격",1,0)</x:f>
        <x:v>0</x:v>
      </x:c>
      <x:c r="C486" t="str">
        <x:f>IF(ISBLANK(MiniCase_Data!H486),"missing",IF(OR(MiniCase_Data!H486&lt;27,MiniCase_Data!H486&gt;33),"밖","안"))</x:f>
        <x:v>안</x:v>
      </x:c>
      <x:c r="D486" t="n">
        <x:f>IF(ISBLANK(MiniCase_Data!H486),VLOOKUP(A486,센서로그!$A$2:$C$13,3,FALSE),MiniCase_Data!H486)</x:f>
        <x:v>30.94</x:v>
      </x:c>
      <x:c r="E486" t="n">
        <x:f>IF(AND(MiniCase_Data!C486="야간",MiniCase_Data!F486="M03"),1,0)</x:f>
        <x:v>0</x:v>
      </x:c>
      <x:c r="F486" t="n">
        <x:f>IF(C486="밖",1,0)</x:f>
        <x:v>0</x:v>
      </x:c>
      <x:c r="G486" t="n">
        <x:f>IF(OR(F486=1,E486=1),1,0)</x:f>
        <x:v>0</x:v>
      </x:c>
      <x:c r="H486" t="str">
        <x:f>IF(B486=1,IF(F486=1,"TP","FN"),IF(F486=1,"FP","TN"))</x:f>
        <x:v>TN</x:v>
      </x:c>
      <x:c r="I486" t="str">
        <x:f>IF(B486=1,IF(G486=1,"TP","FN"),IF(G486=1,"FP","TN"))</x:f>
        <x:v>TN</x:v>
      </x:c>
    </x:row>
    <x:row r="487">
      <x:c r="A487" t="str">
        <x:f>MiniCase_Data!A487</x:f>
        <x:v>R00486</x:v>
      </x:c>
      <x:c r="B487" t="n">
        <x:f>IF(MiniCase_Data!O487="불합격",1,0)</x:f>
        <x:v>0</x:v>
      </x:c>
      <x:c r="C487" t="str">
        <x:f>IF(ISBLANK(MiniCase_Data!H487),"missing",IF(OR(MiniCase_Data!H487&lt;27,MiniCase_Data!H487&gt;33),"밖","안"))</x:f>
        <x:v>안</x:v>
      </x:c>
      <x:c r="D487" t="n">
        <x:f>IF(ISBLANK(MiniCase_Data!H487),VLOOKUP(A487,센서로그!$A$2:$C$13,3,FALSE),MiniCase_Data!H487)</x:f>
        <x:v>29.58</x:v>
      </x:c>
      <x:c r="E487" t="n">
        <x:f>IF(AND(MiniCase_Data!C487="야간",MiniCase_Data!F487="M03"),1,0)</x:f>
        <x:v>0</x:v>
      </x:c>
      <x:c r="F487" t="n">
        <x:f>IF(C487="밖",1,0)</x:f>
        <x:v>0</x:v>
      </x:c>
      <x:c r="G487" t="n">
        <x:f>IF(OR(F487=1,E487=1),1,0)</x:f>
        <x:v>0</x:v>
      </x:c>
      <x:c r="H487" t="str">
        <x:f>IF(B487=1,IF(F487=1,"TP","FN"),IF(F487=1,"FP","TN"))</x:f>
        <x:v>TN</x:v>
      </x:c>
      <x:c r="I487" t="str">
        <x:f>IF(B487=1,IF(G487=1,"TP","FN"),IF(G487=1,"FP","TN"))</x:f>
        <x:v>TN</x:v>
      </x:c>
    </x:row>
    <x:row r="488">
      <x:c r="A488" t="str">
        <x:f>MiniCase_Data!A488</x:f>
        <x:v>R00487</x:v>
      </x:c>
      <x:c r="B488" t="n">
        <x:f>IF(MiniCase_Data!O488="불합격",1,0)</x:f>
        <x:v>0</x:v>
      </x:c>
      <x:c r="C488" t="str">
        <x:f>IF(ISBLANK(MiniCase_Data!H488),"missing",IF(OR(MiniCase_Data!H488&lt;27,MiniCase_Data!H488&gt;33),"밖","안"))</x:f>
        <x:v>안</x:v>
      </x:c>
      <x:c r="D488" t="n">
        <x:f>IF(ISBLANK(MiniCase_Data!H488),VLOOKUP(A488,센서로그!$A$2:$C$13,3,FALSE),MiniCase_Data!H488)</x:f>
        <x:v>32.19</x:v>
      </x:c>
      <x:c r="E488" t="n">
        <x:f>IF(AND(MiniCase_Data!C488="야간",MiniCase_Data!F488="M03"),1,0)</x:f>
        <x:v>0</x:v>
      </x:c>
      <x:c r="F488" t="n">
        <x:f>IF(C488="밖",1,0)</x:f>
        <x:v>0</x:v>
      </x:c>
      <x:c r="G488" t="n">
        <x:f>IF(OR(F488=1,E488=1),1,0)</x:f>
        <x:v>0</x:v>
      </x:c>
      <x:c r="H488" t="str">
        <x:f>IF(B488=1,IF(F488=1,"TP","FN"),IF(F488=1,"FP","TN"))</x:f>
        <x:v>TN</x:v>
      </x:c>
      <x:c r="I488" t="str">
        <x:f>IF(B488=1,IF(G488=1,"TP","FN"),IF(G488=1,"FP","TN"))</x:f>
        <x:v>TN</x:v>
      </x:c>
    </x:row>
    <x:row r="489">
      <x:c r="A489" t="str">
        <x:f>MiniCase_Data!A489</x:f>
        <x:v>R00488</x:v>
      </x:c>
      <x:c r="B489" t="n">
        <x:f>IF(MiniCase_Data!O489="불합격",1,0)</x:f>
        <x:v>0</x:v>
      </x:c>
      <x:c r="C489" t="str">
        <x:f>IF(ISBLANK(MiniCase_Data!H489),"missing",IF(OR(MiniCase_Data!H489&lt;27,MiniCase_Data!H489&gt;33),"밖","안"))</x:f>
        <x:v>안</x:v>
      </x:c>
      <x:c r="D489" t="n">
        <x:f>IF(ISBLANK(MiniCase_Data!H489),VLOOKUP(A489,센서로그!$A$2:$C$13,3,FALSE),MiniCase_Data!H489)</x:f>
        <x:v>31.69</x:v>
      </x:c>
      <x:c r="E489" t="n">
        <x:f>IF(AND(MiniCase_Data!C489="야간",MiniCase_Data!F489="M03"),1,0)</x:f>
        <x:v>0</x:v>
      </x:c>
      <x:c r="F489" t="n">
        <x:f>IF(C489="밖",1,0)</x:f>
        <x:v>0</x:v>
      </x:c>
      <x:c r="G489" t="n">
        <x:f>IF(OR(F489=1,E489=1),1,0)</x:f>
        <x:v>0</x:v>
      </x:c>
      <x:c r="H489" t="str">
        <x:f>IF(B489=1,IF(F489=1,"TP","FN"),IF(F489=1,"FP","TN"))</x:f>
        <x:v>TN</x:v>
      </x:c>
      <x:c r="I489" t="str">
        <x:f>IF(B489=1,IF(G489=1,"TP","FN"),IF(G489=1,"FP","TN"))</x:f>
        <x:v>TN</x:v>
      </x:c>
    </x:row>
    <x:row r="490">
      <x:c r="A490" t="str">
        <x:f>MiniCase_Data!A490</x:f>
        <x:v>R00489</x:v>
      </x:c>
      <x:c r="B490" t="n">
        <x:f>IF(MiniCase_Data!O490="불합격",1,0)</x:f>
        <x:v>0</x:v>
      </x:c>
      <x:c r="C490" t="str">
        <x:f>IF(ISBLANK(MiniCase_Data!H490),"missing",IF(OR(MiniCase_Data!H490&lt;27,MiniCase_Data!H490&gt;33),"밖","안"))</x:f>
        <x:v>안</x:v>
      </x:c>
      <x:c r="D490" t="n">
        <x:f>IF(ISBLANK(MiniCase_Data!H490),VLOOKUP(A490,센서로그!$A$2:$C$13,3,FALSE),MiniCase_Data!H490)</x:f>
        <x:v>30.53</x:v>
      </x:c>
      <x:c r="E490" t="n">
        <x:f>IF(AND(MiniCase_Data!C490="야간",MiniCase_Data!F490="M03"),1,0)</x:f>
        <x:v>0</x:v>
      </x:c>
      <x:c r="F490" t="n">
        <x:f>IF(C490="밖",1,0)</x:f>
        <x:v>0</x:v>
      </x:c>
      <x:c r="G490" t="n">
        <x:f>IF(OR(F490=1,E490=1),1,0)</x:f>
        <x:v>0</x:v>
      </x:c>
      <x:c r="H490" t="str">
        <x:f>IF(B490=1,IF(F490=1,"TP","FN"),IF(F490=1,"FP","TN"))</x:f>
        <x:v>TN</x:v>
      </x:c>
      <x:c r="I490" t="str">
        <x:f>IF(B490=1,IF(G490=1,"TP","FN"),IF(G490=1,"FP","TN"))</x:f>
        <x:v>TN</x:v>
      </x:c>
    </x:row>
    <x:row r="491">
      <x:c r="A491" t="str">
        <x:f>MiniCase_Data!A491</x:f>
        <x:v>R00490</x:v>
      </x:c>
      <x:c r="B491" t="n">
        <x:f>IF(MiniCase_Data!O491="불합격",1,0)</x:f>
        <x:v>0</x:v>
      </x:c>
      <x:c r="C491" t="str">
        <x:f>IF(ISBLANK(MiniCase_Data!H491),"missing",IF(OR(MiniCase_Data!H491&lt;27,MiniCase_Data!H491&gt;33),"밖","안"))</x:f>
        <x:v>안</x:v>
      </x:c>
      <x:c r="D491" t="n">
        <x:f>IF(ISBLANK(MiniCase_Data!H491),VLOOKUP(A491,센서로그!$A$2:$C$13,3,FALSE),MiniCase_Data!H491)</x:f>
        <x:v>27.97</x:v>
      </x:c>
      <x:c r="E491" t="n">
        <x:f>IF(AND(MiniCase_Data!C491="야간",MiniCase_Data!F491="M03"),1,0)</x:f>
        <x:v>0</x:v>
      </x:c>
      <x:c r="F491" t="n">
        <x:f>IF(C491="밖",1,0)</x:f>
        <x:v>0</x:v>
      </x:c>
      <x:c r="G491" t="n">
        <x:f>IF(OR(F491=1,E491=1),1,0)</x:f>
        <x:v>0</x:v>
      </x:c>
      <x:c r="H491" t="str">
        <x:f>IF(B491=1,IF(F491=1,"TP","FN"),IF(F491=1,"FP","TN"))</x:f>
        <x:v>TN</x:v>
      </x:c>
      <x:c r="I491" t="str">
        <x:f>IF(B491=1,IF(G491=1,"TP","FN"),IF(G491=1,"FP","TN"))</x:f>
        <x:v>TN</x:v>
      </x:c>
    </x:row>
    <x:row r="492">
      <x:c r="A492" t="str">
        <x:f>MiniCase_Data!A492</x:f>
        <x:v>R00491</x:v>
      </x:c>
      <x:c r="B492" t="n">
        <x:f>IF(MiniCase_Data!O492="불합격",1,0)</x:f>
        <x:v>0</x:v>
      </x:c>
      <x:c r="C492" t="str">
        <x:f>IF(ISBLANK(MiniCase_Data!H492),"missing",IF(OR(MiniCase_Data!H492&lt;27,MiniCase_Data!H492&gt;33),"밖","안"))</x:f>
        <x:v>안</x:v>
      </x:c>
      <x:c r="D492" t="n">
        <x:f>IF(ISBLANK(MiniCase_Data!H492),VLOOKUP(A492,센서로그!$A$2:$C$13,3,FALSE),MiniCase_Data!H492)</x:f>
        <x:v>31.83</x:v>
      </x:c>
      <x:c r="E492" t="n">
        <x:f>IF(AND(MiniCase_Data!C492="야간",MiniCase_Data!F492="M03"),1,0)</x:f>
        <x:v>0</x:v>
      </x:c>
      <x:c r="F492" t="n">
        <x:f>IF(C492="밖",1,0)</x:f>
        <x:v>0</x:v>
      </x:c>
      <x:c r="G492" t="n">
        <x:f>IF(OR(F492=1,E492=1),1,0)</x:f>
        <x:v>0</x:v>
      </x:c>
      <x:c r="H492" t="str">
        <x:f>IF(B492=1,IF(F492=1,"TP","FN"),IF(F492=1,"FP","TN"))</x:f>
        <x:v>TN</x:v>
      </x:c>
      <x:c r="I492" t="str">
        <x:f>IF(B492=1,IF(G492=1,"TP","FN"),IF(G492=1,"FP","TN"))</x:f>
        <x:v>TN</x:v>
      </x:c>
    </x:row>
    <x:row r="493">
      <x:c r="A493" t="str">
        <x:f>MiniCase_Data!A493</x:f>
        <x:v>R00492</x:v>
      </x:c>
      <x:c r="B493" t="n">
        <x:f>IF(MiniCase_Data!O493="불합격",1,0)</x:f>
        <x:v>0</x:v>
      </x:c>
      <x:c r="C493" t="str">
        <x:f>IF(ISBLANK(MiniCase_Data!H493),"missing",IF(OR(MiniCase_Data!H493&lt;27,MiniCase_Data!H493&gt;33),"밖","안"))</x:f>
        <x:v>안</x:v>
      </x:c>
      <x:c r="D493" t="n">
        <x:f>IF(ISBLANK(MiniCase_Data!H493),VLOOKUP(A493,센서로그!$A$2:$C$13,3,FALSE),MiniCase_Data!H493)</x:f>
        <x:v>29.39</x:v>
      </x:c>
      <x:c r="E493" t="n">
        <x:f>IF(AND(MiniCase_Data!C493="야간",MiniCase_Data!F493="M03"),1,0)</x:f>
        <x:v>0</x:v>
      </x:c>
      <x:c r="F493" t="n">
        <x:f>IF(C493="밖",1,0)</x:f>
        <x:v>0</x:v>
      </x:c>
      <x:c r="G493" t="n">
        <x:f>IF(OR(F493=1,E493=1),1,0)</x:f>
        <x:v>0</x:v>
      </x:c>
      <x:c r="H493" t="str">
        <x:f>IF(B493=1,IF(F493=1,"TP","FN"),IF(F493=1,"FP","TN"))</x:f>
        <x:v>TN</x:v>
      </x:c>
      <x:c r="I493" t="str">
        <x:f>IF(B493=1,IF(G493=1,"TP","FN"),IF(G493=1,"FP","TN"))</x:f>
        <x:v>TN</x:v>
      </x:c>
    </x:row>
    <x:row r="494">
      <x:c r="A494" t="str">
        <x:f>MiniCase_Data!A494</x:f>
        <x:v>R00493</x:v>
      </x:c>
      <x:c r="B494" t="n">
        <x:f>IF(MiniCase_Data!O494="불합격",1,0)</x:f>
        <x:v>0</x:v>
      </x:c>
      <x:c r="C494" t="str">
        <x:f>IF(ISBLANK(MiniCase_Data!H494),"missing",IF(OR(MiniCase_Data!H494&lt;27,MiniCase_Data!H494&gt;33),"밖","안"))</x:f>
        <x:v>안</x:v>
      </x:c>
      <x:c r="D494" t="n">
        <x:f>IF(ISBLANK(MiniCase_Data!H494),VLOOKUP(A494,센서로그!$A$2:$C$13,3,FALSE),MiniCase_Data!H494)</x:f>
        <x:v>32.28</x:v>
      </x:c>
      <x:c r="E494" t="n">
        <x:f>IF(AND(MiniCase_Data!C494="야간",MiniCase_Data!F494="M03"),1,0)</x:f>
        <x:v>1</x:v>
      </x:c>
      <x:c r="F494" t="n">
        <x:f>IF(C494="밖",1,0)</x:f>
        <x:v>0</x:v>
      </x:c>
      <x:c r="G494" t="n">
        <x:f>IF(OR(F494=1,E494=1),1,0)</x:f>
        <x:v>1</x:v>
      </x:c>
      <x:c r="H494" t="str">
        <x:f>IF(B494=1,IF(F494=1,"TP","FN"),IF(F494=1,"FP","TN"))</x:f>
        <x:v>TN</x:v>
      </x:c>
      <x:c r="I494" t="str">
        <x:f>IF(B494=1,IF(G494=1,"TP","FN"),IF(G494=1,"FP","TN"))</x:f>
        <x:v>FP</x:v>
      </x:c>
    </x:row>
    <x:row r="495">
      <x:c r="A495" t="str">
        <x:f>MiniCase_Data!A495</x:f>
        <x:v>R00494</x:v>
      </x:c>
      <x:c r="B495" t="n">
        <x:f>IF(MiniCase_Data!O495="불합격",1,0)</x:f>
        <x:v>0</x:v>
      </x:c>
      <x:c r="C495" t="str">
        <x:f>IF(ISBLANK(MiniCase_Data!H495),"missing",IF(OR(MiniCase_Data!H495&lt;27,MiniCase_Data!H495&gt;33),"밖","안"))</x:f>
        <x:v>안</x:v>
      </x:c>
      <x:c r="D495" t="n">
        <x:f>IF(ISBLANK(MiniCase_Data!H495),VLOOKUP(A495,센서로그!$A$2:$C$13,3,FALSE),MiniCase_Data!H495)</x:f>
        <x:v>27.75</x:v>
      </x:c>
      <x:c r="E495" t="n">
        <x:f>IF(AND(MiniCase_Data!C495="야간",MiniCase_Data!F495="M03"),1,0)</x:f>
        <x:v>0</x:v>
      </x:c>
      <x:c r="F495" t="n">
        <x:f>IF(C495="밖",1,0)</x:f>
        <x:v>0</x:v>
      </x:c>
      <x:c r="G495" t="n">
        <x:f>IF(OR(F495=1,E495=1),1,0)</x:f>
        <x:v>0</x:v>
      </x:c>
      <x:c r="H495" t="str">
        <x:f>IF(B495=1,IF(F495=1,"TP","FN"),IF(F495=1,"FP","TN"))</x:f>
        <x:v>TN</x:v>
      </x:c>
      <x:c r="I495" t="str">
        <x:f>IF(B495=1,IF(G495=1,"TP","FN"),IF(G495=1,"FP","TN"))</x:f>
        <x:v>TN</x:v>
      </x:c>
    </x:row>
    <x:row r="496">
      <x:c r="A496" t="str">
        <x:f>MiniCase_Data!A496</x:f>
        <x:v>R00495</x:v>
      </x:c>
      <x:c r="B496" t="n">
        <x:f>IF(MiniCase_Data!O496="불합격",1,0)</x:f>
        <x:v>0</x:v>
      </x:c>
      <x:c r="C496" t="str">
        <x:f>IF(ISBLANK(MiniCase_Data!H496),"missing",IF(OR(MiniCase_Data!H496&lt;27,MiniCase_Data!H496&gt;33),"밖","안"))</x:f>
        <x:v>안</x:v>
      </x:c>
      <x:c r="D496" t="n">
        <x:f>IF(ISBLANK(MiniCase_Data!H496),VLOOKUP(A496,센서로그!$A$2:$C$13,3,FALSE),MiniCase_Data!H496)</x:f>
        <x:v>29.95</x:v>
      </x:c>
      <x:c r="E496" t="n">
        <x:f>IF(AND(MiniCase_Data!C496="야간",MiniCase_Data!F496="M03"),1,0)</x:f>
        <x:v>0</x:v>
      </x:c>
      <x:c r="F496" t="n">
        <x:f>IF(C496="밖",1,0)</x:f>
        <x:v>0</x:v>
      </x:c>
      <x:c r="G496" t="n">
        <x:f>IF(OR(F496=1,E496=1),1,0)</x:f>
        <x:v>0</x:v>
      </x:c>
      <x:c r="H496" t="str">
        <x:f>IF(B496=1,IF(F496=1,"TP","FN"),IF(F496=1,"FP","TN"))</x:f>
        <x:v>TN</x:v>
      </x:c>
      <x:c r="I496" t="str">
        <x:f>IF(B496=1,IF(G496=1,"TP","FN"),IF(G496=1,"FP","TN"))</x:f>
        <x:v>TN</x:v>
      </x:c>
    </x:row>
    <x:row r="497">
      <x:c r="A497" t="str">
        <x:f>MiniCase_Data!A497</x:f>
        <x:v>R00496</x:v>
      </x:c>
      <x:c r="B497" t="n">
        <x:f>IF(MiniCase_Data!O497="불합격",1,0)</x:f>
        <x:v>0</x:v>
      </x:c>
      <x:c r="C497" t="str">
        <x:f>IF(ISBLANK(MiniCase_Data!H497),"missing",IF(OR(MiniCase_Data!H497&lt;27,MiniCase_Data!H497&gt;33),"밖","안"))</x:f>
        <x:v>안</x:v>
      </x:c>
      <x:c r="D497" t="n">
        <x:f>IF(ISBLANK(MiniCase_Data!H497),VLOOKUP(A497,센서로그!$A$2:$C$13,3,FALSE),MiniCase_Data!H497)</x:f>
        <x:v>27.84</x:v>
      </x:c>
      <x:c r="E497" t="n">
        <x:f>IF(AND(MiniCase_Data!C497="야간",MiniCase_Data!F497="M03"),1,0)</x:f>
        <x:v>0</x:v>
      </x:c>
      <x:c r="F497" t="n">
        <x:f>IF(C497="밖",1,0)</x:f>
        <x:v>0</x:v>
      </x:c>
      <x:c r="G497" t="n">
        <x:f>IF(OR(F497=1,E497=1),1,0)</x:f>
        <x:v>0</x:v>
      </x:c>
      <x:c r="H497" t="str">
        <x:f>IF(B497=1,IF(F497=1,"TP","FN"),IF(F497=1,"FP","TN"))</x:f>
        <x:v>TN</x:v>
      </x:c>
      <x:c r="I497" t="str">
        <x:f>IF(B497=1,IF(G497=1,"TP","FN"),IF(G497=1,"FP","TN"))</x:f>
        <x:v>TN</x:v>
      </x:c>
    </x:row>
    <x:row r="498">
      <x:c r="A498" t="str">
        <x:f>MiniCase_Data!A498</x:f>
        <x:v>R00497</x:v>
      </x:c>
      <x:c r="B498" t="n">
        <x:f>IF(MiniCase_Data!O498="불합격",1,0)</x:f>
        <x:v>0</x:v>
      </x:c>
      <x:c r="C498" t="str">
        <x:f>IF(ISBLANK(MiniCase_Data!H498),"missing",IF(OR(MiniCase_Data!H498&lt;27,MiniCase_Data!H498&gt;33),"밖","안"))</x:f>
        <x:v>안</x:v>
      </x:c>
      <x:c r="D498" t="n">
        <x:f>IF(ISBLANK(MiniCase_Data!H498),VLOOKUP(A498,센서로그!$A$2:$C$13,3,FALSE),MiniCase_Data!H498)</x:f>
        <x:v>31.56</x:v>
      </x:c>
      <x:c r="E498" t="n">
        <x:f>IF(AND(MiniCase_Data!C498="야간",MiniCase_Data!F498="M03"),1,0)</x:f>
        <x:v>0</x:v>
      </x:c>
      <x:c r="F498" t="n">
        <x:f>IF(C498="밖",1,0)</x:f>
        <x:v>0</x:v>
      </x:c>
      <x:c r="G498" t="n">
        <x:f>IF(OR(F498=1,E498=1),1,0)</x:f>
        <x:v>0</x:v>
      </x:c>
      <x:c r="H498" t="str">
        <x:f>IF(B498=1,IF(F498=1,"TP","FN"),IF(F498=1,"FP","TN"))</x:f>
        <x:v>TN</x:v>
      </x:c>
      <x:c r="I498" t="str">
        <x:f>IF(B498=1,IF(G498=1,"TP","FN"),IF(G498=1,"FP","TN"))</x:f>
        <x:v>TN</x:v>
      </x:c>
    </x:row>
    <x:row r="499">
      <x:c r="A499" t="str">
        <x:f>MiniCase_Data!A499</x:f>
        <x:v>R00498</x:v>
      </x:c>
      <x:c r="B499" t="n">
        <x:f>IF(MiniCase_Data!O499="불합격",1,0)</x:f>
        <x:v>0</x:v>
      </x:c>
      <x:c r="C499" t="str">
        <x:f>IF(ISBLANK(MiniCase_Data!H499),"missing",IF(OR(MiniCase_Data!H499&lt;27,MiniCase_Data!H499&gt;33),"밖","안"))</x:f>
        <x:v>안</x:v>
      </x:c>
      <x:c r="D499" t="n">
        <x:f>IF(ISBLANK(MiniCase_Data!H499),VLOOKUP(A499,센서로그!$A$2:$C$13,3,FALSE),MiniCase_Data!H499)</x:f>
        <x:v>28.67</x:v>
      </x:c>
      <x:c r="E499" t="n">
        <x:f>IF(AND(MiniCase_Data!C499="야간",MiniCase_Data!F499="M03"),1,0)</x:f>
        <x:v>0</x:v>
      </x:c>
      <x:c r="F499" t="n">
        <x:f>IF(C499="밖",1,0)</x:f>
        <x:v>0</x:v>
      </x:c>
      <x:c r="G499" t="n">
        <x:f>IF(OR(F499=1,E499=1),1,0)</x:f>
        <x:v>0</x:v>
      </x:c>
      <x:c r="H499" t="str">
        <x:f>IF(B499=1,IF(F499=1,"TP","FN"),IF(F499=1,"FP","TN"))</x:f>
        <x:v>TN</x:v>
      </x:c>
      <x:c r="I499" t="str">
        <x:f>IF(B499=1,IF(G499=1,"TP","FN"),IF(G499=1,"FP","TN"))</x:f>
        <x:v>TN</x:v>
      </x:c>
    </x:row>
    <x:row r="500">
      <x:c r="A500" t="str">
        <x:f>MiniCase_Data!A500</x:f>
        <x:v>R00499</x:v>
      </x:c>
      <x:c r="B500" t="n">
        <x:f>IF(MiniCase_Data!O500="불합격",1,0)</x:f>
        <x:v>0</x:v>
      </x:c>
      <x:c r="C500" t="str">
        <x:f>IF(ISBLANK(MiniCase_Data!H500),"missing",IF(OR(MiniCase_Data!H500&lt;27,MiniCase_Data!H500&gt;33),"밖","안"))</x:f>
        <x:v>안</x:v>
      </x:c>
      <x:c r="D500" t="n">
        <x:f>IF(ISBLANK(MiniCase_Data!H500),VLOOKUP(A500,센서로그!$A$2:$C$13,3,FALSE),MiniCase_Data!H500)</x:f>
        <x:v>30.47</x:v>
      </x:c>
      <x:c r="E500" t="n">
        <x:f>IF(AND(MiniCase_Data!C500="야간",MiniCase_Data!F500="M03"),1,0)</x:f>
        <x:v>0</x:v>
      </x:c>
      <x:c r="F500" t="n">
        <x:f>IF(C500="밖",1,0)</x:f>
        <x:v>0</x:v>
      </x:c>
      <x:c r="G500" t="n">
        <x:f>IF(OR(F500=1,E500=1),1,0)</x:f>
        <x:v>0</x:v>
      </x:c>
      <x:c r="H500" t="str">
        <x:f>IF(B500=1,IF(F500=1,"TP","FN"),IF(F500=1,"FP","TN"))</x:f>
        <x:v>TN</x:v>
      </x:c>
      <x:c r="I500" t="str">
        <x:f>IF(B500=1,IF(G500=1,"TP","FN"),IF(G500=1,"FP","TN"))</x:f>
        <x:v>TN</x:v>
      </x:c>
    </x:row>
    <x:row r="501">
      <x:c r="A501" t="str">
        <x:f>MiniCase_Data!A501</x:f>
        <x:v>R00500</x:v>
      </x:c>
      <x:c r="B501" t="n">
        <x:f>IF(MiniCase_Data!O501="불합격",1,0)</x:f>
        <x:v>0</x:v>
      </x:c>
      <x:c r="C501" t="str">
        <x:f>IF(ISBLANK(MiniCase_Data!H501),"missing",IF(OR(MiniCase_Data!H501&lt;27,MiniCase_Data!H501&gt;33),"밖","안"))</x:f>
        <x:v>안</x:v>
      </x:c>
      <x:c r="D501" t="n">
        <x:f>IF(ISBLANK(MiniCase_Data!H501),VLOOKUP(A501,센서로그!$A$2:$C$13,3,FALSE),MiniCase_Data!H501)</x:f>
        <x:v>30.49</x:v>
      </x:c>
      <x:c r="E501" t="n">
        <x:f>IF(AND(MiniCase_Data!C501="야간",MiniCase_Data!F501="M03"),1,0)</x:f>
        <x:v>0</x:v>
      </x:c>
      <x:c r="F501" t="n">
        <x:f>IF(C501="밖",1,0)</x:f>
        <x:v>0</x:v>
      </x:c>
      <x:c r="G501" t="n">
        <x:f>IF(OR(F501=1,E501=1),1,0)</x:f>
        <x:v>0</x:v>
      </x:c>
      <x:c r="H501" t="str">
        <x:f>IF(B501=1,IF(F501=1,"TP","FN"),IF(F501=1,"FP","TN"))</x:f>
        <x:v>TN</x:v>
      </x:c>
      <x:c r="I501" t="str">
        <x:f>IF(B501=1,IF(G501=1,"TP","FN"),IF(G501=1,"FP","TN"))</x:f>
        <x:v>TN</x:v>
      </x:c>
    </x:row>
    <x:row r="502">
      <x:c r="A502" t="str">
        <x:f>MiniCase_Data!A502</x:f>
        <x:v>R00501</x:v>
      </x:c>
      <x:c r="B502" t="n">
        <x:f>IF(MiniCase_Data!O502="불합격",1,0)</x:f>
        <x:v>0</x:v>
      </x:c>
      <x:c r="C502" t="str">
        <x:f>IF(ISBLANK(MiniCase_Data!H502),"missing",IF(OR(MiniCase_Data!H502&lt;27,MiniCase_Data!H502&gt;33),"밖","안"))</x:f>
        <x:v>안</x:v>
      </x:c>
      <x:c r="D502" t="n">
        <x:f>IF(ISBLANK(MiniCase_Data!H502),VLOOKUP(A502,센서로그!$A$2:$C$13,3,FALSE),MiniCase_Data!H502)</x:f>
        <x:v>28.33</x:v>
      </x:c>
      <x:c r="E502" t="n">
        <x:f>IF(AND(MiniCase_Data!C502="야간",MiniCase_Data!F502="M03"),1,0)</x:f>
        <x:v>0</x:v>
      </x:c>
      <x:c r="F502" t="n">
        <x:f>IF(C502="밖",1,0)</x:f>
        <x:v>0</x:v>
      </x:c>
      <x:c r="G502" t="n">
        <x:f>IF(OR(F502=1,E502=1),1,0)</x:f>
        <x:v>0</x:v>
      </x:c>
      <x:c r="H502" t="str">
        <x:f>IF(B502=1,IF(F502=1,"TP","FN"),IF(F502=1,"FP","TN"))</x:f>
        <x:v>TN</x:v>
      </x:c>
      <x:c r="I502" t="str">
        <x:f>IF(B502=1,IF(G502=1,"TP","FN"),IF(G502=1,"FP","TN"))</x:f>
        <x:v>TN</x:v>
      </x:c>
    </x:row>
    <x:row r="503">
      <x:c r="A503" t="str">
        <x:f>MiniCase_Data!A503</x:f>
        <x:v>R00502</x:v>
      </x:c>
      <x:c r="B503" t="n">
        <x:f>IF(MiniCase_Data!O503="불합격",1,0)</x:f>
        <x:v>0</x:v>
      </x:c>
      <x:c r="C503" t="str">
        <x:f>IF(ISBLANK(MiniCase_Data!H503),"missing",IF(OR(MiniCase_Data!H503&lt;27,MiniCase_Data!H503&gt;33),"밖","안"))</x:f>
        <x:v>안</x:v>
      </x:c>
      <x:c r="D503" t="n">
        <x:f>IF(ISBLANK(MiniCase_Data!H503),VLOOKUP(A503,센서로그!$A$2:$C$13,3,FALSE),MiniCase_Data!H503)</x:f>
        <x:v>32.01</x:v>
      </x:c>
      <x:c r="E503" t="n">
        <x:f>IF(AND(MiniCase_Data!C503="야간",MiniCase_Data!F503="M03"),1,0)</x:f>
        <x:v>0</x:v>
      </x:c>
      <x:c r="F503" t="n">
        <x:f>IF(C503="밖",1,0)</x:f>
        <x:v>0</x:v>
      </x:c>
      <x:c r="G503" t="n">
        <x:f>IF(OR(F503=1,E503=1),1,0)</x:f>
        <x:v>0</x:v>
      </x:c>
      <x:c r="H503" t="str">
        <x:f>IF(B503=1,IF(F503=1,"TP","FN"),IF(F503=1,"FP","TN"))</x:f>
        <x:v>TN</x:v>
      </x:c>
      <x:c r="I503" t="str">
        <x:f>IF(B503=1,IF(G503=1,"TP","FN"),IF(G503=1,"FP","TN"))</x:f>
        <x:v>TN</x:v>
      </x:c>
    </x:row>
    <x:row r="504">
      <x:c r="A504" t="str">
        <x:f>MiniCase_Data!A504</x:f>
        <x:v>R00503</x:v>
      </x:c>
      <x:c r="B504" t="n">
        <x:f>IF(MiniCase_Data!O504="불합격",1,0)</x:f>
        <x:v>0</x:v>
      </x:c>
      <x:c r="C504" t="str">
        <x:f>IF(ISBLANK(MiniCase_Data!H504),"missing",IF(OR(MiniCase_Data!H504&lt;27,MiniCase_Data!H504&gt;33),"밖","안"))</x:f>
        <x:v>안</x:v>
      </x:c>
      <x:c r="D504" t="n">
        <x:f>IF(ISBLANK(MiniCase_Data!H504),VLOOKUP(A504,센서로그!$A$2:$C$13,3,FALSE),MiniCase_Data!H504)</x:f>
        <x:v>27.75</x:v>
      </x:c>
      <x:c r="E504" t="n">
        <x:f>IF(AND(MiniCase_Data!C504="야간",MiniCase_Data!F504="M03"),1,0)</x:f>
        <x:v>0</x:v>
      </x:c>
      <x:c r="F504" t="n">
        <x:f>IF(C504="밖",1,0)</x:f>
        <x:v>0</x:v>
      </x:c>
      <x:c r="G504" t="n">
        <x:f>IF(OR(F504=1,E504=1),1,0)</x:f>
        <x:v>0</x:v>
      </x:c>
      <x:c r="H504" t="str">
        <x:f>IF(B504=1,IF(F504=1,"TP","FN"),IF(F504=1,"FP","TN"))</x:f>
        <x:v>TN</x:v>
      </x:c>
      <x:c r="I504" t="str">
        <x:f>IF(B504=1,IF(G504=1,"TP","FN"),IF(G504=1,"FP","TN"))</x:f>
        <x:v>TN</x:v>
      </x:c>
    </x:row>
    <x:row r="505">
      <x:c r="A505" t="str">
        <x:f>MiniCase_Data!A505</x:f>
        <x:v>R00504</x:v>
      </x:c>
      <x:c r="B505" t="n">
        <x:f>IF(MiniCase_Data!O505="불합격",1,0)</x:f>
        <x:v>0</x:v>
      </x:c>
      <x:c r="C505" t="str">
        <x:f>IF(ISBLANK(MiniCase_Data!H505),"missing",IF(OR(MiniCase_Data!H505&lt;27,MiniCase_Data!H505&gt;33),"밖","안"))</x:f>
        <x:v>안</x:v>
      </x:c>
      <x:c r="D505" t="n">
        <x:f>IF(ISBLANK(MiniCase_Data!H505),VLOOKUP(A505,센서로그!$A$2:$C$13,3,FALSE),MiniCase_Data!H505)</x:f>
        <x:v>31.1</x:v>
      </x:c>
      <x:c r="E505" t="n">
        <x:f>IF(AND(MiniCase_Data!C505="야간",MiniCase_Data!F505="M03"),1,0)</x:f>
        <x:v>0</x:v>
      </x:c>
      <x:c r="F505" t="n">
        <x:f>IF(C505="밖",1,0)</x:f>
        <x:v>0</x:v>
      </x:c>
      <x:c r="G505" t="n">
        <x:f>IF(OR(F505=1,E505=1),1,0)</x:f>
        <x:v>0</x:v>
      </x:c>
      <x:c r="H505" t="str">
        <x:f>IF(B505=1,IF(F505=1,"TP","FN"),IF(F505=1,"FP","TN"))</x:f>
        <x:v>TN</x:v>
      </x:c>
      <x:c r="I505" t="str">
        <x:f>IF(B505=1,IF(G505=1,"TP","FN"),IF(G505=1,"FP","TN"))</x:f>
        <x:v>TN</x:v>
      </x:c>
    </x:row>
    <x:row r="506">
      <x:c r="A506" t="str">
        <x:f>MiniCase_Data!A506</x:f>
        <x:v>R00505</x:v>
      </x:c>
      <x:c r="B506" t="n">
        <x:f>IF(MiniCase_Data!O506="불합격",1,0)</x:f>
        <x:v>0</x:v>
      </x:c>
      <x:c r="C506" t="str">
        <x:f>IF(ISBLANK(MiniCase_Data!H506),"missing",IF(OR(MiniCase_Data!H506&lt;27,MiniCase_Data!H506&gt;33),"밖","안"))</x:f>
        <x:v>안</x:v>
      </x:c>
      <x:c r="D506" t="n">
        <x:f>IF(ISBLANK(MiniCase_Data!H506),VLOOKUP(A506,센서로그!$A$2:$C$13,3,FALSE),MiniCase_Data!H506)</x:f>
        <x:v>28.59</x:v>
      </x:c>
      <x:c r="E506" t="n">
        <x:f>IF(AND(MiniCase_Data!C506="야간",MiniCase_Data!F506="M03"),1,0)</x:f>
        <x:v>0</x:v>
      </x:c>
      <x:c r="F506" t="n">
        <x:f>IF(C506="밖",1,0)</x:f>
        <x:v>0</x:v>
      </x:c>
      <x:c r="G506" t="n">
        <x:f>IF(OR(F506=1,E506=1),1,0)</x:f>
        <x:v>0</x:v>
      </x:c>
      <x:c r="H506" t="str">
        <x:f>IF(B506=1,IF(F506=1,"TP","FN"),IF(F506=1,"FP","TN"))</x:f>
        <x:v>TN</x:v>
      </x:c>
      <x:c r="I506" t="str">
        <x:f>IF(B506=1,IF(G506=1,"TP","FN"),IF(G506=1,"FP","TN"))</x:f>
        <x:v>TN</x:v>
      </x:c>
    </x:row>
    <x:row r="507">
      <x:c r="A507" t="str">
        <x:f>MiniCase_Data!A507</x:f>
        <x:v>R00506</x:v>
      </x:c>
      <x:c r="B507" t="n">
        <x:f>IF(MiniCase_Data!O507="불합격",1,0)</x:f>
        <x:v>0</x:v>
      </x:c>
      <x:c r="C507" t="str">
        <x:f>IF(ISBLANK(MiniCase_Data!H507),"missing",IF(OR(MiniCase_Data!H507&lt;27,MiniCase_Data!H507&gt;33),"밖","안"))</x:f>
        <x:v>안</x:v>
      </x:c>
      <x:c r="D507" t="n">
        <x:f>IF(ISBLANK(MiniCase_Data!H507),VLOOKUP(A507,센서로그!$A$2:$C$13,3,FALSE),MiniCase_Data!H507)</x:f>
        <x:v>31.25</x:v>
      </x:c>
      <x:c r="E507" t="n">
        <x:f>IF(AND(MiniCase_Data!C507="야간",MiniCase_Data!F507="M03"),1,0)</x:f>
        <x:v>0</x:v>
      </x:c>
      <x:c r="F507" t="n">
        <x:f>IF(C507="밖",1,0)</x:f>
        <x:v>0</x:v>
      </x:c>
      <x:c r="G507" t="n">
        <x:f>IF(OR(F507=1,E507=1),1,0)</x:f>
        <x:v>0</x:v>
      </x:c>
      <x:c r="H507" t="str">
        <x:f>IF(B507=1,IF(F507=1,"TP","FN"),IF(F507=1,"FP","TN"))</x:f>
        <x:v>TN</x:v>
      </x:c>
      <x:c r="I507" t="str">
        <x:f>IF(B507=1,IF(G507=1,"TP","FN"),IF(G507=1,"FP","TN"))</x:f>
        <x:v>TN</x:v>
      </x:c>
    </x:row>
    <x:row r="508">
      <x:c r="A508" t="str">
        <x:f>MiniCase_Data!A508</x:f>
        <x:v>R00507</x:v>
      </x:c>
      <x:c r="B508" t="n">
        <x:f>IF(MiniCase_Data!O508="불합격",1,0)</x:f>
        <x:v>0</x:v>
      </x:c>
      <x:c r="C508" t="str">
        <x:f>IF(ISBLANK(MiniCase_Data!H508),"missing",IF(OR(MiniCase_Data!H508&lt;27,MiniCase_Data!H508&gt;33),"밖","안"))</x:f>
        <x:v>안</x:v>
      </x:c>
      <x:c r="D508" t="n">
        <x:f>IF(ISBLANK(MiniCase_Data!H508),VLOOKUP(A508,센서로그!$A$2:$C$13,3,FALSE),MiniCase_Data!H508)</x:f>
        <x:v>30.5</x:v>
      </x:c>
      <x:c r="E508" t="n">
        <x:f>IF(AND(MiniCase_Data!C508="야간",MiniCase_Data!F508="M03"),1,0)</x:f>
        <x:v>0</x:v>
      </x:c>
      <x:c r="F508" t="n">
        <x:f>IF(C508="밖",1,0)</x:f>
        <x:v>0</x:v>
      </x:c>
      <x:c r="G508" t="n">
        <x:f>IF(OR(F508=1,E508=1),1,0)</x:f>
        <x:v>0</x:v>
      </x:c>
      <x:c r="H508" t="str">
        <x:f>IF(B508=1,IF(F508=1,"TP","FN"),IF(F508=1,"FP","TN"))</x:f>
        <x:v>TN</x:v>
      </x:c>
      <x:c r="I508" t="str">
        <x:f>IF(B508=1,IF(G508=1,"TP","FN"),IF(G508=1,"FP","TN"))</x:f>
        <x:v>TN</x:v>
      </x:c>
    </x:row>
    <x:row r="509">
      <x:c r="A509" t="str">
        <x:f>MiniCase_Data!A509</x:f>
        <x:v>R00508</x:v>
      </x:c>
      <x:c r="B509" t="n">
        <x:f>IF(MiniCase_Data!O509="불합격",1,0)</x:f>
        <x:v>0</x:v>
      </x:c>
      <x:c r="C509" t="str">
        <x:f>IF(ISBLANK(MiniCase_Data!H509),"missing",IF(OR(MiniCase_Data!H509&lt;27,MiniCase_Data!H509&gt;33),"밖","안"))</x:f>
        <x:v>안</x:v>
      </x:c>
      <x:c r="D509" t="n">
        <x:f>IF(ISBLANK(MiniCase_Data!H509),VLOOKUP(A509,센서로그!$A$2:$C$13,3,FALSE),MiniCase_Data!H509)</x:f>
        <x:v>32.75</x:v>
      </x:c>
      <x:c r="E509" t="n">
        <x:f>IF(AND(MiniCase_Data!C509="야간",MiniCase_Data!F509="M03"),1,0)</x:f>
        <x:v>0</x:v>
      </x:c>
      <x:c r="F509" t="n">
        <x:f>IF(C509="밖",1,0)</x:f>
        <x:v>0</x:v>
      </x:c>
      <x:c r="G509" t="n">
        <x:f>IF(OR(F509=1,E509=1),1,0)</x:f>
        <x:v>0</x:v>
      </x:c>
      <x:c r="H509" t="str">
        <x:f>IF(B509=1,IF(F509=1,"TP","FN"),IF(F509=1,"FP","TN"))</x:f>
        <x:v>TN</x:v>
      </x:c>
      <x:c r="I509" t="str">
        <x:f>IF(B509=1,IF(G509=1,"TP","FN"),IF(G509=1,"FP","TN"))</x:f>
        <x:v>TN</x:v>
      </x:c>
    </x:row>
    <x:row r="510">
      <x:c r="A510" t="str">
        <x:f>MiniCase_Data!A510</x:f>
        <x:v>R00509</x:v>
      </x:c>
      <x:c r="B510" t="n">
        <x:f>IF(MiniCase_Data!O510="불합격",1,0)</x:f>
        <x:v>0</x:v>
      </x:c>
      <x:c r="C510" t="str">
        <x:f>IF(ISBLANK(MiniCase_Data!H510),"missing",IF(OR(MiniCase_Data!H510&lt;27,MiniCase_Data!H510&gt;33),"밖","안"))</x:f>
        <x:v>안</x:v>
      </x:c>
      <x:c r="D510" t="n">
        <x:f>IF(ISBLANK(MiniCase_Data!H510),VLOOKUP(A510,센서로그!$A$2:$C$13,3,FALSE),MiniCase_Data!H510)</x:f>
        <x:v>32.22</x:v>
      </x:c>
      <x:c r="E510" t="n">
        <x:f>IF(AND(MiniCase_Data!C510="야간",MiniCase_Data!F510="M03"),1,0)</x:f>
        <x:v>0</x:v>
      </x:c>
      <x:c r="F510" t="n">
        <x:f>IF(C510="밖",1,0)</x:f>
        <x:v>0</x:v>
      </x:c>
      <x:c r="G510" t="n">
        <x:f>IF(OR(F510=1,E510=1),1,0)</x:f>
        <x:v>0</x:v>
      </x:c>
      <x:c r="H510" t="str">
        <x:f>IF(B510=1,IF(F510=1,"TP","FN"),IF(F510=1,"FP","TN"))</x:f>
        <x:v>TN</x:v>
      </x:c>
      <x:c r="I510" t="str">
        <x:f>IF(B510=1,IF(G510=1,"TP","FN"),IF(G510=1,"FP","TN"))</x:f>
        <x:v>TN</x:v>
      </x:c>
    </x:row>
    <x:row r="511">
      <x:c r="A511" t="str">
        <x:f>MiniCase_Data!A511</x:f>
        <x:v>R00510</x:v>
      </x:c>
      <x:c r="B511" t="n">
        <x:f>IF(MiniCase_Data!O511="불합격",1,0)</x:f>
        <x:v>0</x:v>
      </x:c>
      <x:c r="C511" t="str">
        <x:f>IF(ISBLANK(MiniCase_Data!H511),"missing",IF(OR(MiniCase_Data!H511&lt;27,MiniCase_Data!H511&gt;33),"밖","안"))</x:f>
        <x:v>안</x:v>
      </x:c>
      <x:c r="D511" t="n">
        <x:f>IF(ISBLANK(MiniCase_Data!H511),VLOOKUP(A511,센서로그!$A$2:$C$13,3,FALSE),MiniCase_Data!H511)</x:f>
        <x:v>30.84</x:v>
      </x:c>
      <x:c r="E511" t="n">
        <x:f>IF(AND(MiniCase_Data!C511="야간",MiniCase_Data!F511="M03"),1,0)</x:f>
        <x:v>0</x:v>
      </x:c>
      <x:c r="F511" t="n">
        <x:f>IF(C511="밖",1,0)</x:f>
        <x:v>0</x:v>
      </x:c>
      <x:c r="G511" t="n">
        <x:f>IF(OR(F511=1,E511=1),1,0)</x:f>
        <x:v>0</x:v>
      </x:c>
      <x:c r="H511" t="str">
        <x:f>IF(B511=1,IF(F511=1,"TP","FN"),IF(F511=1,"FP","TN"))</x:f>
        <x:v>TN</x:v>
      </x:c>
      <x:c r="I511" t="str">
        <x:f>IF(B511=1,IF(G511=1,"TP","FN"),IF(G511=1,"FP","TN"))</x:f>
        <x:v>TN</x:v>
      </x:c>
    </x:row>
    <x:row r="512">
      <x:c r="A512" t="str">
        <x:f>MiniCase_Data!A512</x:f>
        <x:v>R00511</x:v>
      </x:c>
      <x:c r="B512" t="n">
        <x:f>IF(MiniCase_Data!O512="불합격",1,0)</x:f>
        <x:v>0</x:v>
      </x:c>
      <x:c r="C512" t="str">
        <x:f>IF(ISBLANK(MiniCase_Data!H512),"missing",IF(OR(MiniCase_Data!H512&lt;27,MiniCase_Data!H512&gt;33),"밖","안"))</x:f>
        <x:v>안</x:v>
      </x:c>
      <x:c r="D512" t="n">
        <x:f>IF(ISBLANK(MiniCase_Data!H512),VLOOKUP(A512,센서로그!$A$2:$C$13,3,FALSE),MiniCase_Data!H512)</x:f>
        <x:v>31.53</x:v>
      </x:c>
      <x:c r="E512" t="n">
        <x:f>IF(AND(MiniCase_Data!C512="야간",MiniCase_Data!F512="M03"),1,0)</x:f>
        <x:v>0</x:v>
      </x:c>
      <x:c r="F512" t="n">
        <x:f>IF(C512="밖",1,0)</x:f>
        <x:v>0</x:v>
      </x:c>
      <x:c r="G512" t="n">
        <x:f>IF(OR(F512=1,E512=1),1,0)</x:f>
        <x:v>0</x:v>
      </x:c>
      <x:c r="H512" t="str">
        <x:f>IF(B512=1,IF(F512=1,"TP","FN"),IF(F512=1,"FP","TN"))</x:f>
        <x:v>TN</x:v>
      </x:c>
      <x:c r="I512" t="str">
        <x:f>IF(B512=1,IF(G512=1,"TP","FN"),IF(G512=1,"FP","TN"))</x:f>
        <x:v>TN</x:v>
      </x:c>
    </x:row>
    <x:row r="513">
      <x:c r="A513" t="str">
        <x:f>MiniCase_Data!A513</x:f>
        <x:v>R00512</x:v>
      </x:c>
      <x:c r="B513" t="n">
        <x:f>IF(MiniCase_Data!O513="불합격",1,0)</x:f>
        <x:v>0</x:v>
      </x:c>
      <x:c r="C513" t="str">
        <x:f>IF(ISBLANK(MiniCase_Data!H513),"missing",IF(OR(MiniCase_Data!H513&lt;27,MiniCase_Data!H513&gt;33),"밖","안"))</x:f>
        <x:v>밖</x:v>
      </x:c>
      <x:c r="D513" t="n">
        <x:f>IF(ISBLANK(MiniCase_Data!H513),VLOOKUP(A513,센서로그!$A$2:$C$13,3,FALSE),MiniCase_Data!H513)</x:f>
        <x:v>26.12</x:v>
      </x:c>
      <x:c r="E513" t="n">
        <x:f>IF(AND(MiniCase_Data!C513="야간",MiniCase_Data!F513="M03"),1,0)</x:f>
        <x:v>1</x:v>
      </x:c>
      <x:c r="F513" t="n">
        <x:f>IF(C513="밖",1,0)</x:f>
        <x:v>1</x:v>
      </x:c>
      <x:c r="G513" t="n">
        <x:f>IF(OR(F513=1,E513=1),1,0)</x:f>
        <x:v>1</x:v>
      </x:c>
      <x:c r="H513" t="str">
        <x:f>IF(B513=1,IF(F513=1,"TP","FN"),IF(F513=1,"FP","TN"))</x:f>
        <x:v>FP</x:v>
      </x:c>
      <x:c r="I513" t="str">
        <x:f>IF(B513=1,IF(G513=1,"TP","FN"),IF(G513=1,"FP","TN"))</x:f>
        <x:v>FP</x:v>
      </x:c>
    </x:row>
    <x:row r="514">
      <x:c r="A514" t="str">
        <x:f>MiniCase_Data!A514</x:f>
        <x:v>R00513</x:v>
      </x:c>
      <x:c r="B514" t="n">
        <x:f>IF(MiniCase_Data!O514="불합격",1,0)</x:f>
        <x:v>0</x:v>
      </x:c>
      <x:c r="C514" t="str">
        <x:f>IF(ISBLANK(MiniCase_Data!H514),"missing",IF(OR(MiniCase_Data!H514&lt;27,MiniCase_Data!H514&gt;33),"밖","안"))</x:f>
        <x:v>안</x:v>
      </x:c>
      <x:c r="D514" t="n">
        <x:f>IF(ISBLANK(MiniCase_Data!H514),VLOOKUP(A514,센서로그!$A$2:$C$13,3,FALSE),MiniCase_Data!H514)</x:f>
        <x:v>29.29</x:v>
      </x:c>
      <x:c r="E514" t="n">
        <x:f>IF(AND(MiniCase_Data!C514="야간",MiniCase_Data!F514="M03"),1,0)</x:f>
        <x:v>0</x:v>
      </x:c>
      <x:c r="F514" t="n">
        <x:f>IF(C514="밖",1,0)</x:f>
        <x:v>0</x:v>
      </x:c>
      <x:c r="G514" t="n">
        <x:f>IF(OR(F514=1,E514=1),1,0)</x:f>
        <x:v>0</x:v>
      </x:c>
      <x:c r="H514" t="str">
        <x:f>IF(B514=1,IF(F514=1,"TP","FN"),IF(F514=1,"FP","TN"))</x:f>
        <x:v>TN</x:v>
      </x:c>
      <x:c r="I514" t="str">
        <x:f>IF(B514=1,IF(G514=1,"TP","FN"),IF(G514=1,"FP","TN"))</x:f>
        <x:v>TN</x:v>
      </x:c>
    </x:row>
    <x:row r="515">
      <x:c r="A515" t="str">
        <x:f>MiniCase_Data!A515</x:f>
        <x:v>R00514</x:v>
      </x:c>
      <x:c r="B515" t="n">
        <x:f>IF(MiniCase_Data!O515="불합격",1,0)</x:f>
        <x:v>0</x:v>
      </x:c>
      <x:c r="C515" t="str">
        <x:f>IF(ISBLANK(MiniCase_Data!H515),"missing",IF(OR(MiniCase_Data!H515&lt;27,MiniCase_Data!H515&gt;33),"밖","안"))</x:f>
        <x:v>안</x:v>
      </x:c>
      <x:c r="D515" t="n">
        <x:f>IF(ISBLANK(MiniCase_Data!H515),VLOOKUP(A515,센서로그!$A$2:$C$13,3,FALSE),MiniCase_Data!H515)</x:f>
        <x:v>29.01</x:v>
      </x:c>
      <x:c r="E515" t="n">
        <x:f>IF(AND(MiniCase_Data!C515="야간",MiniCase_Data!F515="M03"),1,0)</x:f>
        <x:v>0</x:v>
      </x:c>
      <x:c r="F515" t="n">
        <x:f>IF(C515="밖",1,0)</x:f>
        <x:v>0</x:v>
      </x:c>
      <x:c r="G515" t="n">
        <x:f>IF(OR(F515=1,E515=1),1,0)</x:f>
        <x:v>0</x:v>
      </x:c>
      <x:c r="H515" t="str">
        <x:f>IF(B515=1,IF(F515=1,"TP","FN"),IF(F515=1,"FP","TN"))</x:f>
        <x:v>TN</x:v>
      </x:c>
      <x:c r="I515" t="str">
        <x:f>IF(B515=1,IF(G515=1,"TP","FN"),IF(G515=1,"FP","TN"))</x:f>
        <x:v>TN</x:v>
      </x:c>
    </x:row>
    <x:row r="516">
      <x:c r="A516" t="str">
        <x:f>MiniCase_Data!A516</x:f>
        <x:v>R00515</x:v>
      </x:c>
      <x:c r="B516" t="n">
        <x:f>IF(MiniCase_Data!O516="불합격",1,0)</x:f>
        <x:v>0</x:v>
      </x:c>
      <x:c r="C516" t="str">
        <x:f>IF(ISBLANK(MiniCase_Data!H516),"missing",IF(OR(MiniCase_Data!H516&lt;27,MiniCase_Data!H516&gt;33),"밖","안"))</x:f>
        <x:v>안</x:v>
      </x:c>
      <x:c r="D516" t="n">
        <x:f>IF(ISBLANK(MiniCase_Data!H516),VLOOKUP(A516,센서로그!$A$2:$C$13,3,FALSE),MiniCase_Data!H516)</x:f>
        <x:v>27.98</x:v>
      </x:c>
      <x:c r="E516" t="n">
        <x:f>IF(AND(MiniCase_Data!C516="야간",MiniCase_Data!F516="M03"),1,0)</x:f>
        <x:v>0</x:v>
      </x:c>
      <x:c r="F516" t="n">
        <x:f>IF(C516="밖",1,0)</x:f>
        <x:v>0</x:v>
      </x:c>
      <x:c r="G516" t="n">
        <x:f>IF(OR(F516=1,E516=1),1,0)</x:f>
        <x:v>0</x:v>
      </x:c>
      <x:c r="H516" t="str">
        <x:f>IF(B516=1,IF(F516=1,"TP","FN"),IF(F516=1,"FP","TN"))</x:f>
        <x:v>TN</x:v>
      </x:c>
      <x:c r="I516" t="str">
        <x:f>IF(B516=1,IF(G516=1,"TP","FN"),IF(G516=1,"FP","TN"))</x:f>
        <x:v>TN</x:v>
      </x:c>
    </x:row>
    <x:row r="517">
      <x:c r="A517" t="str">
        <x:f>MiniCase_Data!A517</x:f>
        <x:v>R00516</x:v>
      </x:c>
      <x:c r="B517" t="n">
        <x:f>IF(MiniCase_Data!O517="불합격",1,0)</x:f>
        <x:v>0</x:v>
      </x:c>
      <x:c r="C517" t="str">
        <x:f>IF(ISBLANK(MiniCase_Data!H517),"missing",IF(OR(MiniCase_Data!H517&lt;27,MiniCase_Data!H517&gt;33),"밖","안"))</x:f>
        <x:v>안</x:v>
      </x:c>
      <x:c r="D517" t="n">
        <x:f>IF(ISBLANK(MiniCase_Data!H517),VLOOKUP(A517,센서로그!$A$2:$C$13,3,FALSE),MiniCase_Data!H517)</x:f>
        <x:v>31.12</x:v>
      </x:c>
      <x:c r="E517" t="n">
        <x:f>IF(AND(MiniCase_Data!C517="야간",MiniCase_Data!F517="M03"),1,0)</x:f>
        <x:v>0</x:v>
      </x:c>
      <x:c r="F517" t="n">
        <x:f>IF(C517="밖",1,0)</x:f>
        <x:v>0</x:v>
      </x:c>
      <x:c r="G517" t="n">
        <x:f>IF(OR(F517=1,E517=1),1,0)</x:f>
        <x:v>0</x:v>
      </x:c>
      <x:c r="H517" t="str">
        <x:f>IF(B517=1,IF(F517=1,"TP","FN"),IF(F517=1,"FP","TN"))</x:f>
        <x:v>TN</x:v>
      </x:c>
      <x:c r="I517" t="str">
        <x:f>IF(B517=1,IF(G517=1,"TP","FN"),IF(G517=1,"FP","TN"))</x:f>
        <x:v>TN</x:v>
      </x:c>
    </x:row>
    <x:row r="518">
      <x:c r="A518" t="str">
        <x:f>MiniCase_Data!A518</x:f>
        <x:v>R00517</x:v>
      </x:c>
      <x:c r="B518" t="n">
        <x:f>IF(MiniCase_Data!O518="불합격",1,0)</x:f>
        <x:v>0</x:v>
      </x:c>
      <x:c r="C518" t="str">
        <x:f>IF(ISBLANK(MiniCase_Data!H518),"missing",IF(OR(MiniCase_Data!H518&lt;27,MiniCase_Data!H518&gt;33),"밖","안"))</x:f>
        <x:v>안</x:v>
      </x:c>
      <x:c r="D518" t="n">
        <x:f>IF(ISBLANK(MiniCase_Data!H518),VLOOKUP(A518,센서로그!$A$2:$C$13,3,FALSE),MiniCase_Data!H518)</x:f>
        <x:v>27.45</x:v>
      </x:c>
      <x:c r="E518" t="n">
        <x:f>IF(AND(MiniCase_Data!C518="야간",MiniCase_Data!F518="M03"),1,0)</x:f>
        <x:v>0</x:v>
      </x:c>
      <x:c r="F518" t="n">
        <x:f>IF(C518="밖",1,0)</x:f>
        <x:v>0</x:v>
      </x:c>
      <x:c r="G518" t="n">
        <x:f>IF(OR(F518=1,E518=1),1,0)</x:f>
        <x:v>0</x:v>
      </x:c>
      <x:c r="H518" t="str">
        <x:f>IF(B518=1,IF(F518=1,"TP","FN"),IF(F518=1,"FP","TN"))</x:f>
        <x:v>TN</x:v>
      </x:c>
      <x:c r="I518" t="str">
        <x:f>IF(B518=1,IF(G518=1,"TP","FN"),IF(G518=1,"FP","TN"))</x:f>
        <x:v>TN</x:v>
      </x:c>
    </x:row>
    <x:row r="519">
      <x:c r="A519" t="str">
        <x:f>MiniCase_Data!A519</x:f>
        <x:v>R00518</x:v>
      </x:c>
      <x:c r="B519" t="n">
        <x:f>IF(MiniCase_Data!O519="불합격",1,0)</x:f>
        <x:v>0</x:v>
      </x:c>
      <x:c r="C519" t="str">
        <x:f>IF(ISBLANK(MiniCase_Data!H519),"missing",IF(OR(MiniCase_Data!H519&lt;27,MiniCase_Data!H519&gt;33),"밖","안"))</x:f>
        <x:v>안</x:v>
      </x:c>
      <x:c r="D519" t="n">
        <x:f>IF(ISBLANK(MiniCase_Data!H519),VLOOKUP(A519,센서로그!$A$2:$C$13,3,FALSE),MiniCase_Data!H519)</x:f>
        <x:v>29.91</x:v>
      </x:c>
      <x:c r="E519" t="n">
        <x:f>IF(AND(MiniCase_Data!C519="야간",MiniCase_Data!F519="M03"),1,0)</x:f>
        <x:v>0</x:v>
      </x:c>
      <x:c r="F519" t="n">
        <x:f>IF(C519="밖",1,0)</x:f>
        <x:v>0</x:v>
      </x:c>
      <x:c r="G519" t="n">
        <x:f>IF(OR(F519=1,E519=1),1,0)</x:f>
        <x:v>0</x:v>
      </x:c>
      <x:c r="H519" t="str">
        <x:f>IF(B519=1,IF(F519=1,"TP","FN"),IF(F519=1,"FP","TN"))</x:f>
        <x:v>TN</x:v>
      </x:c>
      <x:c r="I519" t="str">
        <x:f>IF(B519=1,IF(G519=1,"TP","FN"),IF(G519=1,"FP","TN"))</x:f>
        <x:v>TN</x:v>
      </x:c>
    </x:row>
    <x:row r="520">
      <x:c r="A520" t="str">
        <x:f>MiniCase_Data!A520</x:f>
        <x:v>R00519</x:v>
      </x:c>
      <x:c r="B520" t="n">
        <x:f>IF(MiniCase_Data!O520="불합격",1,0)</x:f>
        <x:v>1</x:v>
      </x:c>
      <x:c r="C520" t="str">
        <x:f>IF(ISBLANK(MiniCase_Data!H520),"missing",IF(OR(MiniCase_Data!H520&lt;27,MiniCase_Data!H520&gt;33),"밖","안"))</x:f>
        <x:v>밖</x:v>
      </x:c>
      <x:c r="D520" t="n">
        <x:f>IF(ISBLANK(MiniCase_Data!H520),VLOOKUP(A520,센서로그!$A$2:$C$13,3,FALSE),MiniCase_Data!H520)</x:f>
        <x:v>33.44</x:v>
      </x:c>
      <x:c r="E520" t="n">
        <x:f>IF(AND(MiniCase_Data!C520="야간",MiniCase_Data!F520="M03"),1,0)</x:f>
        <x:v>0</x:v>
      </x:c>
      <x:c r="F520" t="n">
        <x:f>IF(C520="밖",1,0)</x:f>
        <x:v>1</x:v>
      </x:c>
      <x:c r="G520" t="n">
        <x:f>IF(OR(F520=1,E520=1),1,0)</x:f>
        <x:v>1</x:v>
      </x:c>
      <x:c r="H520" t="str">
        <x:f>IF(B520=1,IF(F520=1,"TP","FN"),IF(F520=1,"FP","TN"))</x:f>
        <x:v>TP</x:v>
      </x:c>
      <x:c r="I520" t="str">
        <x:f>IF(B520=1,IF(G520=1,"TP","FN"),IF(G520=1,"FP","TN"))</x:f>
        <x:v>TP</x:v>
      </x:c>
    </x:row>
    <x:row r="521">
      <x:c r="A521" t="str">
        <x:f>MiniCase_Data!A521</x:f>
        <x:v>R00520</x:v>
      </x:c>
      <x:c r="B521" t="n">
        <x:f>IF(MiniCase_Data!O521="불합격",1,0)</x:f>
        <x:v>0</x:v>
      </x:c>
      <x:c r="C521" t="str">
        <x:f>IF(ISBLANK(MiniCase_Data!H521),"missing",IF(OR(MiniCase_Data!H521&lt;27,MiniCase_Data!H521&gt;33),"밖","안"))</x:f>
        <x:v>안</x:v>
      </x:c>
      <x:c r="D521" t="n">
        <x:f>IF(ISBLANK(MiniCase_Data!H521),VLOOKUP(A521,센서로그!$A$2:$C$13,3,FALSE),MiniCase_Data!H521)</x:f>
        <x:v>31.15</x:v>
      </x:c>
      <x:c r="E521" t="n">
        <x:f>IF(AND(MiniCase_Data!C521="야간",MiniCase_Data!F521="M03"),1,0)</x:f>
        <x:v>0</x:v>
      </x:c>
      <x:c r="F521" t="n">
        <x:f>IF(C521="밖",1,0)</x:f>
        <x:v>0</x:v>
      </x:c>
      <x:c r="G521" t="n">
        <x:f>IF(OR(F521=1,E521=1),1,0)</x:f>
        <x:v>0</x:v>
      </x:c>
      <x:c r="H521" t="str">
        <x:f>IF(B521=1,IF(F521=1,"TP","FN"),IF(F521=1,"FP","TN"))</x:f>
        <x:v>TN</x:v>
      </x:c>
      <x:c r="I521" t="str">
        <x:f>IF(B521=1,IF(G521=1,"TP","FN"),IF(G521=1,"FP","TN"))</x:f>
        <x:v>TN</x:v>
      </x:c>
    </x:row>
    <x:row r="522">
      <x:c r="A522" t="str">
        <x:f>MiniCase_Data!A522</x:f>
        <x:v>R00521</x:v>
      </x:c>
      <x:c r="B522" t="n">
        <x:f>IF(MiniCase_Data!O522="불합격",1,0)</x:f>
        <x:v>0</x:v>
      </x:c>
      <x:c r="C522" t="str">
        <x:f>IF(ISBLANK(MiniCase_Data!H522),"missing",IF(OR(MiniCase_Data!H522&lt;27,MiniCase_Data!H522&gt;33),"밖","안"))</x:f>
        <x:v>안</x:v>
      </x:c>
      <x:c r="D522" t="n">
        <x:f>IF(ISBLANK(MiniCase_Data!H522),VLOOKUP(A522,센서로그!$A$2:$C$13,3,FALSE),MiniCase_Data!H522)</x:f>
        <x:v>29.12</x:v>
      </x:c>
      <x:c r="E522" t="n">
        <x:f>IF(AND(MiniCase_Data!C522="야간",MiniCase_Data!F522="M03"),1,0)</x:f>
        <x:v>0</x:v>
      </x:c>
      <x:c r="F522" t="n">
        <x:f>IF(C522="밖",1,0)</x:f>
        <x:v>0</x:v>
      </x:c>
      <x:c r="G522" t="n">
        <x:f>IF(OR(F522=1,E522=1),1,0)</x:f>
        <x:v>0</x:v>
      </x:c>
      <x:c r="H522" t="str">
        <x:f>IF(B522=1,IF(F522=1,"TP","FN"),IF(F522=1,"FP","TN"))</x:f>
        <x:v>TN</x:v>
      </x:c>
      <x:c r="I522" t="str">
        <x:f>IF(B522=1,IF(G522=1,"TP","FN"),IF(G522=1,"FP","TN"))</x:f>
        <x:v>TN</x:v>
      </x:c>
    </x:row>
    <x:row r="523">
      <x:c r="A523" t="str">
        <x:f>MiniCase_Data!A523</x:f>
        <x:v>R00522</x:v>
      </x:c>
      <x:c r="B523" t="n">
        <x:f>IF(MiniCase_Data!O523="불합격",1,0)</x:f>
        <x:v>0</x:v>
      </x:c>
      <x:c r="C523" t="str">
        <x:f>IF(ISBLANK(MiniCase_Data!H523),"missing",IF(OR(MiniCase_Data!H523&lt;27,MiniCase_Data!H523&gt;33),"밖","안"))</x:f>
        <x:v>밖</x:v>
      </x:c>
      <x:c r="D523" t="n">
        <x:f>IF(ISBLANK(MiniCase_Data!H523),VLOOKUP(A523,센서로그!$A$2:$C$13,3,FALSE),MiniCase_Data!H523)</x:f>
        <x:v>25.8</x:v>
      </x:c>
      <x:c r="E523" t="n">
        <x:f>IF(AND(MiniCase_Data!C523="야간",MiniCase_Data!F523="M03"),1,0)</x:f>
        <x:v>1</x:v>
      </x:c>
      <x:c r="F523" t="n">
        <x:f>IF(C523="밖",1,0)</x:f>
        <x:v>1</x:v>
      </x:c>
      <x:c r="G523" t="n">
        <x:f>IF(OR(F523=1,E523=1),1,0)</x:f>
        <x:v>1</x:v>
      </x:c>
      <x:c r="H523" t="str">
        <x:f>IF(B523=1,IF(F523=1,"TP","FN"),IF(F523=1,"FP","TN"))</x:f>
        <x:v>FP</x:v>
      </x:c>
      <x:c r="I523" t="str">
        <x:f>IF(B523=1,IF(G523=1,"TP","FN"),IF(G523=1,"FP","TN"))</x:f>
        <x:v>FP</x:v>
      </x:c>
    </x:row>
    <x:row r="524">
      <x:c r="A524" t="str">
        <x:f>MiniCase_Data!A524</x:f>
        <x:v>R00523</x:v>
      </x:c>
      <x:c r="B524" t="n">
        <x:f>IF(MiniCase_Data!O524="불합격",1,0)</x:f>
        <x:v>0</x:v>
      </x:c>
      <x:c r="C524" t="str">
        <x:f>IF(ISBLANK(MiniCase_Data!H524),"missing",IF(OR(MiniCase_Data!H524&lt;27,MiniCase_Data!H524&gt;33),"밖","안"))</x:f>
        <x:v>안</x:v>
      </x:c>
      <x:c r="D524" t="n">
        <x:f>IF(ISBLANK(MiniCase_Data!H524),VLOOKUP(A524,센서로그!$A$2:$C$13,3,FALSE),MiniCase_Data!H524)</x:f>
        <x:v>28.8</x:v>
      </x:c>
      <x:c r="E524" t="n">
        <x:f>IF(AND(MiniCase_Data!C524="야간",MiniCase_Data!F524="M03"),1,0)</x:f>
        <x:v>0</x:v>
      </x:c>
      <x:c r="F524" t="n">
        <x:f>IF(C524="밖",1,0)</x:f>
        <x:v>0</x:v>
      </x:c>
      <x:c r="G524" t="n">
        <x:f>IF(OR(F524=1,E524=1),1,0)</x:f>
        <x:v>0</x:v>
      </x:c>
      <x:c r="H524" t="str">
        <x:f>IF(B524=1,IF(F524=1,"TP","FN"),IF(F524=1,"FP","TN"))</x:f>
        <x:v>TN</x:v>
      </x:c>
      <x:c r="I524" t="str">
        <x:f>IF(B524=1,IF(G524=1,"TP","FN"),IF(G524=1,"FP","TN"))</x:f>
        <x:v>TN</x:v>
      </x:c>
    </x:row>
    <x:row r="525">
      <x:c r="A525" t="str">
        <x:f>MiniCase_Data!A525</x:f>
        <x:v>R00524</x:v>
      </x:c>
      <x:c r="B525" t="n">
        <x:f>IF(MiniCase_Data!O525="불합격",1,0)</x:f>
        <x:v>0</x:v>
      </x:c>
      <x:c r="C525" t="str">
        <x:f>IF(ISBLANK(MiniCase_Data!H525),"missing",IF(OR(MiniCase_Data!H525&lt;27,MiniCase_Data!H525&gt;33),"밖","안"))</x:f>
        <x:v>안</x:v>
      </x:c>
      <x:c r="D525" t="n">
        <x:f>IF(ISBLANK(MiniCase_Data!H525),VLOOKUP(A525,센서로그!$A$2:$C$13,3,FALSE),MiniCase_Data!H525)</x:f>
        <x:v>28.39</x:v>
      </x:c>
      <x:c r="E525" t="n">
        <x:f>IF(AND(MiniCase_Data!C525="야간",MiniCase_Data!F525="M03"),1,0)</x:f>
        <x:v>0</x:v>
      </x:c>
      <x:c r="F525" t="n">
        <x:f>IF(C525="밖",1,0)</x:f>
        <x:v>0</x:v>
      </x:c>
      <x:c r="G525" t="n">
        <x:f>IF(OR(F525=1,E525=1),1,0)</x:f>
        <x:v>0</x:v>
      </x:c>
      <x:c r="H525" t="str">
        <x:f>IF(B525=1,IF(F525=1,"TP","FN"),IF(F525=1,"FP","TN"))</x:f>
        <x:v>TN</x:v>
      </x:c>
      <x:c r="I525" t="str">
        <x:f>IF(B525=1,IF(G525=1,"TP","FN"),IF(G525=1,"FP","TN"))</x:f>
        <x:v>TN</x:v>
      </x:c>
    </x:row>
    <x:row r="526">
      <x:c r="A526" t="str">
        <x:f>MiniCase_Data!A526</x:f>
        <x:v>R00525</x:v>
      </x:c>
      <x:c r="B526" t="n">
        <x:f>IF(MiniCase_Data!O526="불합격",1,0)</x:f>
        <x:v>0</x:v>
      </x:c>
      <x:c r="C526" t="str">
        <x:f>IF(ISBLANK(MiniCase_Data!H526),"missing",IF(OR(MiniCase_Data!H526&lt;27,MiniCase_Data!H526&gt;33),"밖","안"))</x:f>
        <x:v>안</x:v>
      </x:c>
      <x:c r="D526" t="n">
        <x:f>IF(ISBLANK(MiniCase_Data!H526),VLOOKUP(A526,센서로그!$A$2:$C$13,3,FALSE),MiniCase_Data!H526)</x:f>
        <x:v>31.76</x:v>
      </x:c>
      <x:c r="E526" t="n">
        <x:f>IF(AND(MiniCase_Data!C526="야간",MiniCase_Data!F526="M03"),1,0)</x:f>
        <x:v>0</x:v>
      </x:c>
      <x:c r="F526" t="n">
        <x:f>IF(C526="밖",1,0)</x:f>
        <x:v>0</x:v>
      </x:c>
      <x:c r="G526" t="n">
        <x:f>IF(OR(F526=1,E526=1),1,0)</x:f>
        <x:v>0</x:v>
      </x:c>
      <x:c r="H526" t="str">
        <x:f>IF(B526=1,IF(F526=1,"TP","FN"),IF(F526=1,"FP","TN"))</x:f>
        <x:v>TN</x:v>
      </x:c>
      <x:c r="I526" t="str">
        <x:f>IF(B526=1,IF(G526=1,"TP","FN"),IF(G526=1,"FP","TN"))</x:f>
        <x:v>TN</x:v>
      </x:c>
    </x:row>
    <x:row r="527">
      <x:c r="A527" t="str">
        <x:f>MiniCase_Data!A527</x:f>
        <x:v>R00526</x:v>
      </x:c>
      <x:c r="B527" t="n">
        <x:f>IF(MiniCase_Data!O527="불합격",1,0)</x:f>
        <x:v>0</x:v>
      </x:c>
      <x:c r="C527" t="str">
        <x:f>IF(ISBLANK(MiniCase_Data!H527),"missing",IF(OR(MiniCase_Data!H527&lt;27,MiniCase_Data!H527&gt;33),"밖","안"))</x:f>
        <x:v>안</x:v>
      </x:c>
      <x:c r="D527" t="n">
        <x:f>IF(ISBLANK(MiniCase_Data!H527),VLOOKUP(A527,센서로그!$A$2:$C$13,3,FALSE),MiniCase_Data!H527)</x:f>
        <x:v>32.06</x:v>
      </x:c>
      <x:c r="E527" t="n">
        <x:f>IF(AND(MiniCase_Data!C527="야간",MiniCase_Data!F527="M03"),1,0)</x:f>
        <x:v>0</x:v>
      </x:c>
      <x:c r="F527" t="n">
        <x:f>IF(C527="밖",1,0)</x:f>
        <x:v>0</x:v>
      </x:c>
      <x:c r="G527" t="n">
        <x:f>IF(OR(F527=1,E527=1),1,0)</x:f>
        <x:v>0</x:v>
      </x:c>
      <x:c r="H527" t="str">
        <x:f>IF(B527=1,IF(F527=1,"TP","FN"),IF(F527=1,"FP","TN"))</x:f>
        <x:v>TN</x:v>
      </x:c>
      <x:c r="I527" t="str">
        <x:f>IF(B527=1,IF(G527=1,"TP","FN"),IF(G527=1,"FP","TN"))</x:f>
        <x:v>TN</x:v>
      </x:c>
    </x:row>
    <x:row r="528">
      <x:c r="A528" t="str">
        <x:f>MiniCase_Data!A528</x:f>
        <x:v>R00527</x:v>
      </x:c>
      <x:c r="B528" t="n">
        <x:f>IF(MiniCase_Data!O528="불합격",1,0)</x:f>
        <x:v>0</x:v>
      </x:c>
      <x:c r="C528" t="str">
        <x:f>IF(ISBLANK(MiniCase_Data!H528),"missing",IF(OR(MiniCase_Data!H528&lt;27,MiniCase_Data!H528&gt;33),"밖","안"))</x:f>
        <x:v>안</x:v>
      </x:c>
      <x:c r="D528" t="n">
        <x:f>IF(ISBLANK(MiniCase_Data!H528),VLOOKUP(A528,센서로그!$A$2:$C$13,3,FALSE),MiniCase_Data!H528)</x:f>
        <x:v>31.24</x:v>
      </x:c>
      <x:c r="E528" t="n">
        <x:f>IF(AND(MiniCase_Data!C528="야간",MiniCase_Data!F528="M03"),1,0)</x:f>
        <x:v>0</x:v>
      </x:c>
      <x:c r="F528" t="n">
        <x:f>IF(C528="밖",1,0)</x:f>
        <x:v>0</x:v>
      </x:c>
      <x:c r="G528" t="n">
        <x:f>IF(OR(F528=1,E528=1),1,0)</x:f>
        <x:v>0</x:v>
      </x:c>
      <x:c r="H528" t="str">
        <x:f>IF(B528=1,IF(F528=1,"TP","FN"),IF(F528=1,"FP","TN"))</x:f>
        <x:v>TN</x:v>
      </x:c>
      <x:c r="I528" t="str">
        <x:f>IF(B528=1,IF(G528=1,"TP","FN"),IF(G528=1,"FP","TN"))</x:f>
        <x:v>TN</x:v>
      </x:c>
    </x:row>
    <x:row r="529">
      <x:c r="A529" t="str">
        <x:f>MiniCase_Data!A529</x:f>
        <x:v>R00528</x:v>
      </x:c>
      <x:c r="B529" t="n">
        <x:f>IF(MiniCase_Data!O529="불합격",1,0)</x:f>
        <x:v>0</x:v>
      </x:c>
      <x:c r="C529" t="str">
        <x:f>IF(ISBLANK(MiniCase_Data!H529),"missing",IF(OR(MiniCase_Data!H529&lt;27,MiniCase_Data!H529&gt;33),"밖","안"))</x:f>
        <x:v>안</x:v>
      </x:c>
      <x:c r="D529" t="n">
        <x:f>IF(ISBLANK(MiniCase_Data!H529),VLOOKUP(A529,센서로그!$A$2:$C$13,3,FALSE),MiniCase_Data!H529)</x:f>
        <x:v>30.36</x:v>
      </x:c>
      <x:c r="E529" t="n">
        <x:f>IF(AND(MiniCase_Data!C529="야간",MiniCase_Data!F529="M03"),1,0)</x:f>
        <x:v>0</x:v>
      </x:c>
      <x:c r="F529" t="n">
        <x:f>IF(C529="밖",1,0)</x:f>
        <x:v>0</x:v>
      </x:c>
      <x:c r="G529" t="n">
        <x:f>IF(OR(F529=1,E529=1),1,0)</x:f>
        <x:v>0</x:v>
      </x:c>
      <x:c r="H529" t="str">
        <x:f>IF(B529=1,IF(F529=1,"TP","FN"),IF(F529=1,"FP","TN"))</x:f>
        <x:v>TN</x:v>
      </x:c>
      <x:c r="I529" t="str">
        <x:f>IF(B529=1,IF(G529=1,"TP","FN"),IF(G529=1,"FP","TN"))</x:f>
        <x:v>TN</x:v>
      </x:c>
    </x:row>
    <x:row r="530">
      <x:c r="A530" t="str">
        <x:f>MiniCase_Data!A530</x:f>
        <x:v>R00529</x:v>
      </x:c>
      <x:c r="B530" t="n">
        <x:f>IF(MiniCase_Data!O530="불합격",1,0)</x:f>
        <x:v>0</x:v>
      </x:c>
      <x:c r="C530" t="str">
        <x:f>IF(ISBLANK(MiniCase_Data!H530),"missing",IF(OR(MiniCase_Data!H530&lt;27,MiniCase_Data!H530&gt;33),"밖","안"))</x:f>
        <x:v>밖</x:v>
      </x:c>
      <x:c r="D530" t="n">
        <x:f>IF(ISBLANK(MiniCase_Data!H530),VLOOKUP(A530,센서로그!$A$2:$C$13,3,FALSE),MiniCase_Data!H530)</x:f>
        <x:v>33.65</x:v>
      </x:c>
      <x:c r="E530" t="n">
        <x:f>IF(AND(MiniCase_Data!C530="야간",MiniCase_Data!F530="M03"),1,0)</x:f>
        <x:v>1</x:v>
      </x:c>
      <x:c r="F530" t="n">
        <x:f>IF(C530="밖",1,0)</x:f>
        <x:v>1</x:v>
      </x:c>
      <x:c r="G530" t="n">
        <x:f>IF(OR(F530=1,E530=1),1,0)</x:f>
        <x:v>1</x:v>
      </x:c>
      <x:c r="H530" t="str">
        <x:f>IF(B530=1,IF(F530=1,"TP","FN"),IF(F530=1,"FP","TN"))</x:f>
        <x:v>FP</x:v>
      </x:c>
      <x:c r="I530" t="str">
        <x:f>IF(B530=1,IF(G530=1,"TP","FN"),IF(G530=1,"FP","TN"))</x:f>
        <x:v>FP</x:v>
      </x:c>
    </x:row>
    <x:row r="531">
      <x:c r="A531" t="str">
        <x:f>MiniCase_Data!A531</x:f>
        <x:v>R00530</x:v>
      </x:c>
      <x:c r="B531" t="n">
        <x:f>IF(MiniCase_Data!O531="불합격",1,0)</x:f>
        <x:v>0</x:v>
      </x:c>
      <x:c r="C531" t="str">
        <x:f>IF(ISBLANK(MiniCase_Data!H531),"missing",IF(OR(MiniCase_Data!H531&lt;27,MiniCase_Data!H531&gt;33),"밖","안"))</x:f>
        <x:v>안</x:v>
      </x:c>
      <x:c r="D531" t="n">
        <x:f>IF(ISBLANK(MiniCase_Data!H531),VLOOKUP(A531,센서로그!$A$2:$C$13,3,FALSE),MiniCase_Data!H531)</x:f>
        <x:v>29.2</x:v>
      </x:c>
      <x:c r="E531" t="n">
        <x:f>IF(AND(MiniCase_Data!C531="야간",MiniCase_Data!F531="M03"),1,0)</x:f>
        <x:v>0</x:v>
      </x:c>
      <x:c r="F531" t="n">
        <x:f>IF(C531="밖",1,0)</x:f>
        <x:v>0</x:v>
      </x:c>
      <x:c r="G531" t="n">
        <x:f>IF(OR(F531=1,E531=1),1,0)</x:f>
        <x:v>0</x:v>
      </x:c>
      <x:c r="H531" t="str">
        <x:f>IF(B531=1,IF(F531=1,"TP","FN"),IF(F531=1,"FP","TN"))</x:f>
        <x:v>TN</x:v>
      </x:c>
      <x:c r="I531" t="str">
        <x:f>IF(B531=1,IF(G531=1,"TP","FN"),IF(G531=1,"FP","TN"))</x:f>
        <x:v>TN</x:v>
      </x:c>
    </x:row>
    <x:row r="532">
      <x:c r="A532" t="str">
        <x:f>MiniCase_Data!A532</x:f>
        <x:v>R00531</x:v>
      </x:c>
      <x:c r="B532" t="n">
        <x:f>IF(MiniCase_Data!O532="불합격",1,0)</x:f>
        <x:v>0</x:v>
      </x:c>
      <x:c r="C532" t="str">
        <x:f>IF(ISBLANK(MiniCase_Data!H532),"missing",IF(OR(MiniCase_Data!H532&lt;27,MiniCase_Data!H532&gt;33),"밖","안"))</x:f>
        <x:v>안</x:v>
      </x:c>
      <x:c r="D532" t="n">
        <x:f>IF(ISBLANK(MiniCase_Data!H532),VLOOKUP(A532,센서로그!$A$2:$C$13,3,FALSE),MiniCase_Data!H532)</x:f>
        <x:v>32.09</x:v>
      </x:c>
      <x:c r="E532" t="n">
        <x:f>IF(AND(MiniCase_Data!C532="야간",MiniCase_Data!F532="M03"),1,0)</x:f>
        <x:v>0</x:v>
      </x:c>
      <x:c r="F532" t="n">
        <x:f>IF(C532="밖",1,0)</x:f>
        <x:v>0</x:v>
      </x:c>
      <x:c r="G532" t="n">
        <x:f>IF(OR(F532=1,E532=1),1,0)</x:f>
        <x:v>0</x:v>
      </x:c>
      <x:c r="H532" t="str">
        <x:f>IF(B532=1,IF(F532=1,"TP","FN"),IF(F532=1,"FP","TN"))</x:f>
        <x:v>TN</x:v>
      </x:c>
      <x:c r="I532" t="str">
        <x:f>IF(B532=1,IF(G532=1,"TP","FN"),IF(G532=1,"FP","TN"))</x:f>
        <x:v>TN</x:v>
      </x:c>
    </x:row>
    <x:row r="533">
      <x:c r="A533" t="str">
        <x:f>MiniCase_Data!A533</x:f>
        <x:v>R00532</x:v>
      </x:c>
      <x:c r="B533" t="n">
        <x:f>IF(MiniCase_Data!O533="불합격",1,0)</x:f>
        <x:v>0</x:v>
      </x:c>
      <x:c r="C533" t="str">
        <x:f>IF(ISBLANK(MiniCase_Data!H533),"missing",IF(OR(MiniCase_Data!H533&lt;27,MiniCase_Data!H533&gt;33),"밖","안"))</x:f>
        <x:v>안</x:v>
      </x:c>
      <x:c r="D533" t="n">
        <x:f>IF(ISBLANK(MiniCase_Data!H533),VLOOKUP(A533,센서로그!$A$2:$C$13,3,FALSE),MiniCase_Data!H533)</x:f>
        <x:v>28.93</x:v>
      </x:c>
      <x:c r="E533" t="n">
        <x:f>IF(AND(MiniCase_Data!C533="야간",MiniCase_Data!F533="M03"),1,0)</x:f>
        <x:v>0</x:v>
      </x:c>
      <x:c r="F533" t="n">
        <x:f>IF(C533="밖",1,0)</x:f>
        <x:v>0</x:v>
      </x:c>
      <x:c r="G533" t="n">
        <x:f>IF(OR(F533=1,E533=1),1,0)</x:f>
        <x:v>0</x:v>
      </x:c>
      <x:c r="H533" t="str">
        <x:f>IF(B533=1,IF(F533=1,"TP","FN"),IF(F533=1,"FP","TN"))</x:f>
        <x:v>TN</x:v>
      </x:c>
      <x:c r="I533" t="str">
        <x:f>IF(B533=1,IF(G533=1,"TP","FN"),IF(G533=1,"FP","TN"))</x:f>
        <x:v>TN</x:v>
      </x:c>
    </x:row>
    <x:row r="534">
      <x:c r="A534" t="str">
        <x:f>MiniCase_Data!A534</x:f>
        <x:v>R00533</x:v>
      </x:c>
      <x:c r="B534" t="n">
        <x:f>IF(MiniCase_Data!O534="불합격",1,0)</x:f>
        <x:v>0</x:v>
      </x:c>
      <x:c r="C534" t="str">
        <x:f>IF(ISBLANK(MiniCase_Data!H534),"missing",IF(OR(MiniCase_Data!H534&lt;27,MiniCase_Data!H534&gt;33),"밖","안"))</x:f>
        <x:v>안</x:v>
      </x:c>
      <x:c r="D534" t="n">
        <x:f>IF(ISBLANK(MiniCase_Data!H534),VLOOKUP(A534,센서로그!$A$2:$C$13,3,FALSE),MiniCase_Data!H534)</x:f>
        <x:v>29.27</x:v>
      </x:c>
      <x:c r="E534" t="n">
        <x:f>IF(AND(MiniCase_Data!C534="야간",MiniCase_Data!F534="M03"),1,0)</x:f>
        <x:v>0</x:v>
      </x:c>
      <x:c r="F534" t="n">
        <x:f>IF(C534="밖",1,0)</x:f>
        <x:v>0</x:v>
      </x:c>
      <x:c r="G534" t="n">
        <x:f>IF(OR(F534=1,E534=1),1,0)</x:f>
        <x:v>0</x:v>
      </x:c>
      <x:c r="H534" t="str">
        <x:f>IF(B534=1,IF(F534=1,"TP","FN"),IF(F534=1,"FP","TN"))</x:f>
        <x:v>TN</x:v>
      </x:c>
      <x:c r="I534" t="str">
        <x:f>IF(B534=1,IF(G534=1,"TP","FN"),IF(G534=1,"FP","TN"))</x:f>
        <x:v>TN</x:v>
      </x:c>
    </x:row>
    <x:row r="535">
      <x:c r="A535" t="str">
        <x:f>MiniCase_Data!A535</x:f>
        <x:v>R00534</x:v>
      </x:c>
      <x:c r="B535" t="n">
        <x:f>IF(MiniCase_Data!O535="불합격",1,0)</x:f>
        <x:v>0</x:v>
      </x:c>
      <x:c r="C535" t="str">
        <x:f>IF(ISBLANK(MiniCase_Data!H535),"missing",IF(OR(MiniCase_Data!H535&lt;27,MiniCase_Data!H535&gt;33),"밖","안"))</x:f>
        <x:v>안</x:v>
      </x:c>
      <x:c r="D535" t="n">
        <x:f>IF(ISBLANK(MiniCase_Data!H535),VLOOKUP(A535,센서로그!$A$2:$C$13,3,FALSE),MiniCase_Data!H535)</x:f>
        <x:v>31.1</x:v>
      </x:c>
      <x:c r="E535" t="n">
        <x:f>IF(AND(MiniCase_Data!C535="야간",MiniCase_Data!F535="M03"),1,0)</x:f>
        <x:v>0</x:v>
      </x:c>
      <x:c r="F535" t="n">
        <x:f>IF(C535="밖",1,0)</x:f>
        <x:v>0</x:v>
      </x:c>
      <x:c r="G535" t="n">
        <x:f>IF(OR(F535=1,E535=1),1,0)</x:f>
        <x:v>0</x:v>
      </x:c>
      <x:c r="H535" t="str">
        <x:f>IF(B535=1,IF(F535=1,"TP","FN"),IF(F535=1,"FP","TN"))</x:f>
        <x:v>TN</x:v>
      </x:c>
      <x:c r="I535" t="str">
        <x:f>IF(B535=1,IF(G535=1,"TP","FN"),IF(G535=1,"FP","TN"))</x:f>
        <x:v>TN</x:v>
      </x:c>
    </x:row>
    <x:row r="536">
      <x:c r="A536" t="str">
        <x:f>MiniCase_Data!A536</x:f>
        <x:v>R00535</x:v>
      </x:c>
      <x:c r="B536" t="n">
        <x:f>IF(MiniCase_Data!O536="불합격",1,0)</x:f>
        <x:v>0</x:v>
      </x:c>
      <x:c r="C536" t="str">
        <x:f>IF(ISBLANK(MiniCase_Data!H536),"missing",IF(OR(MiniCase_Data!H536&lt;27,MiniCase_Data!H536&gt;33),"밖","안"))</x:f>
        <x:v>안</x:v>
      </x:c>
      <x:c r="D536" t="n">
        <x:f>IF(ISBLANK(MiniCase_Data!H536),VLOOKUP(A536,센서로그!$A$2:$C$13,3,FALSE),MiniCase_Data!H536)</x:f>
        <x:v>32.8</x:v>
      </x:c>
      <x:c r="E536" t="n">
        <x:f>IF(AND(MiniCase_Data!C536="야간",MiniCase_Data!F536="M03"),1,0)</x:f>
        <x:v>0</x:v>
      </x:c>
      <x:c r="F536" t="n">
        <x:f>IF(C536="밖",1,0)</x:f>
        <x:v>0</x:v>
      </x:c>
      <x:c r="G536" t="n">
        <x:f>IF(OR(F536=1,E536=1),1,0)</x:f>
        <x:v>0</x:v>
      </x:c>
      <x:c r="H536" t="str">
        <x:f>IF(B536=1,IF(F536=1,"TP","FN"),IF(F536=1,"FP","TN"))</x:f>
        <x:v>TN</x:v>
      </x:c>
      <x:c r="I536" t="str">
        <x:f>IF(B536=1,IF(G536=1,"TP","FN"),IF(G536=1,"FP","TN"))</x:f>
        <x:v>TN</x:v>
      </x:c>
    </x:row>
    <x:row r="537">
      <x:c r="A537" t="str">
        <x:f>MiniCase_Data!A537</x:f>
        <x:v>R00536</x:v>
      </x:c>
      <x:c r="B537" t="n">
        <x:f>IF(MiniCase_Data!O537="불합격",1,0)</x:f>
        <x:v>0</x:v>
      </x:c>
      <x:c r="C537" t="str">
        <x:f>IF(ISBLANK(MiniCase_Data!H537),"missing",IF(OR(MiniCase_Data!H537&lt;27,MiniCase_Data!H537&gt;33),"밖","안"))</x:f>
        <x:v>안</x:v>
      </x:c>
      <x:c r="D537" t="n">
        <x:f>IF(ISBLANK(MiniCase_Data!H537),VLOOKUP(A537,센서로그!$A$2:$C$13,3,FALSE),MiniCase_Data!H537)</x:f>
        <x:v>32.03</x:v>
      </x:c>
      <x:c r="E537" t="n">
        <x:f>IF(AND(MiniCase_Data!C537="야간",MiniCase_Data!F537="M03"),1,0)</x:f>
        <x:v>0</x:v>
      </x:c>
      <x:c r="F537" t="n">
        <x:f>IF(C537="밖",1,0)</x:f>
        <x:v>0</x:v>
      </x:c>
      <x:c r="G537" t="n">
        <x:f>IF(OR(F537=1,E537=1),1,0)</x:f>
        <x:v>0</x:v>
      </x:c>
      <x:c r="H537" t="str">
        <x:f>IF(B537=1,IF(F537=1,"TP","FN"),IF(F537=1,"FP","TN"))</x:f>
        <x:v>TN</x:v>
      </x:c>
      <x:c r="I537" t="str">
        <x:f>IF(B537=1,IF(G537=1,"TP","FN"),IF(G537=1,"FP","TN"))</x:f>
        <x:v>TN</x:v>
      </x:c>
    </x:row>
    <x:row r="538">
      <x:c r="A538" t="str">
        <x:f>MiniCase_Data!A538</x:f>
        <x:v>R00537</x:v>
      </x:c>
      <x:c r="B538" t="n">
        <x:f>IF(MiniCase_Data!O538="불합격",1,0)</x:f>
        <x:v>0</x:v>
      </x:c>
      <x:c r="C538" t="str">
        <x:f>IF(ISBLANK(MiniCase_Data!H538),"missing",IF(OR(MiniCase_Data!H538&lt;27,MiniCase_Data!H538&gt;33),"밖","안"))</x:f>
        <x:v>안</x:v>
      </x:c>
      <x:c r="D538" t="n">
        <x:f>IF(ISBLANK(MiniCase_Data!H538),VLOOKUP(A538,센서로그!$A$2:$C$13,3,FALSE),MiniCase_Data!H538)</x:f>
        <x:v>29.16</x:v>
      </x:c>
      <x:c r="E538" t="n">
        <x:f>IF(AND(MiniCase_Data!C538="야간",MiniCase_Data!F538="M03"),1,0)</x:f>
        <x:v>0</x:v>
      </x:c>
      <x:c r="F538" t="n">
        <x:f>IF(C538="밖",1,0)</x:f>
        <x:v>0</x:v>
      </x:c>
      <x:c r="G538" t="n">
        <x:f>IF(OR(F538=1,E538=1),1,0)</x:f>
        <x:v>0</x:v>
      </x:c>
      <x:c r="H538" t="str">
        <x:f>IF(B538=1,IF(F538=1,"TP","FN"),IF(F538=1,"FP","TN"))</x:f>
        <x:v>TN</x:v>
      </x:c>
      <x:c r="I538" t="str">
        <x:f>IF(B538=1,IF(G538=1,"TP","FN"),IF(G538=1,"FP","TN"))</x:f>
        <x:v>TN</x:v>
      </x:c>
    </x:row>
    <x:row r="539">
      <x:c r="A539" t="str">
        <x:f>MiniCase_Data!A539</x:f>
        <x:v>R00538</x:v>
      </x:c>
      <x:c r="B539" t="n">
        <x:f>IF(MiniCase_Data!O539="불합격",1,0)</x:f>
        <x:v>0</x:v>
      </x:c>
      <x:c r="C539" t="str">
        <x:f>IF(ISBLANK(MiniCase_Data!H539),"missing",IF(OR(MiniCase_Data!H539&lt;27,MiniCase_Data!H539&gt;33),"밖","안"))</x:f>
        <x:v>안</x:v>
      </x:c>
      <x:c r="D539" t="n">
        <x:f>IF(ISBLANK(MiniCase_Data!H539),VLOOKUP(A539,센서로그!$A$2:$C$13,3,FALSE),MiniCase_Data!H539)</x:f>
        <x:v>28.85</x:v>
      </x:c>
      <x:c r="E539" t="n">
        <x:f>IF(AND(MiniCase_Data!C539="야간",MiniCase_Data!F539="M03"),1,0)</x:f>
        <x:v>0</x:v>
      </x:c>
      <x:c r="F539" t="n">
        <x:f>IF(C539="밖",1,0)</x:f>
        <x:v>0</x:v>
      </x:c>
      <x:c r="G539" t="n">
        <x:f>IF(OR(F539=1,E539=1),1,0)</x:f>
        <x:v>0</x:v>
      </x:c>
      <x:c r="H539" t="str">
        <x:f>IF(B539=1,IF(F539=1,"TP","FN"),IF(F539=1,"FP","TN"))</x:f>
        <x:v>TN</x:v>
      </x:c>
      <x:c r="I539" t="str">
        <x:f>IF(B539=1,IF(G539=1,"TP","FN"),IF(G539=1,"FP","TN"))</x:f>
        <x:v>TN</x:v>
      </x:c>
    </x:row>
    <x:row r="540">
      <x:c r="A540" t="str">
        <x:f>MiniCase_Data!A540</x:f>
        <x:v>R00539</x:v>
      </x:c>
      <x:c r="B540" t="n">
        <x:f>IF(MiniCase_Data!O540="불합격",1,0)</x:f>
        <x:v>0</x:v>
      </x:c>
      <x:c r="C540" t="str">
        <x:f>IF(ISBLANK(MiniCase_Data!H540),"missing",IF(OR(MiniCase_Data!H540&lt;27,MiniCase_Data!H540&gt;33),"밖","안"))</x:f>
        <x:v>밖</x:v>
      </x:c>
      <x:c r="D540" t="n">
        <x:f>IF(ISBLANK(MiniCase_Data!H540),VLOOKUP(A540,센서로그!$A$2:$C$13,3,FALSE),MiniCase_Data!H540)</x:f>
        <x:v>33.58</x:v>
      </x:c>
      <x:c r="E540" t="n">
        <x:f>IF(AND(MiniCase_Data!C540="야간",MiniCase_Data!F540="M03"),1,0)</x:f>
        <x:v>1</x:v>
      </x:c>
      <x:c r="F540" t="n">
        <x:f>IF(C540="밖",1,0)</x:f>
        <x:v>1</x:v>
      </x:c>
      <x:c r="G540" t="n">
        <x:f>IF(OR(F540=1,E540=1),1,0)</x:f>
        <x:v>1</x:v>
      </x:c>
      <x:c r="H540" t="str">
        <x:f>IF(B540=1,IF(F540=1,"TP","FN"),IF(F540=1,"FP","TN"))</x:f>
        <x:v>FP</x:v>
      </x:c>
      <x:c r="I540" t="str">
        <x:f>IF(B540=1,IF(G540=1,"TP","FN"),IF(G540=1,"FP","TN"))</x:f>
        <x:v>FP</x:v>
      </x:c>
    </x:row>
    <x:row r="541">
      <x:c r="A541" t="str">
        <x:f>MiniCase_Data!A541</x:f>
        <x:v>R00540</x:v>
      </x:c>
      <x:c r="B541" t="n">
        <x:f>IF(MiniCase_Data!O541="불합격",1,0)</x:f>
        <x:v>0</x:v>
      </x:c>
      <x:c r="C541" t="str">
        <x:f>IF(ISBLANK(MiniCase_Data!H541),"missing",IF(OR(MiniCase_Data!H541&lt;27,MiniCase_Data!H541&gt;33),"밖","안"))</x:f>
        <x:v>안</x:v>
      </x:c>
      <x:c r="D541" t="n">
        <x:f>IF(ISBLANK(MiniCase_Data!H541),VLOOKUP(A541,센서로그!$A$2:$C$13,3,FALSE),MiniCase_Data!H541)</x:f>
        <x:v>29.11</x:v>
      </x:c>
      <x:c r="E541" t="n">
        <x:f>IF(AND(MiniCase_Data!C541="야간",MiniCase_Data!F541="M03"),1,0)</x:f>
        <x:v>0</x:v>
      </x:c>
      <x:c r="F541" t="n">
        <x:f>IF(C541="밖",1,0)</x:f>
        <x:v>0</x:v>
      </x:c>
      <x:c r="G541" t="n">
        <x:f>IF(OR(F541=1,E541=1),1,0)</x:f>
        <x:v>0</x:v>
      </x:c>
      <x:c r="H541" t="str">
        <x:f>IF(B541=1,IF(F541=1,"TP","FN"),IF(F541=1,"FP","TN"))</x:f>
        <x:v>TN</x:v>
      </x:c>
      <x:c r="I541" t="str">
        <x:f>IF(B541=1,IF(G541=1,"TP","FN"),IF(G541=1,"FP","TN"))</x:f>
        <x:v>TN</x:v>
      </x:c>
    </x:row>
    <x:row r="542">
      <x:c r="A542" t="str">
        <x:f>MiniCase_Data!A542</x:f>
        <x:v>R00541</x:v>
      </x:c>
      <x:c r="B542" t="n">
        <x:f>IF(MiniCase_Data!O542="불합격",1,0)</x:f>
        <x:v>0</x:v>
      </x:c>
      <x:c r="C542" t="str">
        <x:f>IF(ISBLANK(MiniCase_Data!H542),"missing",IF(OR(MiniCase_Data!H542&lt;27,MiniCase_Data!H542&gt;33),"밖","안"))</x:f>
        <x:v>안</x:v>
      </x:c>
      <x:c r="D542" t="n">
        <x:f>IF(ISBLANK(MiniCase_Data!H542),VLOOKUP(A542,센서로그!$A$2:$C$13,3,FALSE),MiniCase_Data!H542)</x:f>
        <x:v>31.88</x:v>
      </x:c>
      <x:c r="E542" t="n">
        <x:f>IF(AND(MiniCase_Data!C542="야간",MiniCase_Data!F542="M03"),1,0)</x:f>
        <x:v>0</x:v>
      </x:c>
      <x:c r="F542" t="n">
        <x:f>IF(C542="밖",1,0)</x:f>
        <x:v>0</x:v>
      </x:c>
      <x:c r="G542" t="n">
        <x:f>IF(OR(F542=1,E542=1),1,0)</x:f>
        <x:v>0</x:v>
      </x:c>
      <x:c r="H542" t="str">
        <x:f>IF(B542=1,IF(F542=1,"TP","FN"),IF(F542=1,"FP","TN"))</x:f>
        <x:v>TN</x:v>
      </x:c>
      <x:c r="I542" t="str">
        <x:f>IF(B542=1,IF(G542=1,"TP","FN"),IF(G542=1,"FP","TN"))</x:f>
        <x:v>TN</x:v>
      </x:c>
    </x:row>
    <x:row r="543">
      <x:c r="A543" t="str">
        <x:f>MiniCase_Data!A543</x:f>
        <x:v>R00542</x:v>
      </x:c>
      <x:c r="B543" t="n">
        <x:f>IF(MiniCase_Data!O543="불합격",1,0)</x:f>
        <x:v>0</x:v>
      </x:c>
      <x:c r="C543" t="str">
        <x:f>IF(ISBLANK(MiniCase_Data!H543),"missing",IF(OR(MiniCase_Data!H543&lt;27,MiniCase_Data!H543&gt;33),"밖","안"))</x:f>
        <x:v>밖</x:v>
      </x:c>
      <x:c r="D543" t="n">
        <x:f>IF(ISBLANK(MiniCase_Data!H543),VLOOKUP(A543,센서로그!$A$2:$C$13,3,FALSE),MiniCase_Data!H543)</x:f>
        <x:v>26.75</x:v>
      </x:c>
      <x:c r="E543" t="n">
        <x:f>IF(AND(MiniCase_Data!C543="야간",MiniCase_Data!F543="M03"),1,0)</x:f>
        <x:v>1</x:v>
      </x:c>
      <x:c r="F543" t="n">
        <x:f>IF(C543="밖",1,0)</x:f>
        <x:v>1</x:v>
      </x:c>
      <x:c r="G543" t="n">
        <x:f>IF(OR(F543=1,E543=1),1,0)</x:f>
        <x:v>1</x:v>
      </x:c>
      <x:c r="H543" t="str">
        <x:f>IF(B543=1,IF(F543=1,"TP","FN"),IF(F543=1,"FP","TN"))</x:f>
        <x:v>FP</x:v>
      </x:c>
      <x:c r="I543" t="str">
        <x:f>IF(B543=1,IF(G543=1,"TP","FN"),IF(G543=1,"FP","TN"))</x:f>
        <x:v>FP</x:v>
      </x:c>
    </x:row>
    <x:row r="544">
      <x:c r="A544" t="str">
        <x:f>MiniCase_Data!A544</x:f>
        <x:v>R00543</x:v>
      </x:c>
      <x:c r="B544" t="n">
        <x:f>IF(MiniCase_Data!O544="불합격",1,0)</x:f>
        <x:v>0</x:v>
      </x:c>
      <x:c r="C544" t="str">
        <x:f>IF(ISBLANK(MiniCase_Data!H544),"missing",IF(OR(MiniCase_Data!H544&lt;27,MiniCase_Data!H544&gt;33),"밖","안"))</x:f>
        <x:v>안</x:v>
      </x:c>
      <x:c r="D544" t="n">
        <x:f>IF(ISBLANK(MiniCase_Data!H544),VLOOKUP(A544,센서로그!$A$2:$C$13,3,FALSE),MiniCase_Data!H544)</x:f>
        <x:v>30.3</x:v>
      </x:c>
      <x:c r="E544" t="n">
        <x:f>IF(AND(MiniCase_Data!C544="야간",MiniCase_Data!F544="M03"),1,0)</x:f>
        <x:v>0</x:v>
      </x:c>
      <x:c r="F544" t="n">
        <x:f>IF(C544="밖",1,0)</x:f>
        <x:v>0</x:v>
      </x:c>
      <x:c r="G544" t="n">
        <x:f>IF(OR(F544=1,E544=1),1,0)</x:f>
        <x:v>0</x:v>
      </x:c>
      <x:c r="H544" t="str">
        <x:f>IF(B544=1,IF(F544=1,"TP","FN"),IF(F544=1,"FP","TN"))</x:f>
        <x:v>TN</x:v>
      </x:c>
      <x:c r="I544" t="str">
        <x:f>IF(B544=1,IF(G544=1,"TP","FN"),IF(G544=1,"FP","TN"))</x:f>
        <x:v>TN</x:v>
      </x:c>
    </x:row>
    <x:row r="545">
      <x:c r="A545" t="str">
        <x:f>MiniCase_Data!A545</x:f>
        <x:v>R00544</x:v>
      </x:c>
      <x:c r="B545" t="n">
        <x:f>IF(MiniCase_Data!O545="불합격",1,0)</x:f>
        <x:v>0</x:v>
      </x:c>
      <x:c r="C545" t="str">
        <x:f>IF(ISBLANK(MiniCase_Data!H545),"missing",IF(OR(MiniCase_Data!H545&lt;27,MiniCase_Data!H545&gt;33),"밖","안"))</x:f>
        <x:v>안</x:v>
      </x:c>
      <x:c r="D545" t="n">
        <x:f>IF(ISBLANK(MiniCase_Data!H545),VLOOKUP(A545,센서로그!$A$2:$C$13,3,FALSE),MiniCase_Data!H545)</x:f>
        <x:v>30.35</x:v>
      </x:c>
      <x:c r="E545" t="n">
        <x:f>IF(AND(MiniCase_Data!C545="야간",MiniCase_Data!F545="M03"),1,0)</x:f>
        <x:v>0</x:v>
      </x:c>
      <x:c r="F545" t="n">
        <x:f>IF(C545="밖",1,0)</x:f>
        <x:v>0</x:v>
      </x:c>
      <x:c r="G545" t="n">
        <x:f>IF(OR(F545=1,E545=1),1,0)</x:f>
        <x:v>0</x:v>
      </x:c>
      <x:c r="H545" t="str">
        <x:f>IF(B545=1,IF(F545=1,"TP","FN"),IF(F545=1,"FP","TN"))</x:f>
        <x:v>TN</x:v>
      </x:c>
      <x:c r="I545" t="str">
        <x:f>IF(B545=1,IF(G545=1,"TP","FN"),IF(G545=1,"FP","TN"))</x:f>
        <x:v>TN</x:v>
      </x:c>
    </x:row>
    <x:row r="546">
      <x:c r="A546" t="str">
        <x:f>MiniCase_Data!A546</x:f>
        <x:v>R00545</x:v>
      </x:c>
      <x:c r="B546" t="n">
        <x:f>IF(MiniCase_Data!O546="불합격",1,0)</x:f>
        <x:v>0</x:v>
      </x:c>
      <x:c r="C546" t="str">
        <x:f>IF(ISBLANK(MiniCase_Data!H546),"missing",IF(OR(MiniCase_Data!H546&lt;27,MiniCase_Data!H546&gt;33),"밖","안"))</x:f>
        <x:v>안</x:v>
      </x:c>
      <x:c r="D546" t="n">
        <x:f>IF(ISBLANK(MiniCase_Data!H546),VLOOKUP(A546,센서로그!$A$2:$C$13,3,FALSE),MiniCase_Data!H546)</x:f>
        <x:v>30.58</x:v>
      </x:c>
      <x:c r="E546" t="n">
        <x:f>IF(AND(MiniCase_Data!C546="야간",MiniCase_Data!F546="M03"),1,0)</x:f>
        <x:v>0</x:v>
      </x:c>
      <x:c r="F546" t="n">
        <x:f>IF(C546="밖",1,0)</x:f>
        <x:v>0</x:v>
      </x:c>
      <x:c r="G546" t="n">
        <x:f>IF(OR(F546=1,E546=1),1,0)</x:f>
        <x:v>0</x:v>
      </x:c>
      <x:c r="H546" t="str">
        <x:f>IF(B546=1,IF(F546=1,"TP","FN"),IF(F546=1,"FP","TN"))</x:f>
        <x:v>TN</x:v>
      </x:c>
      <x:c r="I546" t="str">
        <x:f>IF(B546=1,IF(G546=1,"TP","FN"),IF(G546=1,"FP","TN"))</x:f>
        <x:v>TN</x:v>
      </x:c>
    </x:row>
    <x:row r="547">
      <x:c r="A547" t="str">
        <x:f>MiniCase_Data!A547</x:f>
        <x:v>R00546</x:v>
      </x:c>
      <x:c r="B547" t="n">
        <x:f>IF(MiniCase_Data!O547="불합격",1,0)</x:f>
        <x:v>0</x:v>
      </x:c>
      <x:c r="C547" t="str">
        <x:f>IF(ISBLANK(MiniCase_Data!H547),"missing",IF(OR(MiniCase_Data!H547&lt;27,MiniCase_Data!H547&gt;33),"밖","안"))</x:f>
        <x:v>안</x:v>
      </x:c>
      <x:c r="D547" t="n">
        <x:f>IF(ISBLANK(MiniCase_Data!H547),VLOOKUP(A547,센서로그!$A$2:$C$13,3,FALSE),MiniCase_Data!H547)</x:f>
        <x:v>28.81</x:v>
      </x:c>
      <x:c r="E547" t="n">
        <x:f>IF(AND(MiniCase_Data!C547="야간",MiniCase_Data!F547="M03"),1,0)</x:f>
        <x:v>0</x:v>
      </x:c>
      <x:c r="F547" t="n">
        <x:f>IF(C547="밖",1,0)</x:f>
        <x:v>0</x:v>
      </x:c>
      <x:c r="G547" t="n">
        <x:f>IF(OR(F547=1,E547=1),1,0)</x:f>
        <x:v>0</x:v>
      </x:c>
      <x:c r="H547" t="str">
        <x:f>IF(B547=1,IF(F547=1,"TP","FN"),IF(F547=1,"FP","TN"))</x:f>
        <x:v>TN</x:v>
      </x:c>
      <x:c r="I547" t="str">
        <x:f>IF(B547=1,IF(G547=1,"TP","FN"),IF(G547=1,"FP","TN"))</x:f>
        <x:v>TN</x:v>
      </x:c>
    </x:row>
    <x:row r="548">
      <x:c r="A548" t="str">
        <x:f>MiniCase_Data!A548</x:f>
        <x:v>R00547</x:v>
      </x:c>
      <x:c r="B548" t="n">
        <x:f>IF(MiniCase_Data!O548="불합격",1,0)</x:f>
        <x:v>0</x:v>
      </x:c>
      <x:c r="C548" t="str">
        <x:f>IF(ISBLANK(MiniCase_Data!H548),"missing",IF(OR(MiniCase_Data!H548&lt;27,MiniCase_Data!H548&gt;33),"밖","안"))</x:f>
        <x:v>안</x:v>
      </x:c>
      <x:c r="D548" t="n">
        <x:f>IF(ISBLANK(MiniCase_Data!H548),VLOOKUP(A548,센서로그!$A$2:$C$13,3,FALSE),MiniCase_Data!H548)</x:f>
        <x:v>28.61</x:v>
      </x:c>
      <x:c r="E548" t="n">
        <x:f>IF(AND(MiniCase_Data!C548="야간",MiniCase_Data!F548="M03"),1,0)</x:f>
        <x:v>0</x:v>
      </x:c>
      <x:c r="F548" t="n">
        <x:f>IF(C548="밖",1,0)</x:f>
        <x:v>0</x:v>
      </x:c>
      <x:c r="G548" t="n">
        <x:f>IF(OR(F548=1,E548=1),1,0)</x:f>
        <x:v>0</x:v>
      </x:c>
      <x:c r="H548" t="str">
        <x:f>IF(B548=1,IF(F548=1,"TP","FN"),IF(F548=1,"FP","TN"))</x:f>
        <x:v>TN</x:v>
      </x:c>
      <x:c r="I548" t="str">
        <x:f>IF(B548=1,IF(G548=1,"TP","FN"),IF(G548=1,"FP","TN"))</x:f>
        <x:v>TN</x:v>
      </x:c>
    </x:row>
    <x:row r="549">
      <x:c r="A549" t="str">
        <x:f>MiniCase_Data!A549</x:f>
        <x:v>R00548</x:v>
      </x:c>
      <x:c r="B549" t="n">
        <x:f>IF(MiniCase_Data!O549="불합격",1,0)</x:f>
        <x:v>0</x:v>
      </x:c>
      <x:c r="C549" t="str">
        <x:f>IF(ISBLANK(MiniCase_Data!H549),"missing",IF(OR(MiniCase_Data!H549&lt;27,MiniCase_Data!H549&gt;33),"밖","안"))</x:f>
        <x:v>안</x:v>
      </x:c>
      <x:c r="D549" t="n">
        <x:f>IF(ISBLANK(MiniCase_Data!H549),VLOOKUP(A549,센서로그!$A$2:$C$13,3,FALSE),MiniCase_Data!H549)</x:f>
        <x:v>29.71</x:v>
      </x:c>
      <x:c r="E549" t="n">
        <x:f>IF(AND(MiniCase_Data!C549="야간",MiniCase_Data!F549="M03"),1,0)</x:f>
        <x:v>1</x:v>
      </x:c>
      <x:c r="F549" t="n">
        <x:f>IF(C549="밖",1,0)</x:f>
        <x:v>0</x:v>
      </x:c>
      <x:c r="G549" t="n">
        <x:f>IF(OR(F549=1,E549=1),1,0)</x:f>
        <x:v>1</x:v>
      </x:c>
      <x:c r="H549" t="str">
        <x:f>IF(B549=1,IF(F549=1,"TP","FN"),IF(F549=1,"FP","TN"))</x:f>
        <x:v>TN</x:v>
      </x:c>
      <x:c r="I549" t="str">
        <x:f>IF(B549=1,IF(G549=1,"TP","FN"),IF(G549=1,"FP","TN"))</x:f>
        <x:v>FP</x:v>
      </x:c>
    </x:row>
    <x:row r="550">
      <x:c r="A550" t="str">
        <x:f>MiniCase_Data!A550</x:f>
        <x:v>R00549</x:v>
      </x:c>
      <x:c r="B550" t="n">
        <x:f>IF(MiniCase_Data!O550="불합격",1,0)</x:f>
        <x:v>0</x:v>
      </x:c>
      <x:c r="C550" t="str">
        <x:f>IF(ISBLANK(MiniCase_Data!H550),"missing",IF(OR(MiniCase_Data!H550&lt;27,MiniCase_Data!H550&gt;33),"밖","안"))</x:f>
        <x:v>안</x:v>
      </x:c>
      <x:c r="D550" t="n">
        <x:f>IF(ISBLANK(MiniCase_Data!H550),VLOOKUP(A550,센서로그!$A$2:$C$13,3,FALSE),MiniCase_Data!H550)</x:f>
        <x:v>29.99</x:v>
      </x:c>
      <x:c r="E550" t="n">
        <x:f>IF(AND(MiniCase_Data!C550="야간",MiniCase_Data!F550="M03"),1,0)</x:f>
        <x:v>0</x:v>
      </x:c>
      <x:c r="F550" t="n">
        <x:f>IF(C550="밖",1,0)</x:f>
        <x:v>0</x:v>
      </x:c>
      <x:c r="G550" t="n">
        <x:f>IF(OR(F550=1,E550=1),1,0)</x:f>
        <x:v>0</x:v>
      </x:c>
      <x:c r="H550" t="str">
        <x:f>IF(B550=1,IF(F550=1,"TP","FN"),IF(F550=1,"FP","TN"))</x:f>
        <x:v>TN</x:v>
      </x:c>
      <x:c r="I550" t="str">
        <x:f>IF(B550=1,IF(G550=1,"TP","FN"),IF(G550=1,"FP","TN"))</x:f>
        <x:v>TN</x:v>
      </x:c>
    </x:row>
    <x:row r="551">
      <x:c r="A551" t="str">
        <x:f>MiniCase_Data!A551</x:f>
        <x:v>R00550</x:v>
      </x:c>
      <x:c r="B551" t="n">
        <x:f>IF(MiniCase_Data!O551="불합격",1,0)</x:f>
        <x:v>0</x:v>
      </x:c>
      <x:c r="C551" t="str">
        <x:f>IF(ISBLANK(MiniCase_Data!H551),"missing",IF(OR(MiniCase_Data!H551&lt;27,MiniCase_Data!H551&gt;33),"밖","안"))</x:f>
        <x:v>안</x:v>
      </x:c>
      <x:c r="D551" t="n">
        <x:f>IF(ISBLANK(MiniCase_Data!H551),VLOOKUP(A551,센서로그!$A$2:$C$13,3,FALSE),MiniCase_Data!H551)</x:f>
        <x:v>29.94</x:v>
      </x:c>
      <x:c r="E551" t="n">
        <x:f>IF(AND(MiniCase_Data!C551="야간",MiniCase_Data!F551="M03"),1,0)</x:f>
        <x:v>0</x:v>
      </x:c>
      <x:c r="F551" t="n">
        <x:f>IF(C551="밖",1,0)</x:f>
        <x:v>0</x:v>
      </x:c>
      <x:c r="G551" t="n">
        <x:f>IF(OR(F551=1,E551=1),1,0)</x:f>
        <x:v>0</x:v>
      </x:c>
      <x:c r="H551" t="str">
        <x:f>IF(B551=1,IF(F551=1,"TP","FN"),IF(F551=1,"FP","TN"))</x:f>
        <x:v>TN</x:v>
      </x:c>
      <x:c r="I551" t="str">
        <x:f>IF(B551=1,IF(G551=1,"TP","FN"),IF(G551=1,"FP","TN"))</x:f>
        <x:v>TN</x:v>
      </x:c>
    </x:row>
    <x:row r="552">
      <x:c r="A552" t="str">
        <x:f>MiniCase_Data!A552</x:f>
        <x:v>R00551</x:v>
      </x:c>
      <x:c r="B552" t="n">
        <x:f>IF(MiniCase_Data!O552="불합격",1,0)</x:f>
        <x:v>0</x:v>
      </x:c>
      <x:c r="C552" t="str">
        <x:f>IF(ISBLANK(MiniCase_Data!H552),"missing",IF(OR(MiniCase_Data!H552&lt;27,MiniCase_Data!H552&gt;33),"밖","안"))</x:f>
        <x:v>안</x:v>
      </x:c>
      <x:c r="D552" t="n">
        <x:f>IF(ISBLANK(MiniCase_Data!H552),VLOOKUP(A552,센서로그!$A$2:$C$13,3,FALSE),MiniCase_Data!H552)</x:f>
        <x:v>32.27</x:v>
      </x:c>
      <x:c r="E552" t="n">
        <x:f>IF(AND(MiniCase_Data!C552="야간",MiniCase_Data!F552="M03"),1,0)</x:f>
        <x:v>0</x:v>
      </x:c>
      <x:c r="F552" t="n">
        <x:f>IF(C552="밖",1,0)</x:f>
        <x:v>0</x:v>
      </x:c>
      <x:c r="G552" t="n">
        <x:f>IF(OR(F552=1,E552=1),1,0)</x:f>
        <x:v>0</x:v>
      </x:c>
      <x:c r="H552" t="str">
        <x:f>IF(B552=1,IF(F552=1,"TP","FN"),IF(F552=1,"FP","TN"))</x:f>
        <x:v>TN</x:v>
      </x:c>
      <x:c r="I552" t="str">
        <x:f>IF(B552=1,IF(G552=1,"TP","FN"),IF(G552=1,"FP","TN"))</x:f>
        <x:v>TN</x:v>
      </x:c>
    </x:row>
    <x:row r="553">
      <x:c r="A553" t="str">
        <x:f>MiniCase_Data!A553</x:f>
        <x:v>R00552</x:v>
      </x:c>
      <x:c r="B553" t="n">
        <x:f>IF(MiniCase_Data!O553="불합격",1,0)</x:f>
        <x:v>0</x:v>
      </x:c>
      <x:c r="C553" t="str">
        <x:f>IF(ISBLANK(MiniCase_Data!H553),"missing",IF(OR(MiniCase_Data!H553&lt;27,MiniCase_Data!H553&gt;33),"밖","안"))</x:f>
        <x:v>안</x:v>
      </x:c>
      <x:c r="D553" t="n">
        <x:f>IF(ISBLANK(MiniCase_Data!H553),VLOOKUP(A553,센서로그!$A$2:$C$13,3,FALSE),MiniCase_Data!H553)</x:f>
        <x:v>27.6</x:v>
      </x:c>
      <x:c r="E553" t="n">
        <x:f>IF(AND(MiniCase_Data!C553="야간",MiniCase_Data!F553="M03"),1,0)</x:f>
        <x:v>1</x:v>
      </x:c>
      <x:c r="F553" t="n">
        <x:f>IF(C553="밖",1,0)</x:f>
        <x:v>0</x:v>
      </x:c>
      <x:c r="G553" t="n">
        <x:f>IF(OR(F553=1,E553=1),1,0)</x:f>
        <x:v>1</x:v>
      </x:c>
      <x:c r="H553" t="str">
        <x:f>IF(B553=1,IF(F553=1,"TP","FN"),IF(F553=1,"FP","TN"))</x:f>
        <x:v>TN</x:v>
      </x:c>
      <x:c r="I553" t="str">
        <x:f>IF(B553=1,IF(G553=1,"TP","FN"),IF(G553=1,"FP","TN"))</x:f>
        <x:v>FP</x:v>
      </x:c>
    </x:row>
    <x:row r="554">
      <x:c r="A554" t="str">
        <x:f>MiniCase_Data!A554</x:f>
        <x:v>R00553</x:v>
      </x:c>
      <x:c r="B554" t="n">
        <x:f>IF(MiniCase_Data!O554="불합격",1,0)</x:f>
        <x:v>1</x:v>
      </x:c>
      <x:c r="C554" t="str">
        <x:f>IF(ISBLANK(MiniCase_Data!H554),"missing",IF(OR(MiniCase_Data!H554&lt;27,MiniCase_Data!H554&gt;33),"밖","안"))</x:f>
        <x:v>밖</x:v>
      </x:c>
      <x:c r="D554" t="n">
        <x:f>IF(ISBLANK(MiniCase_Data!H554),VLOOKUP(A554,센서로그!$A$2:$C$13,3,FALSE),MiniCase_Data!H554)</x:f>
        <x:v>33.64</x:v>
      </x:c>
      <x:c r="E554" t="n">
        <x:f>IF(AND(MiniCase_Data!C554="야간",MiniCase_Data!F554="M03"),1,0)</x:f>
        <x:v>0</x:v>
      </x:c>
      <x:c r="F554" t="n">
        <x:f>IF(C554="밖",1,0)</x:f>
        <x:v>1</x:v>
      </x:c>
      <x:c r="G554" t="n">
        <x:f>IF(OR(F554=1,E554=1),1,0)</x:f>
        <x:v>1</x:v>
      </x:c>
      <x:c r="H554" t="str">
        <x:f>IF(B554=1,IF(F554=1,"TP","FN"),IF(F554=1,"FP","TN"))</x:f>
        <x:v>TP</x:v>
      </x:c>
      <x:c r="I554" t="str">
        <x:f>IF(B554=1,IF(G554=1,"TP","FN"),IF(G554=1,"FP","TN"))</x:f>
        <x:v>TP</x:v>
      </x:c>
    </x:row>
    <x:row r="555">
      <x:c r="A555" t="str">
        <x:f>MiniCase_Data!A555</x:f>
        <x:v>R00554</x:v>
      </x:c>
      <x:c r="B555" t="n">
        <x:f>IF(MiniCase_Data!O555="불합격",1,0)</x:f>
        <x:v>0</x:v>
      </x:c>
      <x:c r="C555" t="str">
        <x:f>IF(ISBLANK(MiniCase_Data!H555),"missing",IF(OR(MiniCase_Data!H555&lt;27,MiniCase_Data!H555&gt;33),"밖","안"))</x:f>
        <x:v>안</x:v>
      </x:c>
      <x:c r="D555" t="n">
        <x:f>IF(ISBLANK(MiniCase_Data!H555),VLOOKUP(A555,센서로그!$A$2:$C$13,3,FALSE),MiniCase_Data!H555)</x:f>
        <x:v>32.01</x:v>
      </x:c>
      <x:c r="E555" t="n">
        <x:f>IF(AND(MiniCase_Data!C555="야간",MiniCase_Data!F555="M03"),1,0)</x:f>
        <x:v>0</x:v>
      </x:c>
      <x:c r="F555" t="n">
        <x:f>IF(C555="밖",1,0)</x:f>
        <x:v>0</x:v>
      </x:c>
      <x:c r="G555" t="n">
        <x:f>IF(OR(F555=1,E555=1),1,0)</x:f>
        <x:v>0</x:v>
      </x:c>
      <x:c r="H555" t="str">
        <x:f>IF(B555=1,IF(F555=1,"TP","FN"),IF(F555=1,"FP","TN"))</x:f>
        <x:v>TN</x:v>
      </x:c>
      <x:c r="I555" t="str">
        <x:f>IF(B555=1,IF(G555=1,"TP","FN"),IF(G555=1,"FP","TN"))</x:f>
        <x:v>TN</x:v>
      </x:c>
    </x:row>
    <x:row r="556">
      <x:c r="A556" t="str">
        <x:f>MiniCase_Data!A556</x:f>
        <x:v>R00555</x:v>
      </x:c>
      <x:c r="B556" t="n">
        <x:f>IF(MiniCase_Data!O556="불합격",1,0)</x:f>
        <x:v>0</x:v>
      </x:c>
      <x:c r="C556" t="str">
        <x:f>IF(ISBLANK(MiniCase_Data!H556),"missing",IF(OR(MiniCase_Data!H556&lt;27,MiniCase_Data!H556&gt;33),"밖","안"))</x:f>
        <x:v>안</x:v>
      </x:c>
      <x:c r="D556" t="n">
        <x:f>IF(ISBLANK(MiniCase_Data!H556),VLOOKUP(A556,센서로그!$A$2:$C$13,3,FALSE),MiniCase_Data!H556)</x:f>
        <x:v>29.2</x:v>
      </x:c>
      <x:c r="E556" t="n">
        <x:f>IF(AND(MiniCase_Data!C556="야간",MiniCase_Data!F556="M03"),1,0)</x:f>
        <x:v>0</x:v>
      </x:c>
      <x:c r="F556" t="n">
        <x:f>IF(C556="밖",1,0)</x:f>
        <x:v>0</x:v>
      </x:c>
      <x:c r="G556" t="n">
        <x:f>IF(OR(F556=1,E556=1),1,0)</x:f>
        <x:v>0</x:v>
      </x:c>
      <x:c r="H556" t="str">
        <x:f>IF(B556=1,IF(F556=1,"TP","FN"),IF(F556=1,"FP","TN"))</x:f>
        <x:v>TN</x:v>
      </x:c>
      <x:c r="I556" t="str">
        <x:f>IF(B556=1,IF(G556=1,"TP","FN"),IF(G556=1,"FP","TN"))</x:f>
        <x:v>TN</x:v>
      </x:c>
    </x:row>
    <x:row r="557">
      <x:c r="A557" t="str">
        <x:f>MiniCase_Data!A557</x:f>
        <x:v>R00556</x:v>
      </x:c>
      <x:c r="B557" t="n">
        <x:f>IF(MiniCase_Data!O557="불합격",1,0)</x:f>
        <x:v>0</x:v>
      </x:c>
      <x:c r="C557" t="str">
        <x:f>IF(ISBLANK(MiniCase_Data!H557),"missing",IF(OR(MiniCase_Data!H557&lt;27,MiniCase_Data!H557&gt;33),"밖","안"))</x:f>
        <x:v>안</x:v>
      </x:c>
      <x:c r="D557" t="n">
        <x:f>IF(ISBLANK(MiniCase_Data!H557),VLOOKUP(A557,센서로그!$A$2:$C$13,3,FALSE),MiniCase_Data!H557)</x:f>
        <x:v>32.55</x:v>
      </x:c>
      <x:c r="E557" t="n">
        <x:f>IF(AND(MiniCase_Data!C557="야간",MiniCase_Data!F557="M03"),1,0)</x:f>
        <x:v>1</x:v>
      </x:c>
      <x:c r="F557" t="n">
        <x:f>IF(C557="밖",1,0)</x:f>
        <x:v>0</x:v>
      </x:c>
      <x:c r="G557" t="n">
        <x:f>IF(OR(F557=1,E557=1),1,0)</x:f>
        <x:v>1</x:v>
      </x:c>
      <x:c r="H557" t="str">
        <x:f>IF(B557=1,IF(F557=1,"TP","FN"),IF(F557=1,"FP","TN"))</x:f>
        <x:v>TN</x:v>
      </x:c>
      <x:c r="I557" t="str">
        <x:f>IF(B557=1,IF(G557=1,"TP","FN"),IF(G557=1,"FP","TN"))</x:f>
        <x:v>FP</x:v>
      </x:c>
    </x:row>
    <x:row r="558">
      <x:c r="A558" t="str">
        <x:f>MiniCase_Data!A558</x:f>
        <x:v>R00557</x:v>
      </x:c>
      <x:c r="B558" t="n">
        <x:f>IF(MiniCase_Data!O558="불합격",1,0)</x:f>
        <x:v>0</x:v>
      </x:c>
      <x:c r="C558" t="str">
        <x:f>IF(ISBLANK(MiniCase_Data!H558),"missing",IF(OR(MiniCase_Data!H558&lt;27,MiniCase_Data!H558&gt;33),"밖","안"))</x:f>
        <x:v>밖</x:v>
      </x:c>
      <x:c r="D558" t="n">
        <x:f>IF(ISBLANK(MiniCase_Data!H558),VLOOKUP(A558,센서로그!$A$2:$C$13,3,FALSE),MiniCase_Data!H558)</x:f>
        <x:v>33.32</x:v>
      </x:c>
      <x:c r="E558" t="n">
        <x:f>IF(AND(MiniCase_Data!C558="야간",MiniCase_Data!F558="M03"),1,0)</x:f>
        <x:v>1</x:v>
      </x:c>
      <x:c r="F558" t="n">
        <x:f>IF(C558="밖",1,0)</x:f>
        <x:v>1</x:v>
      </x:c>
      <x:c r="G558" t="n">
        <x:f>IF(OR(F558=1,E558=1),1,0)</x:f>
        <x:v>1</x:v>
      </x:c>
      <x:c r="H558" t="str">
        <x:f>IF(B558=1,IF(F558=1,"TP","FN"),IF(F558=1,"FP","TN"))</x:f>
        <x:v>FP</x:v>
      </x:c>
      <x:c r="I558" t="str">
        <x:f>IF(B558=1,IF(G558=1,"TP","FN"),IF(G558=1,"FP","TN"))</x:f>
        <x:v>FP</x:v>
      </x:c>
    </x:row>
    <x:row r="559">
      <x:c r="A559" t="str">
        <x:f>MiniCase_Data!A559</x:f>
        <x:v>R00558</x:v>
      </x:c>
      <x:c r="B559" t="n">
        <x:f>IF(MiniCase_Data!O559="불합격",1,0)</x:f>
        <x:v>0</x:v>
      </x:c>
      <x:c r="C559" t="str">
        <x:f>IF(ISBLANK(MiniCase_Data!H559),"missing",IF(OR(MiniCase_Data!H559&lt;27,MiniCase_Data!H559&gt;33),"밖","안"))</x:f>
        <x:v>안</x:v>
      </x:c>
      <x:c r="D559" t="n">
        <x:f>IF(ISBLANK(MiniCase_Data!H559),VLOOKUP(A559,센서로그!$A$2:$C$13,3,FALSE),MiniCase_Data!H559)</x:f>
        <x:v>30.71</x:v>
      </x:c>
      <x:c r="E559" t="n">
        <x:f>IF(AND(MiniCase_Data!C559="야간",MiniCase_Data!F559="M03"),1,0)</x:f>
        <x:v>0</x:v>
      </x:c>
      <x:c r="F559" t="n">
        <x:f>IF(C559="밖",1,0)</x:f>
        <x:v>0</x:v>
      </x:c>
      <x:c r="G559" t="n">
        <x:f>IF(OR(F559=1,E559=1),1,0)</x:f>
        <x:v>0</x:v>
      </x:c>
      <x:c r="H559" t="str">
        <x:f>IF(B559=1,IF(F559=1,"TP","FN"),IF(F559=1,"FP","TN"))</x:f>
        <x:v>TN</x:v>
      </x:c>
      <x:c r="I559" t="str">
        <x:f>IF(B559=1,IF(G559=1,"TP","FN"),IF(G559=1,"FP","TN"))</x:f>
        <x:v>TN</x:v>
      </x:c>
    </x:row>
    <x:row r="560">
      <x:c r="A560" t="str">
        <x:f>MiniCase_Data!A560</x:f>
        <x:v>R00559</x:v>
      </x:c>
      <x:c r="B560" t="n">
        <x:f>IF(MiniCase_Data!O560="불합격",1,0)</x:f>
        <x:v>0</x:v>
      </x:c>
      <x:c r="C560" t="str">
        <x:f>IF(ISBLANK(MiniCase_Data!H560),"missing",IF(OR(MiniCase_Data!H560&lt;27,MiniCase_Data!H560&gt;33),"밖","안"))</x:f>
        <x:v>안</x:v>
      </x:c>
      <x:c r="D560" t="n">
        <x:f>IF(ISBLANK(MiniCase_Data!H560),VLOOKUP(A560,센서로그!$A$2:$C$13,3,FALSE),MiniCase_Data!H560)</x:f>
        <x:v>31.51</x:v>
      </x:c>
      <x:c r="E560" t="n">
        <x:f>IF(AND(MiniCase_Data!C560="야간",MiniCase_Data!F560="M03"),1,0)</x:f>
        <x:v>0</x:v>
      </x:c>
      <x:c r="F560" t="n">
        <x:f>IF(C560="밖",1,0)</x:f>
        <x:v>0</x:v>
      </x:c>
      <x:c r="G560" t="n">
        <x:f>IF(OR(F560=1,E560=1),1,0)</x:f>
        <x:v>0</x:v>
      </x:c>
      <x:c r="H560" t="str">
        <x:f>IF(B560=1,IF(F560=1,"TP","FN"),IF(F560=1,"FP","TN"))</x:f>
        <x:v>TN</x:v>
      </x:c>
      <x:c r="I560" t="str">
        <x:f>IF(B560=1,IF(G560=1,"TP","FN"),IF(G560=1,"FP","TN"))</x:f>
        <x:v>TN</x:v>
      </x:c>
    </x:row>
    <x:row r="561">
      <x:c r="A561" t="str">
        <x:f>MiniCase_Data!A561</x:f>
        <x:v>R00560</x:v>
      </x:c>
      <x:c r="B561" t="n">
        <x:f>IF(MiniCase_Data!O561="불합격",1,0)</x:f>
        <x:v>1</x:v>
      </x:c>
      <x:c r="C561" t="str">
        <x:f>IF(ISBLANK(MiniCase_Data!H561),"missing",IF(OR(MiniCase_Data!H561&lt;27,MiniCase_Data!H561&gt;33),"밖","안"))</x:f>
        <x:v>밖</x:v>
      </x:c>
      <x:c r="D561" t="n">
        <x:f>IF(ISBLANK(MiniCase_Data!H561),VLOOKUP(A561,센서로그!$A$2:$C$13,3,FALSE),MiniCase_Data!H561)</x:f>
        <x:v>26.12</x:v>
      </x:c>
      <x:c r="E561" t="n">
        <x:f>IF(AND(MiniCase_Data!C561="야간",MiniCase_Data!F561="M03"),1,0)</x:f>
        <x:v>0</x:v>
      </x:c>
      <x:c r="F561" t="n">
        <x:f>IF(C561="밖",1,0)</x:f>
        <x:v>1</x:v>
      </x:c>
      <x:c r="G561" t="n">
        <x:f>IF(OR(F561=1,E561=1),1,0)</x:f>
        <x:v>1</x:v>
      </x:c>
      <x:c r="H561" t="str">
        <x:f>IF(B561=1,IF(F561=1,"TP","FN"),IF(F561=1,"FP","TN"))</x:f>
        <x:v>TP</x:v>
      </x:c>
      <x:c r="I561" t="str">
        <x:f>IF(B561=1,IF(G561=1,"TP","FN"),IF(G561=1,"FP","TN"))</x:f>
        <x:v>TP</x:v>
      </x:c>
    </x:row>
    <x:row r="562">
      <x:c r="A562" t="str">
        <x:f>MiniCase_Data!A562</x:f>
        <x:v>R00561</x:v>
      </x:c>
      <x:c r="B562" t="n">
        <x:f>IF(MiniCase_Data!O562="불합격",1,0)</x:f>
        <x:v>0</x:v>
      </x:c>
      <x:c r="C562" t="str">
        <x:f>IF(ISBLANK(MiniCase_Data!H562),"missing",IF(OR(MiniCase_Data!H562&lt;27,MiniCase_Data!H562&gt;33),"밖","안"))</x:f>
        <x:v>밖</x:v>
      </x:c>
      <x:c r="D562" t="n">
        <x:f>IF(ISBLANK(MiniCase_Data!H562),VLOOKUP(A562,센서로그!$A$2:$C$13,3,FALSE),MiniCase_Data!H562)</x:f>
        <x:v>33.56</x:v>
      </x:c>
      <x:c r="E562" t="n">
        <x:f>IF(AND(MiniCase_Data!C562="야간",MiniCase_Data!F562="M03"),1,0)</x:f>
        <x:v>1</x:v>
      </x:c>
      <x:c r="F562" t="n">
        <x:f>IF(C562="밖",1,0)</x:f>
        <x:v>1</x:v>
      </x:c>
      <x:c r="G562" t="n">
        <x:f>IF(OR(F562=1,E562=1),1,0)</x:f>
        <x:v>1</x:v>
      </x:c>
      <x:c r="H562" t="str">
        <x:f>IF(B562=1,IF(F562=1,"TP","FN"),IF(F562=1,"FP","TN"))</x:f>
        <x:v>FP</x:v>
      </x:c>
      <x:c r="I562" t="str">
        <x:f>IF(B562=1,IF(G562=1,"TP","FN"),IF(G562=1,"FP","TN"))</x:f>
        <x:v>FP</x:v>
      </x:c>
    </x:row>
    <x:row r="563">
      <x:c r="A563" t="str">
        <x:f>MiniCase_Data!A563</x:f>
        <x:v>R00562</x:v>
      </x:c>
      <x:c r="B563" t="n">
        <x:f>IF(MiniCase_Data!O563="불합격",1,0)</x:f>
        <x:v>0</x:v>
      </x:c>
      <x:c r="C563" t="str">
        <x:f>IF(ISBLANK(MiniCase_Data!H563),"missing",IF(OR(MiniCase_Data!H563&lt;27,MiniCase_Data!H563&gt;33),"밖","안"))</x:f>
        <x:v>안</x:v>
      </x:c>
      <x:c r="D563" t="n">
        <x:f>IF(ISBLANK(MiniCase_Data!H563),VLOOKUP(A563,센서로그!$A$2:$C$13,3,FALSE),MiniCase_Data!H563)</x:f>
        <x:v>28.97</x:v>
      </x:c>
      <x:c r="E563" t="n">
        <x:f>IF(AND(MiniCase_Data!C563="야간",MiniCase_Data!F563="M03"),1,0)</x:f>
        <x:v>0</x:v>
      </x:c>
      <x:c r="F563" t="n">
        <x:f>IF(C563="밖",1,0)</x:f>
        <x:v>0</x:v>
      </x:c>
      <x:c r="G563" t="n">
        <x:f>IF(OR(F563=1,E563=1),1,0)</x:f>
        <x:v>0</x:v>
      </x:c>
      <x:c r="H563" t="str">
        <x:f>IF(B563=1,IF(F563=1,"TP","FN"),IF(F563=1,"FP","TN"))</x:f>
        <x:v>TN</x:v>
      </x:c>
      <x:c r="I563" t="str">
        <x:f>IF(B563=1,IF(G563=1,"TP","FN"),IF(G563=1,"FP","TN"))</x:f>
        <x:v>TN</x:v>
      </x:c>
    </x:row>
    <x:row r="564">
      <x:c r="A564" t="str">
        <x:f>MiniCase_Data!A564</x:f>
        <x:v>R00563</x:v>
      </x:c>
      <x:c r="B564" t="n">
        <x:f>IF(MiniCase_Data!O564="불합격",1,0)</x:f>
        <x:v>0</x:v>
      </x:c>
      <x:c r="C564" t="str">
        <x:f>IF(ISBLANK(MiniCase_Data!H564),"missing",IF(OR(MiniCase_Data!H564&lt;27,MiniCase_Data!H564&gt;33),"밖","안"))</x:f>
        <x:v>안</x:v>
      </x:c>
      <x:c r="D564" t="n">
        <x:f>IF(ISBLANK(MiniCase_Data!H564),VLOOKUP(A564,센서로그!$A$2:$C$13,3,FALSE),MiniCase_Data!H564)</x:f>
        <x:v>27.98</x:v>
      </x:c>
      <x:c r="E564" t="n">
        <x:f>IF(AND(MiniCase_Data!C564="야간",MiniCase_Data!F564="M03"),1,0)</x:f>
        <x:v>0</x:v>
      </x:c>
      <x:c r="F564" t="n">
        <x:f>IF(C564="밖",1,0)</x:f>
        <x:v>0</x:v>
      </x:c>
      <x:c r="G564" t="n">
        <x:f>IF(OR(F564=1,E564=1),1,0)</x:f>
        <x:v>0</x:v>
      </x:c>
      <x:c r="H564" t="str">
        <x:f>IF(B564=1,IF(F564=1,"TP","FN"),IF(F564=1,"FP","TN"))</x:f>
        <x:v>TN</x:v>
      </x:c>
      <x:c r="I564" t="str">
        <x:f>IF(B564=1,IF(G564=1,"TP","FN"),IF(G564=1,"FP","TN"))</x:f>
        <x:v>TN</x:v>
      </x:c>
    </x:row>
    <x:row r="565">
      <x:c r="A565" t="str">
        <x:f>MiniCase_Data!A565</x:f>
        <x:v>R00564</x:v>
      </x:c>
      <x:c r="B565" t="n">
        <x:f>IF(MiniCase_Data!O565="불합격",1,0)</x:f>
        <x:v>0</x:v>
      </x:c>
      <x:c r="C565" t="str">
        <x:f>IF(ISBLANK(MiniCase_Data!H565),"missing",IF(OR(MiniCase_Data!H565&lt;27,MiniCase_Data!H565&gt;33),"밖","안"))</x:f>
        <x:v>안</x:v>
      </x:c>
      <x:c r="D565" t="n">
        <x:f>IF(ISBLANK(MiniCase_Data!H565),VLOOKUP(A565,센서로그!$A$2:$C$13,3,FALSE),MiniCase_Data!H565)</x:f>
        <x:v>31.73</x:v>
      </x:c>
      <x:c r="E565" t="n">
        <x:f>IF(AND(MiniCase_Data!C565="야간",MiniCase_Data!F565="M03"),1,0)</x:f>
        <x:v>0</x:v>
      </x:c>
      <x:c r="F565" t="n">
        <x:f>IF(C565="밖",1,0)</x:f>
        <x:v>0</x:v>
      </x:c>
      <x:c r="G565" t="n">
        <x:f>IF(OR(F565=1,E565=1),1,0)</x:f>
        <x:v>0</x:v>
      </x:c>
      <x:c r="H565" t="str">
        <x:f>IF(B565=1,IF(F565=1,"TP","FN"),IF(F565=1,"FP","TN"))</x:f>
        <x:v>TN</x:v>
      </x:c>
      <x:c r="I565" t="str">
        <x:f>IF(B565=1,IF(G565=1,"TP","FN"),IF(G565=1,"FP","TN"))</x:f>
        <x:v>TN</x:v>
      </x:c>
    </x:row>
    <x:row r="566">
      <x:c r="A566" t="str">
        <x:f>MiniCase_Data!A566</x:f>
        <x:v>R00565</x:v>
      </x:c>
      <x:c r="B566" t="n">
        <x:f>IF(MiniCase_Data!O566="불합격",1,0)</x:f>
        <x:v>0</x:v>
      </x:c>
      <x:c r="C566" t="str">
        <x:f>IF(ISBLANK(MiniCase_Data!H566),"missing",IF(OR(MiniCase_Data!H566&lt;27,MiniCase_Data!H566&gt;33),"밖","안"))</x:f>
        <x:v>안</x:v>
      </x:c>
      <x:c r="D566" t="n">
        <x:f>IF(ISBLANK(MiniCase_Data!H566),VLOOKUP(A566,센서로그!$A$2:$C$13,3,FALSE),MiniCase_Data!H566)</x:f>
        <x:v>30.13</x:v>
      </x:c>
      <x:c r="E566" t="n">
        <x:f>IF(AND(MiniCase_Data!C566="야간",MiniCase_Data!F566="M03"),1,0)</x:f>
        <x:v>0</x:v>
      </x:c>
      <x:c r="F566" t="n">
        <x:f>IF(C566="밖",1,0)</x:f>
        <x:v>0</x:v>
      </x:c>
      <x:c r="G566" t="n">
        <x:f>IF(OR(F566=1,E566=1),1,0)</x:f>
        <x:v>0</x:v>
      </x:c>
      <x:c r="H566" t="str">
        <x:f>IF(B566=1,IF(F566=1,"TP","FN"),IF(F566=1,"FP","TN"))</x:f>
        <x:v>TN</x:v>
      </x:c>
      <x:c r="I566" t="str">
        <x:f>IF(B566=1,IF(G566=1,"TP","FN"),IF(G566=1,"FP","TN"))</x:f>
        <x:v>TN</x:v>
      </x:c>
    </x:row>
    <x:row r="567">
      <x:c r="A567" t="str">
        <x:f>MiniCase_Data!A567</x:f>
        <x:v>R00566</x:v>
      </x:c>
      <x:c r="B567" t="n">
        <x:f>IF(MiniCase_Data!O567="불합격",1,0)</x:f>
        <x:v>0</x:v>
      </x:c>
      <x:c r="C567" t="str">
        <x:f>IF(ISBLANK(MiniCase_Data!H567),"missing",IF(OR(MiniCase_Data!H567&lt;27,MiniCase_Data!H567&gt;33),"밖","안"))</x:f>
        <x:v>밖</x:v>
      </x:c>
      <x:c r="D567" t="n">
        <x:f>IF(ISBLANK(MiniCase_Data!H567),VLOOKUP(A567,센서로그!$A$2:$C$13,3,FALSE),MiniCase_Data!H567)</x:f>
        <x:v>26.47</x:v>
      </x:c>
      <x:c r="E567" t="n">
        <x:f>IF(AND(MiniCase_Data!C567="야간",MiniCase_Data!F567="M03"),1,0)</x:f>
        <x:v>1</x:v>
      </x:c>
      <x:c r="F567" t="n">
        <x:f>IF(C567="밖",1,0)</x:f>
        <x:v>1</x:v>
      </x:c>
      <x:c r="G567" t="n">
        <x:f>IF(OR(F567=1,E567=1),1,0)</x:f>
        <x:v>1</x:v>
      </x:c>
      <x:c r="H567" t="str">
        <x:f>IF(B567=1,IF(F567=1,"TP","FN"),IF(F567=1,"FP","TN"))</x:f>
        <x:v>FP</x:v>
      </x:c>
      <x:c r="I567" t="str">
        <x:f>IF(B567=1,IF(G567=1,"TP","FN"),IF(G567=1,"FP","TN"))</x:f>
        <x:v>FP</x:v>
      </x:c>
    </x:row>
    <x:row r="568">
      <x:c r="A568" t="str">
        <x:f>MiniCase_Data!A568</x:f>
        <x:v>R00567</x:v>
      </x:c>
      <x:c r="B568" t="n">
        <x:f>IF(MiniCase_Data!O568="불합격",1,0)</x:f>
        <x:v>0</x:v>
      </x:c>
      <x:c r="C568" t="str">
        <x:f>IF(ISBLANK(MiniCase_Data!H568),"missing",IF(OR(MiniCase_Data!H568&lt;27,MiniCase_Data!H568&gt;33),"밖","안"))</x:f>
        <x:v>안</x:v>
      </x:c>
      <x:c r="D568" t="n">
        <x:f>IF(ISBLANK(MiniCase_Data!H568),VLOOKUP(A568,센서로그!$A$2:$C$13,3,FALSE),MiniCase_Data!H568)</x:f>
        <x:v>27.31</x:v>
      </x:c>
      <x:c r="E568" t="n">
        <x:f>IF(AND(MiniCase_Data!C568="야간",MiniCase_Data!F568="M03"),1,0)</x:f>
        <x:v>0</x:v>
      </x:c>
      <x:c r="F568" t="n">
        <x:f>IF(C568="밖",1,0)</x:f>
        <x:v>0</x:v>
      </x:c>
      <x:c r="G568" t="n">
        <x:f>IF(OR(F568=1,E568=1),1,0)</x:f>
        <x:v>0</x:v>
      </x:c>
      <x:c r="H568" t="str">
        <x:f>IF(B568=1,IF(F568=1,"TP","FN"),IF(F568=1,"FP","TN"))</x:f>
        <x:v>TN</x:v>
      </x:c>
      <x:c r="I568" t="str">
        <x:f>IF(B568=1,IF(G568=1,"TP","FN"),IF(G568=1,"FP","TN"))</x:f>
        <x:v>TN</x:v>
      </x:c>
    </x:row>
    <x:row r="569">
      <x:c r="A569" t="str">
        <x:f>MiniCase_Data!A569</x:f>
        <x:v>R00568</x:v>
      </x:c>
      <x:c r="B569" t="n">
        <x:f>IF(MiniCase_Data!O569="불합격",1,0)</x:f>
        <x:v>0</x:v>
      </x:c>
      <x:c r="C569" t="str">
        <x:f>IF(ISBLANK(MiniCase_Data!H569),"missing",IF(OR(MiniCase_Data!H569&lt;27,MiniCase_Data!H569&gt;33),"밖","안"))</x:f>
        <x:v>안</x:v>
      </x:c>
      <x:c r="D569" t="n">
        <x:f>IF(ISBLANK(MiniCase_Data!H569),VLOOKUP(A569,센서로그!$A$2:$C$13,3,FALSE),MiniCase_Data!H569)</x:f>
        <x:v>32.32</x:v>
      </x:c>
      <x:c r="E569" t="n">
        <x:f>IF(AND(MiniCase_Data!C569="야간",MiniCase_Data!F569="M03"),1,0)</x:f>
        <x:v>0</x:v>
      </x:c>
      <x:c r="F569" t="n">
        <x:f>IF(C569="밖",1,0)</x:f>
        <x:v>0</x:v>
      </x:c>
      <x:c r="G569" t="n">
        <x:f>IF(OR(F569=1,E569=1),1,0)</x:f>
        <x:v>0</x:v>
      </x:c>
      <x:c r="H569" t="str">
        <x:f>IF(B569=1,IF(F569=1,"TP","FN"),IF(F569=1,"FP","TN"))</x:f>
        <x:v>TN</x:v>
      </x:c>
      <x:c r="I569" t="str">
        <x:f>IF(B569=1,IF(G569=1,"TP","FN"),IF(G569=1,"FP","TN"))</x:f>
        <x:v>TN</x:v>
      </x:c>
    </x:row>
    <x:row r="570">
      <x:c r="A570" t="str">
        <x:f>MiniCase_Data!A570</x:f>
        <x:v>R00569</x:v>
      </x:c>
      <x:c r="B570" t="n">
        <x:f>IF(MiniCase_Data!O570="불합격",1,0)</x:f>
        <x:v>0</x:v>
      </x:c>
      <x:c r="C570" t="str">
        <x:f>IF(ISBLANK(MiniCase_Data!H570),"missing",IF(OR(MiniCase_Data!H570&lt;27,MiniCase_Data!H570&gt;33),"밖","안"))</x:f>
        <x:v>밖</x:v>
      </x:c>
      <x:c r="D570" t="n">
        <x:f>IF(ISBLANK(MiniCase_Data!H570),VLOOKUP(A570,센서로그!$A$2:$C$13,3,FALSE),MiniCase_Data!H570)</x:f>
        <x:v>33.64</x:v>
      </x:c>
      <x:c r="E570" t="n">
        <x:f>IF(AND(MiniCase_Data!C570="야간",MiniCase_Data!F570="M03"),1,0)</x:f>
        <x:v>1</x:v>
      </x:c>
      <x:c r="F570" t="n">
        <x:f>IF(C570="밖",1,0)</x:f>
        <x:v>1</x:v>
      </x:c>
      <x:c r="G570" t="n">
        <x:f>IF(OR(F570=1,E570=1),1,0)</x:f>
        <x:v>1</x:v>
      </x:c>
      <x:c r="H570" t="str">
        <x:f>IF(B570=1,IF(F570=1,"TP","FN"),IF(F570=1,"FP","TN"))</x:f>
        <x:v>FP</x:v>
      </x:c>
      <x:c r="I570" t="str">
        <x:f>IF(B570=1,IF(G570=1,"TP","FN"),IF(G570=1,"FP","TN"))</x:f>
        <x:v>FP</x:v>
      </x:c>
    </x:row>
    <x:row r="571">
      <x:c r="A571" t="str">
        <x:f>MiniCase_Data!A571</x:f>
        <x:v>R00570</x:v>
      </x:c>
      <x:c r="B571" t="n">
        <x:f>IF(MiniCase_Data!O571="불합격",1,0)</x:f>
        <x:v>0</x:v>
      </x:c>
      <x:c r="C571" t="str">
        <x:f>IF(ISBLANK(MiniCase_Data!H571),"missing",IF(OR(MiniCase_Data!H571&lt;27,MiniCase_Data!H571&gt;33),"밖","안"))</x:f>
        <x:v>안</x:v>
      </x:c>
      <x:c r="D571" t="n">
        <x:f>IF(ISBLANK(MiniCase_Data!H571),VLOOKUP(A571,센서로그!$A$2:$C$13,3,FALSE),MiniCase_Data!H571)</x:f>
        <x:v>29.71</x:v>
      </x:c>
      <x:c r="E571" t="n">
        <x:f>IF(AND(MiniCase_Data!C571="야간",MiniCase_Data!F571="M03"),1,0)</x:f>
        <x:v>0</x:v>
      </x:c>
      <x:c r="F571" t="n">
        <x:f>IF(C571="밖",1,0)</x:f>
        <x:v>0</x:v>
      </x:c>
      <x:c r="G571" t="n">
        <x:f>IF(OR(F571=1,E571=1),1,0)</x:f>
        <x:v>0</x:v>
      </x:c>
      <x:c r="H571" t="str">
        <x:f>IF(B571=1,IF(F571=1,"TP","FN"),IF(F571=1,"FP","TN"))</x:f>
        <x:v>TN</x:v>
      </x:c>
      <x:c r="I571" t="str">
        <x:f>IF(B571=1,IF(G571=1,"TP","FN"),IF(G571=1,"FP","TN"))</x:f>
        <x:v>TN</x:v>
      </x:c>
    </x:row>
    <x:row r="572">
      <x:c r="A572" t="str">
        <x:f>MiniCase_Data!A572</x:f>
        <x:v>R00571</x:v>
      </x:c>
      <x:c r="B572" t="n">
        <x:f>IF(MiniCase_Data!O572="불합격",1,0)</x:f>
        <x:v>0</x:v>
      </x:c>
      <x:c r="C572" t="str">
        <x:f>IF(ISBLANK(MiniCase_Data!H572),"missing",IF(OR(MiniCase_Data!H572&lt;27,MiniCase_Data!H572&gt;33),"밖","안"))</x:f>
        <x:v>안</x:v>
      </x:c>
      <x:c r="D572" t="n">
        <x:f>IF(ISBLANK(MiniCase_Data!H572),VLOOKUP(A572,센서로그!$A$2:$C$13,3,FALSE),MiniCase_Data!H572)</x:f>
        <x:v>31.78</x:v>
      </x:c>
      <x:c r="E572" t="n">
        <x:f>IF(AND(MiniCase_Data!C572="야간",MiniCase_Data!F572="M03"),1,0)</x:f>
        <x:v>0</x:v>
      </x:c>
      <x:c r="F572" t="n">
        <x:f>IF(C572="밖",1,0)</x:f>
        <x:v>0</x:v>
      </x:c>
      <x:c r="G572" t="n">
        <x:f>IF(OR(F572=1,E572=1),1,0)</x:f>
        <x:v>0</x:v>
      </x:c>
      <x:c r="H572" t="str">
        <x:f>IF(B572=1,IF(F572=1,"TP","FN"),IF(F572=1,"FP","TN"))</x:f>
        <x:v>TN</x:v>
      </x:c>
      <x:c r="I572" t="str">
        <x:f>IF(B572=1,IF(G572=1,"TP","FN"),IF(G572=1,"FP","TN"))</x:f>
        <x:v>TN</x:v>
      </x:c>
    </x:row>
    <x:row r="573">
      <x:c r="A573" t="str">
        <x:f>MiniCase_Data!A573</x:f>
        <x:v>R00572</x:v>
      </x:c>
      <x:c r="B573" t="n">
        <x:f>IF(MiniCase_Data!O573="불합격",1,0)</x:f>
        <x:v>1</x:v>
      </x:c>
      <x:c r="C573" t="str">
        <x:f>IF(ISBLANK(MiniCase_Data!H573),"missing",IF(OR(MiniCase_Data!H573&lt;27,MiniCase_Data!H573&gt;33),"밖","안"))</x:f>
        <x:v>밖</x:v>
      </x:c>
      <x:c r="D573" t="n">
        <x:f>IF(ISBLANK(MiniCase_Data!H573),VLOOKUP(A573,센서로그!$A$2:$C$13,3,FALSE),MiniCase_Data!H573)</x:f>
        <x:v>26.44</x:v>
      </x:c>
      <x:c r="E573" t="n">
        <x:f>IF(AND(MiniCase_Data!C573="야간",MiniCase_Data!F573="M03"),1,0)</x:f>
        <x:v>0</x:v>
      </x:c>
      <x:c r="F573" t="n">
        <x:f>IF(C573="밖",1,0)</x:f>
        <x:v>1</x:v>
      </x:c>
      <x:c r="G573" t="n">
        <x:f>IF(OR(F573=1,E573=1),1,0)</x:f>
        <x:v>1</x:v>
      </x:c>
      <x:c r="H573" t="str">
        <x:f>IF(B573=1,IF(F573=1,"TP","FN"),IF(F573=1,"FP","TN"))</x:f>
        <x:v>TP</x:v>
      </x:c>
      <x:c r="I573" t="str">
        <x:f>IF(B573=1,IF(G573=1,"TP","FN"),IF(G573=1,"FP","TN"))</x:f>
        <x:v>TP</x:v>
      </x:c>
    </x:row>
    <x:row r="574">
      <x:c r="A574" t="str">
        <x:f>MiniCase_Data!A574</x:f>
        <x:v>R00573</x:v>
      </x:c>
      <x:c r="B574" t="n">
        <x:f>IF(MiniCase_Data!O574="불합격",1,0)</x:f>
        <x:v>0</x:v>
      </x:c>
      <x:c r="C574" t="str">
        <x:f>IF(ISBLANK(MiniCase_Data!H574),"missing",IF(OR(MiniCase_Data!H574&lt;27,MiniCase_Data!H574&gt;33),"밖","안"))</x:f>
        <x:v>안</x:v>
      </x:c>
      <x:c r="D574" t="n">
        <x:f>IF(ISBLANK(MiniCase_Data!H574),VLOOKUP(A574,센서로그!$A$2:$C$13,3,FALSE),MiniCase_Data!H574)</x:f>
        <x:v>27.72</x:v>
      </x:c>
      <x:c r="E574" t="n">
        <x:f>IF(AND(MiniCase_Data!C574="야간",MiniCase_Data!F574="M03"),1,0)</x:f>
        <x:v>0</x:v>
      </x:c>
      <x:c r="F574" t="n">
        <x:f>IF(C574="밖",1,0)</x:f>
        <x:v>0</x:v>
      </x:c>
      <x:c r="G574" t="n">
        <x:f>IF(OR(F574=1,E574=1),1,0)</x:f>
        <x:v>0</x:v>
      </x:c>
      <x:c r="H574" t="str">
        <x:f>IF(B574=1,IF(F574=1,"TP","FN"),IF(F574=1,"FP","TN"))</x:f>
        <x:v>TN</x:v>
      </x:c>
      <x:c r="I574" t="str">
        <x:f>IF(B574=1,IF(G574=1,"TP","FN"),IF(G574=1,"FP","TN"))</x:f>
        <x:v>TN</x:v>
      </x:c>
    </x:row>
    <x:row r="575">
      <x:c r="A575" t="str">
        <x:f>MiniCase_Data!A575</x:f>
        <x:v>R00574</x:v>
      </x:c>
      <x:c r="B575" t="n">
        <x:f>IF(MiniCase_Data!O575="불합격",1,0)</x:f>
        <x:v>0</x:v>
      </x:c>
      <x:c r="C575" t="str">
        <x:f>IF(ISBLANK(MiniCase_Data!H575),"missing",IF(OR(MiniCase_Data!H575&lt;27,MiniCase_Data!H575&gt;33),"밖","안"))</x:f>
        <x:v>안</x:v>
      </x:c>
      <x:c r="D575" t="n">
        <x:f>IF(ISBLANK(MiniCase_Data!H575),VLOOKUP(A575,센서로그!$A$2:$C$13,3,FALSE),MiniCase_Data!H575)</x:f>
        <x:v>27.24</x:v>
      </x:c>
      <x:c r="E575" t="n">
        <x:f>IF(AND(MiniCase_Data!C575="야간",MiniCase_Data!F575="M03"),1,0)</x:f>
        <x:v>0</x:v>
      </x:c>
      <x:c r="F575" t="n">
        <x:f>IF(C575="밖",1,0)</x:f>
        <x:v>0</x:v>
      </x:c>
      <x:c r="G575" t="n">
        <x:f>IF(OR(F575=1,E575=1),1,0)</x:f>
        <x:v>0</x:v>
      </x:c>
      <x:c r="H575" t="str">
        <x:f>IF(B575=1,IF(F575=1,"TP","FN"),IF(F575=1,"FP","TN"))</x:f>
        <x:v>TN</x:v>
      </x:c>
      <x:c r="I575" t="str">
        <x:f>IF(B575=1,IF(G575=1,"TP","FN"),IF(G575=1,"FP","TN"))</x:f>
        <x:v>TN</x:v>
      </x:c>
    </x:row>
    <x:row r="576">
      <x:c r="A576" t="str">
        <x:f>MiniCase_Data!A576</x:f>
        <x:v>R00575</x:v>
      </x:c>
      <x:c r="B576" t="n">
        <x:f>IF(MiniCase_Data!O576="불합격",1,0)</x:f>
        <x:v>0</x:v>
      </x:c>
      <x:c r="C576" t="str">
        <x:f>IF(ISBLANK(MiniCase_Data!H576),"missing",IF(OR(MiniCase_Data!H576&lt;27,MiniCase_Data!H576&gt;33),"밖","안"))</x:f>
        <x:v>안</x:v>
      </x:c>
      <x:c r="D576" t="n">
        <x:f>IF(ISBLANK(MiniCase_Data!H576),VLOOKUP(A576,센서로그!$A$2:$C$13,3,FALSE),MiniCase_Data!H576)</x:f>
        <x:v>28.03</x:v>
      </x:c>
      <x:c r="E576" t="n">
        <x:f>IF(AND(MiniCase_Data!C576="야간",MiniCase_Data!F576="M03"),1,0)</x:f>
        <x:v>0</x:v>
      </x:c>
      <x:c r="F576" t="n">
        <x:f>IF(C576="밖",1,0)</x:f>
        <x:v>0</x:v>
      </x:c>
      <x:c r="G576" t="n">
        <x:f>IF(OR(F576=1,E576=1),1,0)</x:f>
        <x:v>0</x:v>
      </x:c>
      <x:c r="H576" t="str">
        <x:f>IF(B576=1,IF(F576=1,"TP","FN"),IF(F576=1,"FP","TN"))</x:f>
        <x:v>TN</x:v>
      </x:c>
      <x:c r="I576" t="str">
        <x:f>IF(B576=1,IF(G576=1,"TP","FN"),IF(G576=1,"FP","TN"))</x:f>
        <x:v>TN</x:v>
      </x:c>
    </x:row>
    <x:row r="577">
      <x:c r="A577" t="str">
        <x:f>MiniCase_Data!A577</x:f>
        <x:v>R00576</x:v>
      </x:c>
      <x:c r="B577" t="n">
        <x:f>IF(MiniCase_Data!O577="불합격",1,0)</x:f>
        <x:v>0</x:v>
      </x:c>
      <x:c r="C577" t="str">
        <x:f>IF(ISBLANK(MiniCase_Data!H577),"missing",IF(OR(MiniCase_Data!H577&lt;27,MiniCase_Data!H577&gt;33),"밖","안"))</x:f>
        <x:v>안</x:v>
      </x:c>
      <x:c r="D577" t="n">
        <x:f>IF(ISBLANK(MiniCase_Data!H577),VLOOKUP(A577,센서로그!$A$2:$C$13,3,FALSE),MiniCase_Data!H577)</x:f>
        <x:v>31.43</x:v>
      </x:c>
      <x:c r="E577" t="n">
        <x:f>IF(AND(MiniCase_Data!C577="야간",MiniCase_Data!F577="M03"),1,0)</x:f>
        <x:v>0</x:v>
      </x:c>
      <x:c r="F577" t="n">
        <x:f>IF(C577="밖",1,0)</x:f>
        <x:v>0</x:v>
      </x:c>
      <x:c r="G577" t="n">
        <x:f>IF(OR(F577=1,E577=1),1,0)</x:f>
        <x:v>0</x:v>
      </x:c>
      <x:c r="H577" t="str">
        <x:f>IF(B577=1,IF(F577=1,"TP","FN"),IF(F577=1,"FP","TN"))</x:f>
        <x:v>TN</x:v>
      </x:c>
      <x:c r="I577" t="str">
        <x:f>IF(B577=1,IF(G577=1,"TP","FN"),IF(G577=1,"FP","TN"))</x:f>
        <x:v>TN</x:v>
      </x:c>
    </x:row>
    <x:row r="578">
      <x:c r="A578" t="str">
        <x:f>MiniCase_Data!A578</x:f>
        <x:v>R00577</x:v>
      </x:c>
      <x:c r="B578" t="n">
        <x:f>IF(MiniCase_Data!O578="불합격",1,0)</x:f>
        <x:v>0</x:v>
      </x:c>
      <x:c r="C578" t="str">
        <x:f>IF(ISBLANK(MiniCase_Data!H578),"missing",IF(OR(MiniCase_Data!H578&lt;27,MiniCase_Data!H578&gt;33),"밖","안"))</x:f>
        <x:v>안</x:v>
      </x:c>
      <x:c r="D578" t="n">
        <x:f>IF(ISBLANK(MiniCase_Data!H578),VLOOKUP(A578,센서로그!$A$2:$C$13,3,FALSE),MiniCase_Data!H578)</x:f>
        <x:v>32.52</x:v>
      </x:c>
      <x:c r="E578" t="n">
        <x:f>IF(AND(MiniCase_Data!C578="야간",MiniCase_Data!F578="M03"),1,0)</x:f>
        <x:v>0</x:v>
      </x:c>
      <x:c r="F578" t="n">
        <x:f>IF(C578="밖",1,0)</x:f>
        <x:v>0</x:v>
      </x:c>
      <x:c r="G578" t="n">
        <x:f>IF(OR(F578=1,E578=1),1,0)</x:f>
        <x:v>0</x:v>
      </x:c>
      <x:c r="H578" t="str">
        <x:f>IF(B578=1,IF(F578=1,"TP","FN"),IF(F578=1,"FP","TN"))</x:f>
        <x:v>TN</x:v>
      </x:c>
      <x:c r="I578" t="str">
        <x:f>IF(B578=1,IF(G578=1,"TP","FN"),IF(G578=1,"FP","TN"))</x:f>
        <x:v>TN</x:v>
      </x:c>
    </x:row>
    <x:row r="579">
      <x:c r="A579" t="str">
        <x:f>MiniCase_Data!A579</x:f>
        <x:v>R00578</x:v>
      </x:c>
      <x:c r="B579" t="n">
        <x:f>IF(MiniCase_Data!O579="불합격",1,0)</x:f>
        <x:v>0</x:v>
      </x:c>
      <x:c r="C579" t="str">
        <x:f>IF(ISBLANK(MiniCase_Data!H579),"missing",IF(OR(MiniCase_Data!H579&lt;27,MiniCase_Data!H579&gt;33),"밖","안"))</x:f>
        <x:v>안</x:v>
      </x:c>
      <x:c r="D579" t="n">
        <x:f>IF(ISBLANK(MiniCase_Data!H579),VLOOKUP(A579,센서로그!$A$2:$C$13,3,FALSE),MiniCase_Data!H579)</x:f>
        <x:v>32.8</x:v>
      </x:c>
      <x:c r="E579" t="n">
        <x:f>IF(AND(MiniCase_Data!C579="야간",MiniCase_Data!F579="M03"),1,0)</x:f>
        <x:v>0</x:v>
      </x:c>
      <x:c r="F579" t="n">
        <x:f>IF(C579="밖",1,0)</x:f>
        <x:v>0</x:v>
      </x:c>
      <x:c r="G579" t="n">
        <x:f>IF(OR(F579=1,E579=1),1,0)</x:f>
        <x:v>0</x:v>
      </x:c>
      <x:c r="H579" t="str">
        <x:f>IF(B579=1,IF(F579=1,"TP","FN"),IF(F579=1,"FP","TN"))</x:f>
        <x:v>TN</x:v>
      </x:c>
      <x:c r="I579" t="str">
        <x:f>IF(B579=1,IF(G579=1,"TP","FN"),IF(G579=1,"FP","TN"))</x:f>
        <x:v>TN</x:v>
      </x:c>
    </x:row>
    <x:row r="580">
      <x:c r="A580" t="str">
        <x:f>MiniCase_Data!A580</x:f>
        <x:v>R00579</x:v>
      </x:c>
      <x:c r="B580" t="n">
        <x:f>IF(MiniCase_Data!O580="불합격",1,0)</x:f>
        <x:v>0</x:v>
      </x:c>
      <x:c r="C580" t="str">
        <x:f>IF(ISBLANK(MiniCase_Data!H580),"missing",IF(OR(MiniCase_Data!H580&lt;27,MiniCase_Data!H580&gt;33),"밖","안"))</x:f>
        <x:v>안</x:v>
      </x:c>
      <x:c r="D580" t="n">
        <x:f>IF(ISBLANK(MiniCase_Data!H580),VLOOKUP(A580,센서로그!$A$2:$C$13,3,FALSE),MiniCase_Data!H580)</x:f>
        <x:v>28.29</x:v>
      </x:c>
      <x:c r="E580" t="n">
        <x:f>IF(AND(MiniCase_Data!C580="야간",MiniCase_Data!F580="M03"),1,0)</x:f>
        <x:v>0</x:v>
      </x:c>
      <x:c r="F580" t="n">
        <x:f>IF(C580="밖",1,0)</x:f>
        <x:v>0</x:v>
      </x:c>
      <x:c r="G580" t="n">
        <x:f>IF(OR(F580=1,E580=1),1,0)</x:f>
        <x:v>0</x:v>
      </x:c>
      <x:c r="H580" t="str">
        <x:f>IF(B580=1,IF(F580=1,"TP","FN"),IF(F580=1,"FP","TN"))</x:f>
        <x:v>TN</x:v>
      </x:c>
      <x:c r="I580" t="str">
        <x:f>IF(B580=1,IF(G580=1,"TP","FN"),IF(G580=1,"FP","TN"))</x:f>
        <x:v>TN</x:v>
      </x:c>
    </x:row>
    <x:row r="581">
      <x:c r="A581" t="str">
        <x:f>MiniCase_Data!A581</x:f>
        <x:v>R00580</x:v>
      </x:c>
      <x:c r="B581" t="n">
        <x:f>IF(MiniCase_Data!O581="불합격",1,0)</x:f>
        <x:v>0</x:v>
      </x:c>
      <x:c r="C581" t="str">
        <x:f>IF(ISBLANK(MiniCase_Data!H581),"missing",IF(OR(MiniCase_Data!H581&lt;27,MiniCase_Data!H581&gt;33),"밖","안"))</x:f>
        <x:v>안</x:v>
      </x:c>
      <x:c r="D581" t="n">
        <x:f>IF(ISBLANK(MiniCase_Data!H581),VLOOKUP(A581,센서로그!$A$2:$C$13,3,FALSE),MiniCase_Data!H581)</x:f>
        <x:v>31.61</x:v>
      </x:c>
      <x:c r="E581" t="n">
        <x:f>IF(AND(MiniCase_Data!C581="야간",MiniCase_Data!F581="M03"),1,0)</x:f>
        <x:v>0</x:v>
      </x:c>
      <x:c r="F581" t="n">
        <x:f>IF(C581="밖",1,0)</x:f>
        <x:v>0</x:v>
      </x:c>
      <x:c r="G581" t="n">
        <x:f>IF(OR(F581=1,E581=1),1,0)</x:f>
        <x:v>0</x:v>
      </x:c>
      <x:c r="H581" t="str">
        <x:f>IF(B581=1,IF(F581=1,"TP","FN"),IF(F581=1,"FP","TN"))</x:f>
        <x:v>TN</x:v>
      </x:c>
      <x:c r="I581" t="str">
        <x:f>IF(B581=1,IF(G581=1,"TP","FN"),IF(G581=1,"FP","TN"))</x:f>
        <x:v>TN</x:v>
      </x:c>
    </x:row>
    <x:row r="582">
      <x:c r="A582" t="str">
        <x:f>MiniCase_Data!A582</x:f>
        <x:v>R00581</x:v>
      </x:c>
      <x:c r="B582" t="n">
        <x:f>IF(MiniCase_Data!O582="불합격",1,0)</x:f>
        <x:v>0</x:v>
      </x:c>
      <x:c r="C582" t="str">
        <x:f>IF(ISBLANK(MiniCase_Data!H582),"missing",IF(OR(MiniCase_Data!H582&lt;27,MiniCase_Data!H582&gt;33),"밖","안"))</x:f>
        <x:v>안</x:v>
      </x:c>
      <x:c r="D582" t="n">
        <x:f>IF(ISBLANK(MiniCase_Data!H582),VLOOKUP(A582,센서로그!$A$2:$C$13,3,FALSE),MiniCase_Data!H582)</x:f>
        <x:v>27.88</x:v>
      </x:c>
      <x:c r="E582" t="n">
        <x:f>IF(AND(MiniCase_Data!C582="야간",MiniCase_Data!F582="M03"),1,0)</x:f>
        <x:v>0</x:v>
      </x:c>
      <x:c r="F582" t="n">
        <x:f>IF(C582="밖",1,0)</x:f>
        <x:v>0</x:v>
      </x:c>
      <x:c r="G582" t="n">
        <x:f>IF(OR(F582=1,E582=1),1,0)</x:f>
        <x:v>0</x:v>
      </x:c>
      <x:c r="H582" t="str">
        <x:f>IF(B582=1,IF(F582=1,"TP","FN"),IF(F582=1,"FP","TN"))</x:f>
        <x:v>TN</x:v>
      </x:c>
      <x:c r="I582" t="str">
        <x:f>IF(B582=1,IF(G582=1,"TP","FN"),IF(G582=1,"FP","TN"))</x:f>
        <x:v>TN</x:v>
      </x:c>
    </x:row>
    <x:row r="583">
      <x:c r="A583" t="str">
        <x:f>MiniCase_Data!A583</x:f>
        <x:v>R00582</x:v>
      </x:c>
      <x:c r="B583" t="n">
        <x:f>IF(MiniCase_Data!O583="불합격",1,0)</x:f>
        <x:v>0</x:v>
      </x:c>
      <x:c r="C583" t="str">
        <x:f>IF(ISBLANK(MiniCase_Data!H583),"missing",IF(OR(MiniCase_Data!H583&lt;27,MiniCase_Data!H583&gt;33),"밖","안"))</x:f>
        <x:v>안</x:v>
      </x:c>
      <x:c r="D583" t="n">
        <x:f>IF(ISBLANK(MiniCase_Data!H583),VLOOKUP(A583,센서로그!$A$2:$C$13,3,FALSE),MiniCase_Data!H583)</x:f>
        <x:v>28.62</x:v>
      </x:c>
      <x:c r="E583" t="n">
        <x:f>IF(AND(MiniCase_Data!C583="야간",MiniCase_Data!F583="M03"),1,0)</x:f>
        <x:v>0</x:v>
      </x:c>
      <x:c r="F583" t="n">
        <x:f>IF(C583="밖",1,0)</x:f>
        <x:v>0</x:v>
      </x:c>
      <x:c r="G583" t="n">
        <x:f>IF(OR(F583=1,E583=1),1,0)</x:f>
        <x:v>0</x:v>
      </x:c>
      <x:c r="H583" t="str">
        <x:f>IF(B583=1,IF(F583=1,"TP","FN"),IF(F583=1,"FP","TN"))</x:f>
        <x:v>TN</x:v>
      </x:c>
      <x:c r="I583" t="str">
        <x:f>IF(B583=1,IF(G583=1,"TP","FN"),IF(G583=1,"FP","TN"))</x:f>
        <x:v>TN</x:v>
      </x:c>
    </x:row>
    <x:row r="584">
      <x:c r="A584" t="str">
        <x:f>MiniCase_Data!A584</x:f>
        <x:v>R00583</x:v>
      </x:c>
      <x:c r="B584" t="n">
        <x:f>IF(MiniCase_Data!O584="불합격",1,0)</x:f>
        <x:v>0</x:v>
      </x:c>
      <x:c r="C584" t="str">
        <x:f>IF(ISBLANK(MiniCase_Data!H584),"missing",IF(OR(MiniCase_Data!H584&lt;27,MiniCase_Data!H584&gt;33),"밖","안"))</x:f>
        <x:v>안</x:v>
      </x:c>
      <x:c r="D584" t="n">
        <x:f>IF(ISBLANK(MiniCase_Data!H584),VLOOKUP(A584,센서로그!$A$2:$C$13,3,FALSE),MiniCase_Data!H584)</x:f>
        <x:v>30.3</x:v>
      </x:c>
      <x:c r="E584" t="n">
        <x:f>IF(AND(MiniCase_Data!C584="야간",MiniCase_Data!F584="M03"),1,0)</x:f>
        <x:v>0</x:v>
      </x:c>
      <x:c r="F584" t="n">
        <x:f>IF(C584="밖",1,0)</x:f>
        <x:v>0</x:v>
      </x:c>
      <x:c r="G584" t="n">
        <x:f>IF(OR(F584=1,E584=1),1,0)</x:f>
        <x:v>0</x:v>
      </x:c>
      <x:c r="H584" t="str">
        <x:f>IF(B584=1,IF(F584=1,"TP","FN"),IF(F584=1,"FP","TN"))</x:f>
        <x:v>TN</x:v>
      </x:c>
      <x:c r="I584" t="str">
        <x:f>IF(B584=1,IF(G584=1,"TP","FN"),IF(G584=1,"FP","TN"))</x:f>
        <x:v>TN</x:v>
      </x:c>
    </x:row>
    <x:row r="585">
      <x:c r="A585" t="str">
        <x:f>MiniCase_Data!A585</x:f>
        <x:v>R00584</x:v>
      </x:c>
      <x:c r="B585" t="n">
        <x:f>IF(MiniCase_Data!O585="불합격",1,0)</x:f>
        <x:v>0</x:v>
      </x:c>
      <x:c r="C585" t="str">
        <x:f>IF(ISBLANK(MiniCase_Data!H585),"missing",IF(OR(MiniCase_Data!H585&lt;27,MiniCase_Data!H585&gt;33),"밖","안"))</x:f>
        <x:v>안</x:v>
      </x:c>
      <x:c r="D585" t="n">
        <x:f>IF(ISBLANK(MiniCase_Data!H585),VLOOKUP(A585,센서로그!$A$2:$C$13,3,FALSE),MiniCase_Data!H585)</x:f>
        <x:v>32.53</x:v>
      </x:c>
      <x:c r="E585" t="n">
        <x:f>IF(AND(MiniCase_Data!C585="야간",MiniCase_Data!F585="M03"),1,0)</x:f>
        <x:v>0</x:v>
      </x:c>
      <x:c r="F585" t="n">
        <x:f>IF(C585="밖",1,0)</x:f>
        <x:v>0</x:v>
      </x:c>
      <x:c r="G585" t="n">
        <x:f>IF(OR(F585=1,E585=1),1,0)</x:f>
        <x:v>0</x:v>
      </x:c>
      <x:c r="H585" t="str">
        <x:f>IF(B585=1,IF(F585=1,"TP","FN"),IF(F585=1,"FP","TN"))</x:f>
        <x:v>TN</x:v>
      </x:c>
      <x:c r="I585" t="str">
        <x:f>IF(B585=1,IF(G585=1,"TP","FN"),IF(G585=1,"FP","TN"))</x:f>
        <x:v>TN</x:v>
      </x:c>
    </x:row>
    <x:row r="586">
      <x:c r="A586" t="str">
        <x:f>MiniCase_Data!A586</x:f>
        <x:v>R00585</x:v>
      </x:c>
      <x:c r="B586" t="n">
        <x:f>IF(MiniCase_Data!O586="불합격",1,0)</x:f>
        <x:v>0</x:v>
      </x:c>
      <x:c r="C586" t="str">
        <x:f>IF(ISBLANK(MiniCase_Data!H586),"missing",IF(OR(MiniCase_Data!H586&lt;27,MiniCase_Data!H586&gt;33),"밖","안"))</x:f>
        <x:v>안</x:v>
      </x:c>
      <x:c r="D586" t="n">
        <x:f>IF(ISBLANK(MiniCase_Data!H586),VLOOKUP(A586,센서로그!$A$2:$C$13,3,FALSE),MiniCase_Data!H586)</x:f>
        <x:v>30.09</x:v>
      </x:c>
      <x:c r="E586" t="n">
        <x:f>IF(AND(MiniCase_Data!C586="야간",MiniCase_Data!F586="M03"),1,0)</x:f>
        <x:v>0</x:v>
      </x:c>
      <x:c r="F586" t="n">
        <x:f>IF(C586="밖",1,0)</x:f>
        <x:v>0</x:v>
      </x:c>
      <x:c r="G586" t="n">
        <x:f>IF(OR(F586=1,E586=1),1,0)</x:f>
        <x:v>0</x:v>
      </x:c>
      <x:c r="H586" t="str">
        <x:f>IF(B586=1,IF(F586=1,"TP","FN"),IF(F586=1,"FP","TN"))</x:f>
        <x:v>TN</x:v>
      </x:c>
      <x:c r="I586" t="str">
        <x:f>IF(B586=1,IF(G586=1,"TP","FN"),IF(G586=1,"FP","TN"))</x:f>
        <x:v>TN</x:v>
      </x:c>
    </x:row>
    <x:row r="587">
      <x:c r="A587" t="str">
        <x:f>MiniCase_Data!A587</x:f>
        <x:v>R00586</x:v>
      </x:c>
      <x:c r="B587" t="n">
        <x:f>IF(MiniCase_Data!O587="불합격",1,0)</x:f>
        <x:v>0</x:v>
      </x:c>
      <x:c r="C587" t="str">
        <x:f>IF(ISBLANK(MiniCase_Data!H587),"missing",IF(OR(MiniCase_Data!H587&lt;27,MiniCase_Data!H587&gt;33),"밖","안"))</x:f>
        <x:v>밖</x:v>
      </x:c>
      <x:c r="D587" t="n">
        <x:f>IF(ISBLANK(MiniCase_Data!H587),VLOOKUP(A587,센서로그!$A$2:$C$13,3,FALSE),MiniCase_Data!H587)</x:f>
        <x:v>26.65</x:v>
      </x:c>
      <x:c r="E587" t="n">
        <x:f>IF(AND(MiniCase_Data!C587="야간",MiniCase_Data!F587="M03"),1,0)</x:f>
        <x:v>1</x:v>
      </x:c>
      <x:c r="F587" t="n">
        <x:f>IF(C587="밖",1,0)</x:f>
        <x:v>1</x:v>
      </x:c>
      <x:c r="G587" t="n">
        <x:f>IF(OR(F587=1,E587=1),1,0)</x:f>
        <x:v>1</x:v>
      </x:c>
      <x:c r="H587" t="str">
        <x:f>IF(B587=1,IF(F587=1,"TP","FN"),IF(F587=1,"FP","TN"))</x:f>
        <x:v>FP</x:v>
      </x:c>
      <x:c r="I587" t="str">
        <x:f>IF(B587=1,IF(G587=1,"TP","FN"),IF(G587=1,"FP","TN"))</x:f>
        <x:v>FP</x:v>
      </x:c>
    </x:row>
    <x:row r="588">
      <x:c r="A588" t="str">
        <x:f>MiniCase_Data!A588</x:f>
        <x:v>R00587</x:v>
      </x:c>
      <x:c r="B588" t="n">
        <x:f>IF(MiniCase_Data!O588="불합격",1,0)</x:f>
        <x:v>0</x:v>
      </x:c>
      <x:c r="C588" t="str">
        <x:f>IF(ISBLANK(MiniCase_Data!H588),"missing",IF(OR(MiniCase_Data!H588&lt;27,MiniCase_Data!H588&gt;33),"밖","안"))</x:f>
        <x:v>안</x:v>
      </x:c>
      <x:c r="D588" t="n">
        <x:f>IF(ISBLANK(MiniCase_Data!H588),VLOOKUP(A588,센서로그!$A$2:$C$13,3,FALSE),MiniCase_Data!H588)</x:f>
        <x:v>31.13</x:v>
      </x:c>
      <x:c r="E588" t="n">
        <x:f>IF(AND(MiniCase_Data!C588="야간",MiniCase_Data!F588="M03"),1,0)</x:f>
        <x:v>0</x:v>
      </x:c>
      <x:c r="F588" t="n">
        <x:f>IF(C588="밖",1,0)</x:f>
        <x:v>0</x:v>
      </x:c>
      <x:c r="G588" t="n">
        <x:f>IF(OR(F588=1,E588=1),1,0)</x:f>
        <x:v>0</x:v>
      </x:c>
      <x:c r="H588" t="str">
        <x:f>IF(B588=1,IF(F588=1,"TP","FN"),IF(F588=1,"FP","TN"))</x:f>
        <x:v>TN</x:v>
      </x:c>
      <x:c r="I588" t="str">
        <x:f>IF(B588=1,IF(G588=1,"TP","FN"),IF(G588=1,"FP","TN"))</x:f>
        <x:v>TN</x:v>
      </x:c>
    </x:row>
    <x:row r="589">
      <x:c r="A589" t="str">
        <x:f>MiniCase_Data!A589</x:f>
        <x:v>R00588</x:v>
      </x:c>
      <x:c r="B589" t="n">
        <x:f>IF(MiniCase_Data!O589="불합격",1,0)</x:f>
        <x:v>0</x:v>
      </x:c>
      <x:c r="C589" t="str">
        <x:f>IF(ISBLANK(MiniCase_Data!H589),"missing",IF(OR(MiniCase_Data!H589&lt;27,MiniCase_Data!H589&gt;33),"밖","안"))</x:f>
        <x:v>밖</x:v>
      </x:c>
      <x:c r="D589" t="n">
        <x:f>IF(ISBLANK(MiniCase_Data!H589),VLOOKUP(A589,센서로그!$A$2:$C$13,3,FALSE),MiniCase_Data!H589)</x:f>
        <x:v>25.94</x:v>
      </x:c>
      <x:c r="E589" t="n">
        <x:f>IF(AND(MiniCase_Data!C589="야간",MiniCase_Data!F589="M03"),1,0)</x:f>
        <x:v>1</x:v>
      </x:c>
      <x:c r="F589" t="n">
        <x:f>IF(C589="밖",1,0)</x:f>
        <x:v>1</x:v>
      </x:c>
      <x:c r="G589" t="n">
        <x:f>IF(OR(F589=1,E589=1),1,0)</x:f>
        <x:v>1</x:v>
      </x:c>
      <x:c r="H589" t="str">
        <x:f>IF(B589=1,IF(F589=1,"TP","FN"),IF(F589=1,"FP","TN"))</x:f>
        <x:v>FP</x:v>
      </x:c>
      <x:c r="I589" t="str">
        <x:f>IF(B589=1,IF(G589=1,"TP","FN"),IF(G589=1,"FP","TN"))</x:f>
        <x:v>FP</x:v>
      </x:c>
    </x:row>
    <x:row r="590">
      <x:c r="A590" t="str">
        <x:f>MiniCase_Data!A590</x:f>
        <x:v>R00589</x:v>
      </x:c>
      <x:c r="B590" t="n">
        <x:f>IF(MiniCase_Data!O590="불합격",1,0)</x:f>
        <x:v>0</x:v>
      </x:c>
      <x:c r="C590" t="str">
        <x:f>IF(ISBLANK(MiniCase_Data!H590),"missing",IF(OR(MiniCase_Data!H590&lt;27,MiniCase_Data!H590&gt;33),"밖","안"))</x:f>
        <x:v>안</x:v>
      </x:c>
      <x:c r="D590" t="n">
        <x:f>IF(ISBLANK(MiniCase_Data!H590),VLOOKUP(A590,센서로그!$A$2:$C$13,3,FALSE),MiniCase_Data!H590)</x:f>
        <x:v>32.77</x:v>
      </x:c>
      <x:c r="E590" t="n">
        <x:f>IF(AND(MiniCase_Data!C590="야간",MiniCase_Data!F590="M03"),1,0)</x:f>
        <x:v>0</x:v>
      </x:c>
      <x:c r="F590" t="n">
        <x:f>IF(C590="밖",1,0)</x:f>
        <x:v>0</x:v>
      </x:c>
      <x:c r="G590" t="n">
        <x:f>IF(OR(F590=1,E590=1),1,0)</x:f>
        <x:v>0</x:v>
      </x:c>
      <x:c r="H590" t="str">
        <x:f>IF(B590=1,IF(F590=1,"TP","FN"),IF(F590=1,"FP","TN"))</x:f>
        <x:v>TN</x:v>
      </x:c>
      <x:c r="I590" t="str">
        <x:f>IF(B590=1,IF(G590=1,"TP","FN"),IF(G590=1,"FP","TN"))</x:f>
        <x:v>TN</x:v>
      </x:c>
    </x:row>
    <x:row r="591">
      <x:c r="A591" t="str">
        <x:f>MiniCase_Data!A591</x:f>
        <x:v>R00590</x:v>
      </x:c>
      <x:c r="B591" t="n">
        <x:f>IF(MiniCase_Data!O591="불합격",1,0)</x:f>
        <x:v>0</x:v>
      </x:c>
      <x:c r="C591" t="str">
        <x:f>IF(ISBLANK(MiniCase_Data!H591),"missing",IF(OR(MiniCase_Data!H591&lt;27,MiniCase_Data!H591&gt;33),"밖","안"))</x:f>
        <x:v>안</x:v>
      </x:c>
      <x:c r="D591" t="n">
        <x:f>IF(ISBLANK(MiniCase_Data!H591),VLOOKUP(A591,센서로그!$A$2:$C$13,3,FALSE),MiniCase_Data!H591)</x:f>
        <x:v>30.58</x:v>
      </x:c>
      <x:c r="E591" t="n">
        <x:f>IF(AND(MiniCase_Data!C591="야간",MiniCase_Data!F591="M03"),1,0)</x:f>
        <x:v>0</x:v>
      </x:c>
      <x:c r="F591" t="n">
        <x:f>IF(C591="밖",1,0)</x:f>
        <x:v>0</x:v>
      </x:c>
      <x:c r="G591" t="n">
        <x:f>IF(OR(F591=1,E591=1),1,0)</x:f>
        <x:v>0</x:v>
      </x:c>
      <x:c r="H591" t="str">
        <x:f>IF(B591=1,IF(F591=1,"TP","FN"),IF(F591=1,"FP","TN"))</x:f>
        <x:v>TN</x:v>
      </x:c>
      <x:c r="I591" t="str">
        <x:f>IF(B591=1,IF(G591=1,"TP","FN"),IF(G591=1,"FP","TN"))</x:f>
        <x:v>TN</x:v>
      </x:c>
    </x:row>
    <x:row r="592">
      <x:c r="A592" t="str">
        <x:f>MiniCase_Data!A592</x:f>
        <x:v>R00591</x:v>
      </x:c>
      <x:c r="B592" t="n">
        <x:f>IF(MiniCase_Data!O592="불합격",1,0)</x:f>
        <x:v>0</x:v>
      </x:c>
      <x:c r="C592" t="str">
        <x:f>IF(ISBLANK(MiniCase_Data!H592),"missing",IF(OR(MiniCase_Data!H592&lt;27,MiniCase_Data!H592&gt;33),"밖","안"))</x:f>
        <x:v>안</x:v>
      </x:c>
      <x:c r="D592" t="n">
        <x:f>IF(ISBLANK(MiniCase_Data!H592),VLOOKUP(A592,센서로그!$A$2:$C$13,3,FALSE),MiniCase_Data!H592)</x:f>
        <x:v>27.96</x:v>
      </x:c>
      <x:c r="E592" t="n">
        <x:f>IF(AND(MiniCase_Data!C592="야간",MiniCase_Data!F592="M03"),1,0)</x:f>
        <x:v>0</x:v>
      </x:c>
      <x:c r="F592" t="n">
        <x:f>IF(C592="밖",1,0)</x:f>
        <x:v>0</x:v>
      </x:c>
      <x:c r="G592" t="n">
        <x:f>IF(OR(F592=1,E592=1),1,0)</x:f>
        <x:v>0</x:v>
      </x:c>
      <x:c r="H592" t="str">
        <x:f>IF(B592=1,IF(F592=1,"TP","FN"),IF(F592=1,"FP","TN"))</x:f>
        <x:v>TN</x:v>
      </x:c>
      <x:c r="I592" t="str">
        <x:f>IF(B592=1,IF(G592=1,"TP","FN"),IF(G592=1,"FP","TN"))</x:f>
        <x:v>TN</x:v>
      </x:c>
    </x:row>
    <x:row r="593">
      <x:c r="A593" t="str">
        <x:f>MiniCase_Data!A593</x:f>
        <x:v>R00592</x:v>
      </x:c>
      <x:c r="B593" t="n">
        <x:f>IF(MiniCase_Data!O593="불합격",1,0)</x:f>
        <x:v>0</x:v>
      </x:c>
      <x:c r="C593" t="str">
        <x:f>IF(ISBLANK(MiniCase_Data!H593),"missing",IF(OR(MiniCase_Data!H593&lt;27,MiniCase_Data!H593&gt;33),"밖","안"))</x:f>
        <x:v>안</x:v>
      </x:c>
      <x:c r="D593" t="n">
        <x:f>IF(ISBLANK(MiniCase_Data!H593),VLOOKUP(A593,센서로그!$A$2:$C$13,3,FALSE),MiniCase_Data!H593)</x:f>
        <x:v>28.84</x:v>
      </x:c>
      <x:c r="E593" t="n">
        <x:f>IF(AND(MiniCase_Data!C593="야간",MiniCase_Data!F593="M03"),1,0)</x:f>
        <x:v>0</x:v>
      </x:c>
      <x:c r="F593" t="n">
        <x:f>IF(C593="밖",1,0)</x:f>
        <x:v>0</x:v>
      </x:c>
      <x:c r="G593" t="n">
        <x:f>IF(OR(F593=1,E593=1),1,0)</x:f>
        <x:v>0</x:v>
      </x:c>
      <x:c r="H593" t="str">
        <x:f>IF(B593=1,IF(F593=1,"TP","FN"),IF(F593=1,"FP","TN"))</x:f>
        <x:v>TN</x:v>
      </x:c>
      <x:c r="I593" t="str">
        <x:f>IF(B593=1,IF(G593=1,"TP","FN"),IF(G593=1,"FP","TN"))</x:f>
        <x:v>TN</x:v>
      </x:c>
    </x:row>
    <x:row r="594">
      <x:c r="A594" t="str">
        <x:f>MiniCase_Data!A594</x:f>
        <x:v>R00593</x:v>
      </x:c>
      <x:c r="B594" t="n">
        <x:f>IF(MiniCase_Data!O594="불합격",1,0)</x:f>
        <x:v>0</x:v>
      </x:c>
      <x:c r="C594" t="str">
        <x:f>IF(ISBLANK(MiniCase_Data!H594),"missing",IF(OR(MiniCase_Data!H594&lt;27,MiniCase_Data!H594&gt;33),"밖","안"))</x:f>
        <x:v>안</x:v>
      </x:c>
      <x:c r="D594" t="n">
        <x:f>IF(ISBLANK(MiniCase_Data!H594),VLOOKUP(A594,센서로그!$A$2:$C$13,3,FALSE),MiniCase_Data!H594)</x:f>
        <x:v>32.02</x:v>
      </x:c>
      <x:c r="E594" t="n">
        <x:f>IF(AND(MiniCase_Data!C594="야간",MiniCase_Data!F594="M03"),1,0)</x:f>
        <x:v>0</x:v>
      </x:c>
      <x:c r="F594" t="n">
        <x:f>IF(C594="밖",1,0)</x:f>
        <x:v>0</x:v>
      </x:c>
      <x:c r="G594" t="n">
        <x:f>IF(OR(F594=1,E594=1),1,0)</x:f>
        <x:v>0</x:v>
      </x:c>
      <x:c r="H594" t="str">
        <x:f>IF(B594=1,IF(F594=1,"TP","FN"),IF(F594=1,"FP","TN"))</x:f>
        <x:v>TN</x:v>
      </x:c>
      <x:c r="I594" t="str">
        <x:f>IF(B594=1,IF(G594=1,"TP","FN"),IF(G594=1,"FP","TN"))</x:f>
        <x:v>TN</x:v>
      </x:c>
    </x:row>
    <x:row r="595">
      <x:c r="A595" t="str">
        <x:f>MiniCase_Data!A595</x:f>
        <x:v>R00594</x:v>
      </x:c>
      <x:c r="B595" t="n">
        <x:f>IF(MiniCase_Data!O595="불합격",1,0)</x:f>
        <x:v>0</x:v>
      </x:c>
      <x:c r="C595" t="str">
        <x:f>IF(ISBLANK(MiniCase_Data!H595),"missing",IF(OR(MiniCase_Data!H595&lt;27,MiniCase_Data!H595&gt;33),"밖","안"))</x:f>
        <x:v>안</x:v>
      </x:c>
      <x:c r="D595" t="n">
        <x:f>IF(ISBLANK(MiniCase_Data!H595),VLOOKUP(A595,센서로그!$A$2:$C$13,3,FALSE),MiniCase_Data!H595)</x:f>
        <x:v>30.84</x:v>
      </x:c>
      <x:c r="E595" t="n">
        <x:f>IF(AND(MiniCase_Data!C595="야간",MiniCase_Data!F595="M03"),1,0)</x:f>
        <x:v>0</x:v>
      </x:c>
      <x:c r="F595" t="n">
        <x:f>IF(C595="밖",1,0)</x:f>
        <x:v>0</x:v>
      </x:c>
      <x:c r="G595" t="n">
        <x:f>IF(OR(F595=1,E595=1),1,0)</x:f>
        <x:v>0</x:v>
      </x:c>
      <x:c r="H595" t="str">
        <x:f>IF(B595=1,IF(F595=1,"TP","FN"),IF(F595=1,"FP","TN"))</x:f>
        <x:v>TN</x:v>
      </x:c>
      <x:c r="I595" t="str">
        <x:f>IF(B595=1,IF(G595=1,"TP","FN"),IF(G595=1,"FP","TN"))</x:f>
        <x:v>TN</x:v>
      </x:c>
    </x:row>
    <x:row r="596">
      <x:c r="A596" t="str">
        <x:f>MiniCase_Data!A596</x:f>
        <x:v>R00595</x:v>
      </x:c>
      <x:c r="B596" t="n">
        <x:f>IF(MiniCase_Data!O596="불합격",1,0)</x:f>
        <x:v>0</x:v>
      </x:c>
      <x:c r="C596" t="str">
        <x:f>IF(ISBLANK(MiniCase_Data!H596),"missing",IF(OR(MiniCase_Data!H596&lt;27,MiniCase_Data!H596&gt;33),"밖","안"))</x:f>
        <x:v>안</x:v>
      </x:c>
      <x:c r="D596" t="n">
        <x:f>IF(ISBLANK(MiniCase_Data!H596),VLOOKUP(A596,센서로그!$A$2:$C$13,3,FALSE),MiniCase_Data!H596)</x:f>
        <x:v>29.78</x:v>
      </x:c>
      <x:c r="E596" t="n">
        <x:f>IF(AND(MiniCase_Data!C596="야간",MiniCase_Data!F596="M03"),1,0)</x:f>
        <x:v>0</x:v>
      </x:c>
      <x:c r="F596" t="n">
        <x:f>IF(C596="밖",1,0)</x:f>
        <x:v>0</x:v>
      </x:c>
      <x:c r="G596" t="n">
        <x:f>IF(OR(F596=1,E596=1),1,0)</x:f>
        <x:v>0</x:v>
      </x:c>
      <x:c r="H596" t="str">
        <x:f>IF(B596=1,IF(F596=1,"TP","FN"),IF(F596=1,"FP","TN"))</x:f>
        <x:v>TN</x:v>
      </x:c>
      <x:c r="I596" t="str">
        <x:f>IF(B596=1,IF(G596=1,"TP","FN"),IF(G596=1,"FP","TN"))</x:f>
        <x:v>TN</x:v>
      </x:c>
    </x:row>
    <x:row r="597">
      <x:c r="A597" t="str">
        <x:f>MiniCase_Data!A597</x:f>
        <x:v>R00596</x:v>
      </x:c>
      <x:c r="B597" t="n">
        <x:f>IF(MiniCase_Data!O597="불합격",1,0)</x:f>
        <x:v>1</x:v>
      </x:c>
      <x:c r="C597" t="str">
        <x:f>IF(ISBLANK(MiniCase_Data!H597),"missing",IF(OR(MiniCase_Data!H597&lt;27,MiniCase_Data!H597&gt;33),"밖","안"))</x:f>
        <x:v>밖</x:v>
      </x:c>
      <x:c r="D597" t="n">
        <x:f>IF(ISBLANK(MiniCase_Data!H597),VLOOKUP(A597,센서로그!$A$2:$C$13,3,FALSE),MiniCase_Data!H597)</x:f>
        <x:v>26.38</x:v>
      </x:c>
      <x:c r="E597" t="n">
        <x:f>IF(AND(MiniCase_Data!C597="야간",MiniCase_Data!F597="M03"),1,0)</x:f>
        <x:v>0</x:v>
      </x:c>
      <x:c r="F597" t="n">
        <x:f>IF(C597="밖",1,0)</x:f>
        <x:v>1</x:v>
      </x:c>
      <x:c r="G597" t="n">
        <x:f>IF(OR(F597=1,E597=1),1,0)</x:f>
        <x:v>1</x:v>
      </x:c>
      <x:c r="H597" t="str">
        <x:f>IF(B597=1,IF(F597=1,"TP","FN"),IF(F597=1,"FP","TN"))</x:f>
        <x:v>TP</x:v>
      </x:c>
      <x:c r="I597" t="str">
        <x:f>IF(B597=1,IF(G597=1,"TP","FN"),IF(G597=1,"FP","TN"))</x:f>
        <x:v>TP</x:v>
      </x:c>
    </x:row>
    <x:row r="598">
      <x:c r="A598" t="str">
        <x:f>MiniCase_Data!A598</x:f>
        <x:v>R00597</x:v>
      </x:c>
      <x:c r="B598" t="n">
        <x:f>IF(MiniCase_Data!O598="불합격",1,0)</x:f>
        <x:v>0</x:v>
      </x:c>
      <x:c r="C598" t="str">
        <x:f>IF(ISBLANK(MiniCase_Data!H598),"missing",IF(OR(MiniCase_Data!H598&lt;27,MiniCase_Data!H598&gt;33),"밖","안"))</x:f>
        <x:v>안</x:v>
      </x:c>
      <x:c r="D598" t="n">
        <x:f>IF(ISBLANK(MiniCase_Data!H598),VLOOKUP(A598,센서로그!$A$2:$C$13,3,FALSE),MiniCase_Data!H598)</x:f>
        <x:v>28.07</x:v>
      </x:c>
      <x:c r="E598" t="n">
        <x:f>IF(AND(MiniCase_Data!C598="야간",MiniCase_Data!F598="M03"),1,0)</x:f>
        <x:v>0</x:v>
      </x:c>
      <x:c r="F598" t="n">
        <x:f>IF(C598="밖",1,0)</x:f>
        <x:v>0</x:v>
      </x:c>
      <x:c r="G598" t="n">
        <x:f>IF(OR(F598=1,E598=1),1,0)</x:f>
        <x:v>0</x:v>
      </x:c>
      <x:c r="H598" t="str">
        <x:f>IF(B598=1,IF(F598=1,"TP","FN"),IF(F598=1,"FP","TN"))</x:f>
        <x:v>TN</x:v>
      </x:c>
      <x:c r="I598" t="str">
        <x:f>IF(B598=1,IF(G598=1,"TP","FN"),IF(G598=1,"FP","TN"))</x:f>
        <x:v>TN</x:v>
      </x:c>
    </x:row>
    <x:row r="599">
      <x:c r="A599" t="str">
        <x:f>MiniCase_Data!A599</x:f>
        <x:v>R00598</x:v>
      </x:c>
      <x:c r="B599" t="n">
        <x:f>IF(MiniCase_Data!O599="불합격",1,0)</x:f>
        <x:v>0</x:v>
      </x:c>
      <x:c r="C599" t="str">
        <x:f>IF(ISBLANK(MiniCase_Data!H599),"missing",IF(OR(MiniCase_Data!H599&lt;27,MiniCase_Data!H599&gt;33),"밖","안"))</x:f>
        <x:v>안</x:v>
      </x:c>
      <x:c r="D599" t="n">
        <x:f>IF(ISBLANK(MiniCase_Data!H599),VLOOKUP(A599,센서로그!$A$2:$C$13,3,FALSE),MiniCase_Data!H599)</x:f>
        <x:v>31.03</x:v>
      </x:c>
      <x:c r="E599" t="n">
        <x:f>IF(AND(MiniCase_Data!C599="야간",MiniCase_Data!F599="M03"),1,0)</x:f>
        <x:v>0</x:v>
      </x:c>
      <x:c r="F599" t="n">
        <x:f>IF(C599="밖",1,0)</x:f>
        <x:v>0</x:v>
      </x:c>
      <x:c r="G599" t="n">
        <x:f>IF(OR(F599=1,E599=1),1,0)</x:f>
        <x:v>0</x:v>
      </x:c>
      <x:c r="H599" t="str">
        <x:f>IF(B599=1,IF(F599=1,"TP","FN"),IF(F599=1,"FP","TN"))</x:f>
        <x:v>TN</x:v>
      </x:c>
      <x:c r="I599" t="str">
        <x:f>IF(B599=1,IF(G599=1,"TP","FN"),IF(G599=1,"FP","TN"))</x:f>
        <x:v>TN</x:v>
      </x:c>
    </x:row>
    <x:row r="600">
      <x:c r="A600" t="str">
        <x:f>MiniCase_Data!A600</x:f>
        <x:v>R00599</x:v>
      </x:c>
      <x:c r="B600" t="n">
        <x:f>IF(MiniCase_Data!O600="불합격",1,0)</x:f>
        <x:v>0</x:v>
      </x:c>
      <x:c r="C600" t="str">
        <x:f>IF(ISBLANK(MiniCase_Data!H600),"missing",IF(OR(MiniCase_Data!H600&lt;27,MiniCase_Data!H600&gt;33),"밖","안"))</x:f>
        <x:v>밖</x:v>
      </x:c>
      <x:c r="D600" t="n">
        <x:f>IF(ISBLANK(MiniCase_Data!H600),VLOOKUP(A600,센서로그!$A$2:$C$13,3,FALSE),MiniCase_Data!H600)</x:f>
        <x:v>33.6</x:v>
      </x:c>
      <x:c r="E600" t="n">
        <x:f>IF(AND(MiniCase_Data!C600="야간",MiniCase_Data!F600="M03"),1,0)</x:f>
        <x:v>1</x:v>
      </x:c>
      <x:c r="F600" t="n">
        <x:f>IF(C600="밖",1,0)</x:f>
        <x:v>1</x:v>
      </x:c>
      <x:c r="G600" t="n">
        <x:f>IF(OR(F600=1,E600=1),1,0)</x:f>
        <x:v>1</x:v>
      </x:c>
      <x:c r="H600" t="str">
        <x:f>IF(B600=1,IF(F600=1,"TP","FN"),IF(F600=1,"FP","TN"))</x:f>
        <x:v>FP</x:v>
      </x:c>
      <x:c r="I600" t="str">
        <x:f>IF(B600=1,IF(G600=1,"TP","FN"),IF(G600=1,"FP","TN"))</x:f>
        <x:v>FP</x:v>
      </x:c>
    </x:row>
    <x:row r="601">
      <x:c r="A601" t="str">
        <x:f>MiniCase_Data!A601</x:f>
        <x:v>R00600</x:v>
      </x:c>
      <x:c r="B601" t="n">
        <x:f>IF(MiniCase_Data!O601="불합격",1,0)</x:f>
        <x:v>0</x:v>
      </x:c>
      <x:c r="C601" t="str">
        <x:f>IF(ISBLANK(MiniCase_Data!H601),"missing",IF(OR(MiniCase_Data!H601&lt;27,MiniCase_Data!H601&gt;33),"밖","안"))</x:f>
        <x:v>안</x:v>
      </x:c>
      <x:c r="D601" t="n">
        <x:f>IF(ISBLANK(MiniCase_Data!H601),VLOOKUP(A601,센서로그!$A$2:$C$13,3,FALSE),MiniCase_Data!H601)</x:f>
        <x:v>32.59</x:v>
      </x:c>
      <x:c r="E601" t="n">
        <x:f>IF(AND(MiniCase_Data!C601="야간",MiniCase_Data!F601="M03"),1,0)</x:f>
        <x:v>0</x:v>
      </x:c>
      <x:c r="F601" t="n">
        <x:f>IF(C601="밖",1,0)</x:f>
        <x:v>0</x:v>
      </x:c>
      <x:c r="G601" t="n">
        <x:f>IF(OR(F601=1,E601=1),1,0)</x:f>
        <x:v>0</x:v>
      </x:c>
      <x:c r="H601" t="str">
        <x:f>IF(B601=1,IF(F601=1,"TP","FN"),IF(F601=1,"FP","TN"))</x:f>
        <x:v>TN</x:v>
      </x:c>
      <x:c r="I601" t="str">
        <x:f>IF(B601=1,IF(G601=1,"TP","FN"),IF(G601=1,"FP","TN"))</x:f>
        <x:v>TN</x:v>
      </x:c>
    </x:row>
    <x:row r="602">
      <x:c r="A602" t="str">
        <x:f>MiniCase_Data!A602</x:f>
        <x:v>R00601</x:v>
      </x:c>
      <x:c r="B602" t="n">
        <x:f>IF(MiniCase_Data!O602="불합격",1,0)</x:f>
        <x:v>0</x:v>
      </x:c>
      <x:c r="C602" t="str">
        <x:f>IF(ISBLANK(MiniCase_Data!H602),"missing",IF(OR(MiniCase_Data!H602&lt;27,MiniCase_Data!H602&gt;33),"밖","안"))</x:f>
        <x:v>안</x:v>
      </x:c>
      <x:c r="D602" t="n">
        <x:f>IF(ISBLANK(MiniCase_Data!H602),VLOOKUP(A602,센서로그!$A$2:$C$13,3,FALSE),MiniCase_Data!H602)</x:f>
        <x:v>30.52</x:v>
      </x:c>
      <x:c r="E602" t="n">
        <x:f>IF(AND(MiniCase_Data!C602="야간",MiniCase_Data!F602="M03"),1,0)</x:f>
        <x:v>0</x:v>
      </x:c>
      <x:c r="F602" t="n">
        <x:f>IF(C602="밖",1,0)</x:f>
        <x:v>0</x:v>
      </x:c>
      <x:c r="G602" t="n">
        <x:f>IF(OR(F602=1,E602=1),1,0)</x:f>
        <x:v>0</x:v>
      </x:c>
      <x:c r="H602" t="str">
        <x:f>IF(B602=1,IF(F602=1,"TP","FN"),IF(F602=1,"FP","TN"))</x:f>
        <x:v>TN</x:v>
      </x:c>
      <x:c r="I602" t="str">
        <x:f>IF(B602=1,IF(G602=1,"TP","FN"),IF(G602=1,"FP","TN"))</x:f>
        <x:v>TN</x:v>
      </x:c>
    </x:row>
    <x:row r="603">
      <x:c r="A603" t="str">
        <x:f>MiniCase_Data!A603</x:f>
        <x:v>R00602</x:v>
      </x:c>
      <x:c r="B603" t="n">
        <x:f>IF(MiniCase_Data!O603="불합격",1,0)</x:f>
        <x:v>0</x:v>
      </x:c>
      <x:c r="C603" t="str">
        <x:f>IF(ISBLANK(MiniCase_Data!H603),"missing",IF(OR(MiniCase_Data!H603&lt;27,MiniCase_Data!H603&gt;33),"밖","안"))</x:f>
        <x:v>안</x:v>
      </x:c>
      <x:c r="D603" t="n">
        <x:f>IF(ISBLANK(MiniCase_Data!H603),VLOOKUP(A603,센서로그!$A$2:$C$13,3,FALSE),MiniCase_Data!H603)</x:f>
        <x:v>27.3</x:v>
      </x:c>
      <x:c r="E603" t="n">
        <x:f>IF(AND(MiniCase_Data!C603="야간",MiniCase_Data!F603="M03"),1,0)</x:f>
        <x:v>0</x:v>
      </x:c>
      <x:c r="F603" t="n">
        <x:f>IF(C603="밖",1,0)</x:f>
        <x:v>0</x:v>
      </x:c>
      <x:c r="G603" t="n">
        <x:f>IF(OR(F603=1,E603=1),1,0)</x:f>
        <x:v>0</x:v>
      </x:c>
      <x:c r="H603" t="str">
        <x:f>IF(B603=1,IF(F603=1,"TP","FN"),IF(F603=1,"FP","TN"))</x:f>
        <x:v>TN</x:v>
      </x:c>
      <x:c r="I603" t="str">
        <x:f>IF(B603=1,IF(G603=1,"TP","FN"),IF(G603=1,"FP","TN"))</x:f>
        <x:v>TN</x:v>
      </x:c>
    </x:row>
    <x:row r="604">
      <x:c r="A604" t="str">
        <x:f>MiniCase_Data!A604</x:f>
        <x:v>R00603</x:v>
      </x:c>
      <x:c r="B604" t="n">
        <x:f>IF(MiniCase_Data!O604="불합격",1,0)</x:f>
        <x:v>0</x:v>
      </x:c>
      <x:c r="C604" t="str">
        <x:f>IF(ISBLANK(MiniCase_Data!H604),"missing",IF(OR(MiniCase_Data!H604&lt;27,MiniCase_Data!H604&gt;33),"밖","안"))</x:f>
        <x:v>안</x:v>
      </x:c>
      <x:c r="D604" t="n">
        <x:f>IF(ISBLANK(MiniCase_Data!H604),VLOOKUP(A604,센서로그!$A$2:$C$13,3,FALSE),MiniCase_Data!H604)</x:f>
        <x:v>27.35</x:v>
      </x:c>
      <x:c r="E604" t="n">
        <x:f>IF(AND(MiniCase_Data!C604="야간",MiniCase_Data!F604="M03"),1,0)</x:f>
        <x:v>0</x:v>
      </x:c>
      <x:c r="F604" t="n">
        <x:f>IF(C604="밖",1,0)</x:f>
        <x:v>0</x:v>
      </x:c>
      <x:c r="G604" t="n">
        <x:f>IF(OR(F604=1,E604=1),1,0)</x:f>
        <x:v>0</x:v>
      </x:c>
      <x:c r="H604" t="str">
        <x:f>IF(B604=1,IF(F604=1,"TP","FN"),IF(F604=1,"FP","TN"))</x:f>
        <x:v>TN</x:v>
      </x:c>
      <x:c r="I604" t="str">
        <x:f>IF(B604=1,IF(G604=1,"TP","FN"),IF(G604=1,"FP","TN"))</x:f>
        <x:v>TN</x:v>
      </x:c>
    </x:row>
    <x:row r="605">
      <x:c r="A605" t="str">
        <x:f>MiniCase_Data!A605</x:f>
        <x:v>R00604</x:v>
      </x:c>
      <x:c r="B605" t="n">
        <x:f>IF(MiniCase_Data!O605="불합격",1,0)</x:f>
        <x:v>0</x:v>
      </x:c>
      <x:c r="C605" t="str">
        <x:f>IF(ISBLANK(MiniCase_Data!H605),"missing",IF(OR(MiniCase_Data!H605&lt;27,MiniCase_Data!H605&gt;33),"밖","안"))</x:f>
        <x:v>안</x:v>
      </x:c>
      <x:c r="D605" t="n">
        <x:f>IF(ISBLANK(MiniCase_Data!H605),VLOOKUP(A605,센서로그!$A$2:$C$13,3,FALSE),MiniCase_Data!H605)</x:f>
        <x:v>28.65</x:v>
      </x:c>
      <x:c r="E605" t="n">
        <x:f>IF(AND(MiniCase_Data!C605="야간",MiniCase_Data!F605="M03"),1,0)</x:f>
        <x:v>0</x:v>
      </x:c>
      <x:c r="F605" t="n">
        <x:f>IF(C605="밖",1,0)</x:f>
        <x:v>0</x:v>
      </x:c>
      <x:c r="G605" t="n">
        <x:f>IF(OR(F605=1,E605=1),1,0)</x:f>
        <x:v>0</x:v>
      </x:c>
      <x:c r="H605" t="str">
        <x:f>IF(B605=1,IF(F605=1,"TP","FN"),IF(F605=1,"FP","TN"))</x:f>
        <x:v>TN</x:v>
      </x:c>
      <x:c r="I605" t="str">
        <x:f>IF(B605=1,IF(G605=1,"TP","FN"),IF(G605=1,"FP","TN"))</x:f>
        <x:v>TN</x:v>
      </x:c>
    </x:row>
    <x:row r="606">
      <x:c r="A606" t="str">
        <x:f>MiniCase_Data!A606</x:f>
        <x:v>R00605</x:v>
      </x:c>
      <x:c r="B606" t="n">
        <x:f>IF(MiniCase_Data!O606="불합격",1,0)</x:f>
        <x:v>0</x:v>
      </x:c>
      <x:c r="C606" t="str">
        <x:f>IF(ISBLANK(MiniCase_Data!H606),"missing",IF(OR(MiniCase_Data!H606&lt;27,MiniCase_Data!H606&gt;33),"밖","안"))</x:f>
        <x:v>안</x:v>
      </x:c>
      <x:c r="D606" t="n">
        <x:f>IF(ISBLANK(MiniCase_Data!H606),VLOOKUP(A606,센서로그!$A$2:$C$13,3,FALSE),MiniCase_Data!H606)</x:f>
        <x:v>32.15</x:v>
      </x:c>
      <x:c r="E606" t="n">
        <x:f>IF(AND(MiniCase_Data!C606="야간",MiniCase_Data!F606="M03"),1,0)</x:f>
        <x:v>0</x:v>
      </x:c>
      <x:c r="F606" t="n">
        <x:f>IF(C606="밖",1,0)</x:f>
        <x:v>0</x:v>
      </x:c>
      <x:c r="G606" t="n">
        <x:f>IF(OR(F606=1,E606=1),1,0)</x:f>
        <x:v>0</x:v>
      </x:c>
      <x:c r="H606" t="str">
        <x:f>IF(B606=1,IF(F606=1,"TP","FN"),IF(F606=1,"FP","TN"))</x:f>
        <x:v>TN</x:v>
      </x:c>
      <x:c r="I606" t="str">
        <x:f>IF(B606=1,IF(G606=1,"TP","FN"),IF(G606=1,"FP","TN"))</x:f>
        <x:v>TN</x:v>
      </x:c>
    </x:row>
    <x:row r="607">
      <x:c r="A607" t="str">
        <x:f>MiniCase_Data!A607</x:f>
        <x:v>R00606</x:v>
      </x:c>
      <x:c r="B607" t="n">
        <x:f>IF(MiniCase_Data!O607="불합격",1,0)</x:f>
        <x:v>0</x:v>
      </x:c>
      <x:c r="C607" t="str">
        <x:f>IF(ISBLANK(MiniCase_Data!H607),"missing",IF(OR(MiniCase_Data!H607&lt;27,MiniCase_Data!H607&gt;33),"밖","안"))</x:f>
        <x:v>안</x:v>
      </x:c>
      <x:c r="D607" t="n">
        <x:f>IF(ISBLANK(MiniCase_Data!H607),VLOOKUP(A607,센서로그!$A$2:$C$13,3,FALSE),MiniCase_Data!H607)</x:f>
        <x:v>30.85</x:v>
      </x:c>
      <x:c r="E607" t="n">
        <x:f>IF(AND(MiniCase_Data!C607="야간",MiniCase_Data!F607="M03"),1,0)</x:f>
        <x:v>0</x:v>
      </x:c>
      <x:c r="F607" t="n">
        <x:f>IF(C607="밖",1,0)</x:f>
        <x:v>0</x:v>
      </x:c>
      <x:c r="G607" t="n">
        <x:f>IF(OR(F607=1,E607=1),1,0)</x:f>
        <x:v>0</x:v>
      </x:c>
      <x:c r="H607" t="str">
        <x:f>IF(B607=1,IF(F607=1,"TP","FN"),IF(F607=1,"FP","TN"))</x:f>
        <x:v>TN</x:v>
      </x:c>
      <x:c r="I607" t="str">
        <x:f>IF(B607=1,IF(G607=1,"TP","FN"),IF(G607=1,"FP","TN"))</x:f>
        <x:v>TN</x:v>
      </x:c>
    </x:row>
    <x:row r="608">
      <x:c r="A608" t="str">
        <x:f>MiniCase_Data!A608</x:f>
        <x:v>R00607</x:v>
      </x:c>
      <x:c r="B608" t="n">
        <x:f>IF(MiniCase_Data!O608="불합격",1,0)</x:f>
        <x:v>0</x:v>
      </x:c>
      <x:c r="C608" t="str">
        <x:f>IF(ISBLANK(MiniCase_Data!H608),"missing",IF(OR(MiniCase_Data!H608&lt;27,MiniCase_Data!H608&gt;33),"밖","안"))</x:f>
        <x:v>밖</x:v>
      </x:c>
      <x:c r="D608" t="n">
        <x:f>IF(ISBLANK(MiniCase_Data!H608),VLOOKUP(A608,센서로그!$A$2:$C$13,3,FALSE),MiniCase_Data!H608)</x:f>
        <x:v>33.68</x:v>
      </x:c>
      <x:c r="E608" t="n">
        <x:f>IF(AND(MiniCase_Data!C608="야간",MiniCase_Data!F608="M03"),1,0)</x:f>
        <x:v>1</x:v>
      </x:c>
      <x:c r="F608" t="n">
        <x:f>IF(C608="밖",1,0)</x:f>
        <x:v>1</x:v>
      </x:c>
      <x:c r="G608" t="n">
        <x:f>IF(OR(F608=1,E608=1),1,0)</x:f>
        <x:v>1</x:v>
      </x:c>
      <x:c r="H608" t="str">
        <x:f>IF(B608=1,IF(F608=1,"TP","FN"),IF(F608=1,"FP","TN"))</x:f>
        <x:v>FP</x:v>
      </x:c>
      <x:c r="I608" t="str">
        <x:f>IF(B608=1,IF(G608=1,"TP","FN"),IF(G608=1,"FP","TN"))</x:f>
        <x:v>FP</x:v>
      </x:c>
    </x:row>
    <x:row r="609">
      <x:c r="A609" t="str">
        <x:f>MiniCase_Data!A609</x:f>
        <x:v>R00608</x:v>
      </x:c>
      <x:c r="B609" t="n">
        <x:f>IF(MiniCase_Data!O609="불합격",1,0)</x:f>
        <x:v>0</x:v>
      </x:c>
      <x:c r="C609" t="str">
        <x:f>IF(ISBLANK(MiniCase_Data!H609),"missing",IF(OR(MiniCase_Data!H609&lt;27,MiniCase_Data!H609&gt;33),"밖","안"))</x:f>
        <x:v>안</x:v>
      </x:c>
      <x:c r="D609" t="n">
        <x:f>IF(ISBLANK(MiniCase_Data!H609),VLOOKUP(A609,센서로그!$A$2:$C$13,3,FALSE),MiniCase_Data!H609)</x:f>
        <x:v>32.54</x:v>
      </x:c>
      <x:c r="E609" t="n">
        <x:f>IF(AND(MiniCase_Data!C609="야간",MiniCase_Data!F609="M03"),1,0)</x:f>
        <x:v>0</x:v>
      </x:c>
      <x:c r="F609" t="n">
        <x:f>IF(C609="밖",1,0)</x:f>
        <x:v>0</x:v>
      </x:c>
      <x:c r="G609" t="n">
        <x:f>IF(OR(F609=1,E609=1),1,0)</x:f>
        <x:v>0</x:v>
      </x:c>
      <x:c r="H609" t="str">
        <x:f>IF(B609=1,IF(F609=1,"TP","FN"),IF(F609=1,"FP","TN"))</x:f>
        <x:v>TN</x:v>
      </x:c>
      <x:c r="I609" t="str">
        <x:f>IF(B609=1,IF(G609=1,"TP","FN"),IF(G609=1,"FP","TN"))</x:f>
        <x:v>TN</x:v>
      </x:c>
    </x:row>
    <x:row r="610">
      <x:c r="A610" t="str">
        <x:f>MiniCase_Data!A610</x:f>
        <x:v>R00609</x:v>
      </x:c>
      <x:c r="B610" t="n">
        <x:f>IF(MiniCase_Data!O610="불합격",1,0)</x:f>
        <x:v>0</x:v>
      </x:c>
      <x:c r="C610" t="str">
        <x:f>IF(ISBLANK(MiniCase_Data!H610),"missing",IF(OR(MiniCase_Data!H610&lt;27,MiniCase_Data!H610&gt;33),"밖","안"))</x:f>
        <x:v>안</x:v>
      </x:c>
      <x:c r="D610" t="n">
        <x:f>IF(ISBLANK(MiniCase_Data!H610),VLOOKUP(A610,센서로그!$A$2:$C$13,3,FALSE),MiniCase_Data!H610)</x:f>
        <x:v>30.8</x:v>
      </x:c>
      <x:c r="E610" t="n">
        <x:f>IF(AND(MiniCase_Data!C610="야간",MiniCase_Data!F610="M03"),1,0)</x:f>
        <x:v>0</x:v>
      </x:c>
      <x:c r="F610" t="n">
        <x:f>IF(C610="밖",1,0)</x:f>
        <x:v>0</x:v>
      </x:c>
      <x:c r="G610" t="n">
        <x:f>IF(OR(F610=1,E610=1),1,0)</x:f>
        <x:v>0</x:v>
      </x:c>
      <x:c r="H610" t="str">
        <x:f>IF(B610=1,IF(F610=1,"TP","FN"),IF(F610=1,"FP","TN"))</x:f>
        <x:v>TN</x:v>
      </x:c>
      <x:c r="I610" t="str">
        <x:f>IF(B610=1,IF(G610=1,"TP","FN"),IF(G610=1,"FP","TN"))</x:f>
        <x:v>TN</x:v>
      </x:c>
    </x:row>
    <x:row r="611">
      <x:c r="A611" t="str">
        <x:f>MiniCase_Data!A611</x:f>
        <x:v>R00610</x:v>
      </x:c>
      <x:c r="B611" t="n">
        <x:f>IF(MiniCase_Data!O611="불합격",1,0)</x:f>
        <x:v>0</x:v>
      </x:c>
      <x:c r="C611" t="str">
        <x:f>IF(ISBLANK(MiniCase_Data!H611),"missing",IF(OR(MiniCase_Data!H611&lt;27,MiniCase_Data!H611&gt;33),"밖","안"))</x:f>
        <x:v>안</x:v>
      </x:c>
      <x:c r="D611" t="n">
        <x:f>IF(ISBLANK(MiniCase_Data!H611),VLOOKUP(A611,센서로그!$A$2:$C$13,3,FALSE),MiniCase_Data!H611)</x:f>
        <x:v>27.74</x:v>
      </x:c>
      <x:c r="E611" t="n">
        <x:f>IF(AND(MiniCase_Data!C611="야간",MiniCase_Data!F611="M03"),1,0)</x:f>
        <x:v>0</x:v>
      </x:c>
      <x:c r="F611" t="n">
        <x:f>IF(C611="밖",1,0)</x:f>
        <x:v>0</x:v>
      </x:c>
      <x:c r="G611" t="n">
        <x:f>IF(OR(F611=1,E611=1),1,0)</x:f>
        <x:v>0</x:v>
      </x:c>
      <x:c r="H611" t="str">
        <x:f>IF(B611=1,IF(F611=1,"TP","FN"),IF(F611=1,"FP","TN"))</x:f>
        <x:v>TN</x:v>
      </x:c>
      <x:c r="I611" t="str">
        <x:f>IF(B611=1,IF(G611=1,"TP","FN"),IF(G611=1,"FP","TN"))</x:f>
        <x:v>TN</x:v>
      </x:c>
    </x:row>
    <x:row r="612">
      <x:c r="A612" t="str">
        <x:f>MiniCase_Data!A612</x:f>
        <x:v>R00611</x:v>
      </x:c>
      <x:c r="B612" t="n">
        <x:f>IF(MiniCase_Data!O612="불합격",1,0)</x:f>
        <x:v>0</x:v>
      </x:c>
      <x:c r="C612" t="str">
        <x:f>IF(ISBLANK(MiniCase_Data!H612),"missing",IF(OR(MiniCase_Data!H612&lt;27,MiniCase_Data!H612&gt;33),"밖","안"))</x:f>
        <x:v>안</x:v>
      </x:c>
      <x:c r="D612" t="n">
        <x:f>IF(ISBLANK(MiniCase_Data!H612),VLOOKUP(A612,센서로그!$A$2:$C$13,3,FALSE),MiniCase_Data!H612)</x:f>
        <x:v>32.52</x:v>
      </x:c>
      <x:c r="E612" t="n">
        <x:f>IF(AND(MiniCase_Data!C612="야간",MiniCase_Data!F612="M03"),1,0)</x:f>
        <x:v>0</x:v>
      </x:c>
      <x:c r="F612" t="n">
        <x:f>IF(C612="밖",1,0)</x:f>
        <x:v>0</x:v>
      </x:c>
      <x:c r="G612" t="n">
        <x:f>IF(OR(F612=1,E612=1),1,0)</x:f>
        <x:v>0</x:v>
      </x:c>
      <x:c r="H612" t="str">
        <x:f>IF(B612=1,IF(F612=1,"TP","FN"),IF(F612=1,"FP","TN"))</x:f>
        <x:v>TN</x:v>
      </x:c>
      <x:c r="I612" t="str">
        <x:f>IF(B612=1,IF(G612=1,"TP","FN"),IF(G612=1,"FP","TN"))</x:f>
        <x:v>TN</x:v>
      </x:c>
    </x:row>
    <x:row r="613">
      <x:c r="A613" t="str">
        <x:f>MiniCase_Data!A613</x:f>
        <x:v>R00612</x:v>
      </x:c>
      <x:c r="B613" t="n">
        <x:f>IF(MiniCase_Data!O613="불합격",1,0)</x:f>
        <x:v>0</x:v>
      </x:c>
      <x:c r="C613" t="str">
        <x:f>IF(ISBLANK(MiniCase_Data!H613),"missing",IF(OR(MiniCase_Data!H613&lt;27,MiniCase_Data!H613&gt;33),"밖","안"))</x:f>
        <x:v>안</x:v>
      </x:c>
      <x:c r="D613" t="n">
        <x:f>IF(ISBLANK(MiniCase_Data!H613),VLOOKUP(A613,센서로그!$A$2:$C$13,3,FALSE),MiniCase_Data!H613)</x:f>
        <x:v>31.65</x:v>
      </x:c>
      <x:c r="E613" t="n">
        <x:f>IF(AND(MiniCase_Data!C613="야간",MiniCase_Data!F613="M03"),1,0)</x:f>
        <x:v>0</x:v>
      </x:c>
      <x:c r="F613" t="n">
        <x:f>IF(C613="밖",1,0)</x:f>
        <x:v>0</x:v>
      </x:c>
      <x:c r="G613" t="n">
        <x:f>IF(OR(F613=1,E613=1),1,0)</x:f>
        <x:v>0</x:v>
      </x:c>
      <x:c r="H613" t="str">
        <x:f>IF(B613=1,IF(F613=1,"TP","FN"),IF(F613=1,"FP","TN"))</x:f>
        <x:v>TN</x:v>
      </x:c>
      <x:c r="I613" t="str">
        <x:f>IF(B613=1,IF(G613=1,"TP","FN"),IF(G613=1,"FP","TN"))</x:f>
        <x:v>TN</x:v>
      </x:c>
    </x:row>
    <x:row r="614">
      <x:c r="A614" t="str">
        <x:f>MiniCase_Data!A614</x:f>
        <x:v>R00613</x:v>
      </x:c>
      <x:c r="B614" t="n">
        <x:f>IF(MiniCase_Data!O614="불합격",1,0)</x:f>
        <x:v>0</x:v>
      </x:c>
      <x:c r="C614" t="str">
        <x:f>IF(ISBLANK(MiniCase_Data!H614),"missing",IF(OR(MiniCase_Data!H614&lt;27,MiniCase_Data!H614&gt;33),"밖","안"))</x:f>
        <x:v>missing</x:v>
      </x:c>
      <x:c r="D614" t="n">
        <x:f>IF(ISBLANK(MiniCase_Data!H614),VLOOKUP(A614,센서로그!$A$2:$C$13,3,FALSE),MiniCase_Data!H614)</x:f>
        <x:v>30.33</x:v>
      </x:c>
      <x:c r="E614" t="n">
        <x:f>IF(AND(MiniCase_Data!C614="야간",MiniCase_Data!F614="M03"),1,0)</x:f>
        <x:v>0</x:v>
      </x:c>
      <x:c r="F614" t="n">
        <x:f>IF(C614="밖",1,0)</x:f>
        <x:v>0</x:v>
      </x:c>
      <x:c r="G614" t="n">
        <x:f>IF(OR(F614=1,E614=1),1,0)</x:f>
        <x:v>0</x:v>
      </x:c>
      <x:c r="H614" t="str">
        <x:f>IF(B614=1,IF(F614=1,"TP","FN"),IF(F614=1,"FP","TN"))</x:f>
        <x:v>TN</x:v>
      </x:c>
      <x:c r="I614" t="str">
        <x:f>IF(B614=1,IF(G614=1,"TP","FN"),IF(G614=1,"FP","TN"))</x:f>
        <x:v>TN</x:v>
      </x:c>
    </x:row>
    <x:row r="615">
      <x:c r="A615" t="str">
        <x:f>MiniCase_Data!A615</x:f>
        <x:v>R00614</x:v>
      </x:c>
      <x:c r="B615" t="n">
        <x:f>IF(MiniCase_Data!O615="불합격",1,0)</x:f>
        <x:v>0</x:v>
      </x:c>
      <x:c r="C615" t="str">
        <x:f>IF(ISBLANK(MiniCase_Data!H615),"missing",IF(OR(MiniCase_Data!H615&lt;27,MiniCase_Data!H615&gt;33),"밖","안"))</x:f>
        <x:v>안</x:v>
      </x:c>
      <x:c r="D615" t="n">
        <x:f>IF(ISBLANK(MiniCase_Data!H615),VLOOKUP(A615,센서로그!$A$2:$C$13,3,FALSE),MiniCase_Data!H615)</x:f>
        <x:v>28.42</x:v>
      </x:c>
      <x:c r="E615" t="n">
        <x:f>IF(AND(MiniCase_Data!C615="야간",MiniCase_Data!F615="M03"),1,0)</x:f>
        <x:v>0</x:v>
      </x:c>
      <x:c r="F615" t="n">
        <x:f>IF(C615="밖",1,0)</x:f>
        <x:v>0</x:v>
      </x:c>
      <x:c r="G615" t="n">
        <x:f>IF(OR(F615=1,E615=1),1,0)</x:f>
        <x:v>0</x:v>
      </x:c>
      <x:c r="H615" t="str">
        <x:f>IF(B615=1,IF(F615=1,"TP","FN"),IF(F615=1,"FP","TN"))</x:f>
        <x:v>TN</x:v>
      </x:c>
      <x:c r="I615" t="str">
        <x:f>IF(B615=1,IF(G615=1,"TP","FN"),IF(G615=1,"FP","TN"))</x:f>
        <x:v>TN</x:v>
      </x:c>
    </x:row>
    <x:row r="616">
      <x:c r="A616" t="str">
        <x:f>MiniCase_Data!A616</x:f>
        <x:v>R00615</x:v>
      </x:c>
      <x:c r="B616" t="n">
        <x:f>IF(MiniCase_Data!O616="불합격",1,0)</x:f>
        <x:v>0</x:v>
      </x:c>
      <x:c r="C616" t="str">
        <x:f>IF(ISBLANK(MiniCase_Data!H616),"missing",IF(OR(MiniCase_Data!H616&lt;27,MiniCase_Data!H616&gt;33),"밖","안"))</x:f>
        <x:v>밖</x:v>
      </x:c>
      <x:c r="D616" t="n">
        <x:f>IF(ISBLANK(MiniCase_Data!H616),VLOOKUP(A616,센서로그!$A$2:$C$13,3,FALSE),MiniCase_Data!H616)</x:f>
        <x:v>33.64</x:v>
      </x:c>
      <x:c r="E616" t="n">
        <x:f>IF(AND(MiniCase_Data!C616="야간",MiniCase_Data!F616="M03"),1,0)</x:f>
        <x:v>1</x:v>
      </x:c>
      <x:c r="F616" t="n">
        <x:f>IF(C616="밖",1,0)</x:f>
        <x:v>1</x:v>
      </x:c>
      <x:c r="G616" t="n">
        <x:f>IF(OR(F616=1,E616=1),1,0)</x:f>
        <x:v>1</x:v>
      </x:c>
      <x:c r="H616" t="str">
        <x:f>IF(B616=1,IF(F616=1,"TP","FN"),IF(F616=1,"FP","TN"))</x:f>
        <x:v>FP</x:v>
      </x:c>
      <x:c r="I616" t="str">
        <x:f>IF(B616=1,IF(G616=1,"TP","FN"),IF(G616=1,"FP","TN"))</x:f>
        <x:v>FP</x:v>
      </x:c>
    </x:row>
    <x:row r="617">
      <x:c r="A617" t="str">
        <x:f>MiniCase_Data!A617</x:f>
        <x:v>R00616</x:v>
      </x:c>
      <x:c r="B617" t="n">
        <x:f>IF(MiniCase_Data!O617="불합격",1,0)</x:f>
        <x:v>0</x:v>
      </x:c>
      <x:c r="C617" t="str">
        <x:f>IF(ISBLANK(MiniCase_Data!H617),"missing",IF(OR(MiniCase_Data!H617&lt;27,MiniCase_Data!H617&gt;33),"밖","안"))</x:f>
        <x:v>안</x:v>
      </x:c>
      <x:c r="D617" t="n">
        <x:f>IF(ISBLANK(MiniCase_Data!H617),VLOOKUP(A617,센서로그!$A$2:$C$13,3,FALSE),MiniCase_Data!H617)</x:f>
        <x:v>28.73</x:v>
      </x:c>
      <x:c r="E617" t="n">
        <x:f>IF(AND(MiniCase_Data!C617="야간",MiniCase_Data!F617="M03"),1,0)</x:f>
        <x:v>0</x:v>
      </x:c>
      <x:c r="F617" t="n">
        <x:f>IF(C617="밖",1,0)</x:f>
        <x:v>0</x:v>
      </x:c>
      <x:c r="G617" t="n">
        <x:f>IF(OR(F617=1,E617=1),1,0)</x:f>
        <x:v>0</x:v>
      </x:c>
      <x:c r="H617" t="str">
        <x:f>IF(B617=1,IF(F617=1,"TP","FN"),IF(F617=1,"FP","TN"))</x:f>
        <x:v>TN</x:v>
      </x:c>
      <x:c r="I617" t="str">
        <x:f>IF(B617=1,IF(G617=1,"TP","FN"),IF(G617=1,"FP","TN"))</x:f>
        <x:v>TN</x:v>
      </x:c>
    </x:row>
    <x:row r="618">
      <x:c r="A618" t="str">
        <x:f>MiniCase_Data!A618</x:f>
        <x:v>R00617</x:v>
      </x:c>
      <x:c r="B618" t="n">
        <x:f>IF(MiniCase_Data!O618="불합격",1,0)</x:f>
        <x:v>0</x:v>
      </x:c>
      <x:c r="C618" t="str">
        <x:f>IF(ISBLANK(MiniCase_Data!H618),"missing",IF(OR(MiniCase_Data!H618&lt;27,MiniCase_Data!H618&gt;33),"밖","안"))</x:f>
        <x:v>안</x:v>
      </x:c>
      <x:c r="D618" t="n">
        <x:f>IF(ISBLANK(MiniCase_Data!H618),VLOOKUP(A618,센서로그!$A$2:$C$13,3,FALSE),MiniCase_Data!H618)</x:f>
        <x:v>32.26</x:v>
      </x:c>
      <x:c r="E618" t="n">
        <x:f>IF(AND(MiniCase_Data!C618="야간",MiniCase_Data!F618="M03"),1,0)</x:f>
        <x:v>0</x:v>
      </x:c>
      <x:c r="F618" t="n">
        <x:f>IF(C618="밖",1,0)</x:f>
        <x:v>0</x:v>
      </x:c>
      <x:c r="G618" t="n">
        <x:f>IF(OR(F618=1,E618=1),1,0)</x:f>
        <x:v>0</x:v>
      </x:c>
      <x:c r="H618" t="str">
        <x:f>IF(B618=1,IF(F618=1,"TP","FN"),IF(F618=1,"FP","TN"))</x:f>
        <x:v>TN</x:v>
      </x:c>
      <x:c r="I618" t="str">
        <x:f>IF(B618=1,IF(G618=1,"TP","FN"),IF(G618=1,"FP","TN"))</x:f>
        <x:v>TN</x:v>
      </x:c>
    </x:row>
    <x:row r="619">
      <x:c r="A619" t="str">
        <x:f>MiniCase_Data!A619</x:f>
        <x:v>R00618</x:v>
      </x:c>
      <x:c r="B619" t="n">
        <x:f>IF(MiniCase_Data!O619="불합격",1,0)</x:f>
        <x:v>0</x:v>
      </x:c>
      <x:c r="C619" t="str">
        <x:f>IF(ISBLANK(MiniCase_Data!H619),"missing",IF(OR(MiniCase_Data!H619&lt;27,MiniCase_Data!H619&gt;33),"밖","안"))</x:f>
        <x:v>안</x:v>
      </x:c>
      <x:c r="D619" t="n">
        <x:f>IF(ISBLANK(MiniCase_Data!H619),VLOOKUP(A619,센서로그!$A$2:$C$13,3,FALSE),MiniCase_Data!H619)</x:f>
        <x:v>30.41</x:v>
      </x:c>
      <x:c r="E619" t="n">
        <x:f>IF(AND(MiniCase_Data!C619="야간",MiniCase_Data!F619="M03"),1,0)</x:f>
        <x:v>0</x:v>
      </x:c>
      <x:c r="F619" t="n">
        <x:f>IF(C619="밖",1,0)</x:f>
        <x:v>0</x:v>
      </x:c>
      <x:c r="G619" t="n">
        <x:f>IF(OR(F619=1,E619=1),1,0)</x:f>
        <x:v>0</x:v>
      </x:c>
      <x:c r="H619" t="str">
        <x:f>IF(B619=1,IF(F619=1,"TP","FN"),IF(F619=1,"FP","TN"))</x:f>
        <x:v>TN</x:v>
      </x:c>
      <x:c r="I619" t="str">
        <x:f>IF(B619=1,IF(G619=1,"TP","FN"),IF(G619=1,"FP","TN"))</x:f>
        <x:v>TN</x:v>
      </x:c>
    </x:row>
    <x:row r="620">
      <x:c r="A620" t="str">
        <x:f>MiniCase_Data!A620</x:f>
        <x:v>R00619</x:v>
      </x:c>
      <x:c r="B620" t="n">
        <x:f>IF(MiniCase_Data!O620="불합격",1,0)</x:f>
        <x:v>0</x:v>
      </x:c>
      <x:c r="C620" t="str">
        <x:f>IF(ISBLANK(MiniCase_Data!H620),"missing",IF(OR(MiniCase_Data!H620&lt;27,MiniCase_Data!H620&gt;33),"밖","안"))</x:f>
        <x:v>안</x:v>
      </x:c>
      <x:c r="D620" t="n">
        <x:f>IF(ISBLANK(MiniCase_Data!H620),VLOOKUP(A620,센서로그!$A$2:$C$13,3,FALSE),MiniCase_Data!H620)</x:f>
        <x:v>29.66</x:v>
      </x:c>
      <x:c r="E620" t="n">
        <x:f>IF(AND(MiniCase_Data!C620="야간",MiniCase_Data!F620="M03"),1,0)</x:f>
        <x:v>0</x:v>
      </x:c>
      <x:c r="F620" t="n">
        <x:f>IF(C620="밖",1,0)</x:f>
        <x:v>0</x:v>
      </x:c>
      <x:c r="G620" t="n">
        <x:f>IF(OR(F620=1,E620=1),1,0)</x:f>
        <x:v>0</x:v>
      </x:c>
      <x:c r="H620" t="str">
        <x:f>IF(B620=1,IF(F620=1,"TP","FN"),IF(F620=1,"FP","TN"))</x:f>
        <x:v>TN</x:v>
      </x:c>
      <x:c r="I620" t="str">
        <x:f>IF(B620=1,IF(G620=1,"TP","FN"),IF(G620=1,"FP","TN"))</x:f>
        <x:v>TN</x:v>
      </x:c>
    </x:row>
    <x:row r="621">
      <x:c r="A621" t="str">
        <x:f>MiniCase_Data!A621</x:f>
        <x:v>R00620</x:v>
      </x:c>
      <x:c r="B621" t="n">
        <x:f>IF(MiniCase_Data!O621="불합격",1,0)</x:f>
        <x:v>0</x:v>
      </x:c>
      <x:c r="C621" t="str">
        <x:f>IF(ISBLANK(MiniCase_Data!H621),"missing",IF(OR(MiniCase_Data!H621&lt;27,MiniCase_Data!H621&gt;33),"밖","안"))</x:f>
        <x:v>안</x:v>
      </x:c>
      <x:c r="D621" t="n">
        <x:f>IF(ISBLANK(MiniCase_Data!H621),VLOOKUP(A621,센서로그!$A$2:$C$13,3,FALSE),MiniCase_Data!H621)</x:f>
        <x:v>28.12</x:v>
      </x:c>
      <x:c r="E621" t="n">
        <x:f>IF(AND(MiniCase_Data!C621="야간",MiniCase_Data!F621="M03"),1,0)</x:f>
        <x:v>0</x:v>
      </x:c>
      <x:c r="F621" t="n">
        <x:f>IF(C621="밖",1,0)</x:f>
        <x:v>0</x:v>
      </x:c>
      <x:c r="G621" t="n">
        <x:f>IF(OR(F621=1,E621=1),1,0)</x:f>
        <x:v>0</x:v>
      </x:c>
      <x:c r="H621" t="str">
        <x:f>IF(B621=1,IF(F621=1,"TP","FN"),IF(F621=1,"FP","TN"))</x:f>
        <x:v>TN</x:v>
      </x:c>
      <x:c r="I621" t="str">
        <x:f>IF(B621=1,IF(G621=1,"TP","FN"),IF(G621=1,"FP","TN"))</x:f>
        <x:v>TN</x:v>
      </x:c>
    </x:row>
    <x:row r="622">
      <x:c r="A622" t="str">
        <x:f>MiniCase_Data!A622</x:f>
        <x:v>R00621</x:v>
      </x:c>
      <x:c r="B622" t="n">
        <x:f>IF(MiniCase_Data!O622="불합격",1,0)</x:f>
        <x:v>0</x:v>
      </x:c>
      <x:c r="C622" t="str">
        <x:f>IF(ISBLANK(MiniCase_Data!H622),"missing",IF(OR(MiniCase_Data!H622&lt;27,MiniCase_Data!H622&gt;33),"밖","안"))</x:f>
        <x:v>안</x:v>
      </x:c>
      <x:c r="D622" t="n">
        <x:f>IF(ISBLANK(MiniCase_Data!H622),VLOOKUP(A622,센서로그!$A$2:$C$13,3,FALSE),MiniCase_Data!H622)</x:f>
        <x:v>28.44</x:v>
      </x:c>
      <x:c r="E622" t="n">
        <x:f>IF(AND(MiniCase_Data!C622="야간",MiniCase_Data!F622="M03"),1,0)</x:f>
        <x:v>0</x:v>
      </x:c>
      <x:c r="F622" t="n">
        <x:f>IF(C622="밖",1,0)</x:f>
        <x:v>0</x:v>
      </x:c>
      <x:c r="G622" t="n">
        <x:f>IF(OR(F622=1,E622=1),1,0)</x:f>
        <x:v>0</x:v>
      </x:c>
      <x:c r="H622" t="str">
        <x:f>IF(B622=1,IF(F622=1,"TP","FN"),IF(F622=1,"FP","TN"))</x:f>
        <x:v>TN</x:v>
      </x:c>
      <x:c r="I622" t="str">
        <x:f>IF(B622=1,IF(G622=1,"TP","FN"),IF(G622=1,"FP","TN"))</x:f>
        <x:v>TN</x:v>
      </x:c>
    </x:row>
    <x:row r="623">
      <x:c r="A623" t="str">
        <x:f>MiniCase_Data!A623</x:f>
        <x:v>R00622</x:v>
      </x:c>
      <x:c r="B623" t="n">
        <x:f>IF(MiniCase_Data!O623="불합격",1,0)</x:f>
        <x:v>0</x:v>
      </x:c>
      <x:c r="C623" t="str">
        <x:f>IF(ISBLANK(MiniCase_Data!H623),"missing",IF(OR(MiniCase_Data!H623&lt;27,MiniCase_Data!H623&gt;33),"밖","안"))</x:f>
        <x:v>안</x:v>
      </x:c>
      <x:c r="D623" t="n">
        <x:f>IF(ISBLANK(MiniCase_Data!H623),VLOOKUP(A623,센서로그!$A$2:$C$13,3,FALSE),MiniCase_Data!H623)</x:f>
        <x:v>27.78</x:v>
      </x:c>
      <x:c r="E623" t="n">
        <x:f>IF(AND(MiniCase_Data!C623="야간",MiniCase_Data!F623="M03"),1,0)</x:f>
        <x:v>0</x:v>
      </x:c>
      <x:c r="F623" t="n">
        <x:f>IF(C623="밖",1,0)</x:f>
        <x:v>0</x:v>
      </x:c>
      <x:c r="G623" t="n">
        <x:f>IF(OR(F623=1,E623=1),1,0)</x:f>
        <x:v>0</x:v>
      </x:c>
      <x:c r="H623" t="str">
        <x:f>IF(B623=1,IF(F623=1,"TP","FN"),IF(F623=1,"FP","TN"))</x:f>
        <x:v>TN</x:v>
      </x:c>
      <x:c r="I623" t="str">
        <x:f>IF(B623=1,IF(G623=1,"TP","FN"),IF(G623=1,"FP","TN"))</x:f>
        <x:v>TN</x:v>
      </x:c>
    </x:row>
    <x:row r="624">
      <x:c r="A624" t="str">
        <x:f>MiniCase_Data!A624</x:f>
        <x:v>R00623</x:v>
      </x:c>
      <x:c r="B624" t="n">
        <x:f>IF(MiniCase_Data!O624="불합격",1,0)</x:f>
        <x:v>0</x:v>
      </x:c>
      <x:c r="C624" t="str">
        <x:f>IF(ISBLANK(MiniCase_Data!H624),"missing",IF(OR(MiniCase_Data!H624&lt;27,MiniCase_Data!H624&gt;33),"밖","안"))</x:f>
        <x:v>안</x:v>
      </x:c>
      <x:c r="D624" t="n">
        <x:f>IF(ISBLANK(MiniCase_Data!H624),VLOOKUP(A624,센서로그!$A$2:$C$13,3,FALSE),MiniCase_Data!H624)</x:f>
        <x:v>29.43</x:v>
      </x:c>
      <x:c r="E624" t="n">
        <x:f>IF(AND(MiniCase_Data!C624="야간",MiniCase_Data!F624="M03"),1,0)</x:f>
        <x:v>0</x:v>
      </x:c>
      <x:c r="F624" t="n">
        <x:f>IF(C624="밖",1,0)</x:f>
        <x:v>0</x:v>
      </x:c>
      <x:c r="G624" t="n">
        <x:f>IF(OR(F624=1,E624=1),1,0)</x:f>
        <x:v>0</x:v>
      </x:c>
      <x:c r="H624" t="str">
        <x:f>IF(B624=1,IF(F624=1,"TP","FN"),IF(F624=1,"FP","TN"))</x:f>
        <x:v>TN</x:v>
      </x:c>
      <x:c r="I624" t="str">
        <x:f>IF(B624=1,IF(G624=1,"TP","FN"),IF(G624=1,"FP","TN"))</x:f>
        <x:v>TN</x:v>
      </x:c>
    </x:row>
    <x:row r="625">
      <x:c r="A625" t="str">
        <x:f>MiniCase_Data!A625</x:f>
        <x:v>R00624</x:v>
      </x:c>
      <x:c r="B625" t="n">
        <x:f>IF(MiniCase_Data!O625="불합격",1,0)</x:f>
        <x:v>0</x:v>
      </x:c>
      <x:c r="C625" t="str">
        <x:f>IF(ISBLANK(MiniCase_Data!H625),"missing",IF(OR(MiniCase_Data!H625&lt;27,MiniCase_Data!H625&gt;33),"밖","안"))</x:f>
        <x:v>안</x:v>
      </x:c>
      <x:c r="D625" t="n">
        <x:f>IF(ISBLANK(MiniCase_Data!H625),VLOOKUP(A625,센서로그!$A$2:$C$13,3,FALSE),MiniCase_Data!H625)</x:f>
        <x:v>30.65</x:v>
      </x:c>
      <x:c r="E625" t="n">
        <x:f>IF(AND(MiniCase_Data!C625="야간",MiniCase_Data!F625="M03"),1,0)</x:f>
        <x:v>0</x:v>
      </x:c>
      <x:c r="F625" t="n">
        <x:f>IF(C625="밖",1,0)</x:f>
        <x:v>0</x:v>
      </x:c>
      <x:c r="G625" t="n">
        <x:f>IF(OR(F625=1,E625=1),1,0)</x:f>
        <x:v>0</x:v>
      </x:c>
      <x:c r="H625" t="str">
        <x:f>IF(B625=1,IF(F625=1,"TP","FN"),IF(F625=1,"FP","TN"))</x:f>
        <x:v>TN</x:v>
      </x:c>
      <x:c r="I625" t="str">
        <x:f>IF(B625=1,IF(G625=1,"TP","FN"),IF(G625=1,"FP","TN"))</x:f>
        <x:v>TN</x:v>
      </x:c>
    </x:row>
    <x:row r="626">
      <x:c r="A626" t="str">
        <x:f>MiniCase_Data!A626</x:f>
        <x:v>R00625</x:v>
      </x:c>
      <x:c r="B626" t="n">
        <x:f>IF(MiniCase_Data!O626="불합격",1,0)</x:f>
        <x:v>0</x:v>
      </x:c>
      <x:c r="C626" t="str">
        <x:f>IF(ISBLANK(MiniCase_Data!H626),"missing",IF(OR(MiniCase_Data!H626&lt;27,MiniCase_Data!H626&gt;33),"밖","안"))</x:f>
        <x:v>안</x:v>
      </x:c>
      <x:c r="D626" t="n">
        <x:f>IF(ISBLANK(MiniCase_Data!H626),VLOOKUP(A626,센서로그!$A$2:$C$13,3,FALSE),MiniCase_Data!H626)</x:f>
        <x:v>31.46</x:v>
      </x:c>
      <x:c r="E626" t="n">
        <x:f>IF(AND(MiniCase_Data!C626="야간",MiniCase_Data!F626="M03"),1,0)</x:f>
        <x:v>0</x:v>
      </x:c>
      <x:c r="F626" t="n">
        <x:f>IF(C626="밖",1,0)</x:f>
        <x:v>0</x:v>
      </x:c>
      <x:c r="G626" t="n">
        <x:f>IF(OR(F626=1,E626=1),1,0)</x:f>
        <x:v>0</x:v>
      </x:c>
      <x:c r="H626" t="str">
        <x:f>IF(B626=1,IF(F626=1,"TP","FN"),IF(F626=1,"FP","TN"))</x:f>
        <x:v>TN</x:v>
      </x:c>
      <x:c r="I626" t="str">
        <x:f>IF(B626=1,IF(G626=1,"TP","FN"),IF(G626=1,"FP","TN"))</x:f>
        <x:v>TN</x:v>
      </x:c>
    </x:row>
    <x:row r="627">
      <x:c r="A627" t="str">
        <x:f>MiniCase_Data!A627</x:f>
        <x:v>R00626</x:v>
      </x:c>
      <x:c r="B627" t="n">
        <x:f>IF(MiniCase_Data!O627="불합격",1,0)</x:f>
        <x:v>0</x:v>
      </x:c>
      <x:c r="C627" t="str">
        <x:f>IF(ISBLANK(MiniCase_Data!H627),"missing",IF(OR(MiniCase_Data!H627&lt;27,MiniCase_Data!H627&gt;33),"밖","안"))</x:f>
        <x:v>안</x:v>
      </x:c>
      <x:c r="D627" t="n">
        <x:f>IF(ISBLANK(MiniCase_Data!H627),VLOOKUP(A627,센서로그!$A$2:$C$13,3,FALSE),MiniCase_Data!H627)</x:f>
        <x:v>31.08</x:v>
      </x:c>
      <x:c r="E627" t="n">
        <x:f>IF(AND(MiniCase_Data!C627="야간",MiniCase_Data!F627="M03"),1,0)</x:f>
        <x:v>0</x:v>
      </x:c>
      <x:c r="F627" t="n">
        <x:f>IF(C627="밖",1,0)</x:f>
        <x:v>0</x:v>
      </x:c>
      <x:c r="G627" t="n">
        <x:f>IF(OR(F627=1,E627=1),1,0)</x:f>
        <x:v>0</x:v>
      </x:c>
      <x:c r="H627" t="str">
        <x:f>IF(B627=1,IF(F627=1,"TP","FN"),IF(F627=1,"FP","TN"))</x:f>
        <x:v>TN</x:v>
      </x:c>
      <x:c r="I627" t="str">
        <x:f>IF(B627=1,IF(G627=1,"TP","FN"),IF(G627=1,"FP","TN"))</x:f>
        <x:v>TN</x:v>
      </x:c>
    </x:row>
    <x:row r="628">
      <x:c r="A628" t="str">
        <x:f>MiniCase_Data!A628</x:f>
        <x:v>R00627</x:v>
      </x:c>
      <x:c r="B628" t="n">
        <x:f>IF(MiniCase_Data!O628="불합격",1,0)</x:f>
        <x:v>0</x:v>
      </x:c>
      <x:c r="C628" t="str">
        <x:f>IF(ISBLANK(MiniCase_Data!H628),"missing",IF(OR(MiniCase_Data!H628&lt;27,MiniCase_Data!H628&gt;33),"밖","안"))</x:f>
        <x:v>안</x:v>
      </x:c>
      <x:c r="D628" t="n">
        <x:f>IF(ISBLANK(MiniCase_Data!H628),VLOOKUP(A628,센서로그!$A$2:$C$13,3,FALSE),MiniCase_Data!H628)</x:f>
        <x:v>32.65</x:v>
      </x:c>
      <x:c r="E628" t="n">
        <x:f>IF(AND(MiniCase_Data!C628="야간",MiniCase_Data!F628="M03"),1,0)</x:f>
        <x:v>0</x:v>
      </x:c>
      <x:c r="F628" t="n">
        <x:f>IF(C628="밖",1,0)</x:f>
        <x:v>0</x:v>
      </x:c>
      <x:c r="G628" t="n">
        <x:f>IF(OR(F628=1,E628=1),1,0)</x:f>
        <x:v>0</x:v>
      </x:c>
      <x:c r="H628" t="str">
        <x:f>IF(B628=1,IF(F628=1,"TP","FN"),IF(F628=1,"FP","TN"))</x:f>
        <x:v>TN</x:v>
      </x:c>
      <x:c r="I628" t="str">
        <x:f>IF(B628=1,IF(G628=1,"TP","FN"),IF(G628=1,"FP","TN"))</x:f>
        <x:v>TN</x:v>
      </x:c>
    </x:row>
    <x:row r="629">
      <x:c r="A629" t="str">
        <x:f>MiniCase_Data!A629</x:f>
        <x:v>R00628</x:v>
      </x:c>
      <x:c r="B629" t="n">
        <x:f>IF(MiniCase_Data!O629="불합격",1,0)</x:f>
        <x:v>0</x:v>
      </x:c>
      <x:c r="C629" t="str">
        <x:f>IF(ISBLANK(MiniCase_Data!H629),"missing",IF(OR(MiniCase_Data!H629&lt;27,MiniCase_Data!H629&gt;33),"밖","안"))</x:f>
        <x:v>안</x:v>
      </x:c>
      <x:c r="D629" t="n">
        <x:f>IF(ISBLANK(MiniCase_Data!H629),VLOOKUP(A629,센서로그!$A$2:$C$13,3,FALSE),MiniCase_Data!H629)</x:f>
        <x:v>27.68</x:v>
      </x:c>
      <x:c r="E629" t="n">
        <x:f>IF(AND(MiniCase_Data!C629="야간",MiniCase_Data!F629="M03"),1,0)</x:f>
        <x:v>0</x:v>
      </x:c>
      <x:c r="F629" t="n">
        <x:f>IF(C629="밖",1,0)</x:f>
        <x:v>0</x:v>
      </x:c>
      <x:c r="G629" t="n">
        <x:f>IF(OR(F629=1,E629=1),1,0)</x:f>
        <x:v>0</x:v>
      </x:c>
      <x:c r="H629" t="str">
        <x:f>IF(B629=1,IF(F629=1,"TP","FN"),IF(F629=1,"FP","TN"))</x:f>
        <x:v>TN</x:v>
      </x:c>
      <x:c r="I629" t="str">
        <x:f>IF(B629=1,IF(G629=1,"TP","FN"),IF(G629=1,"FP","TN"))</x:f>
        <x:v>TN</x:v>
      </x:c>
    </x:row>
    <x:row r="630">
      <x:c r="A630" t="str">
        <x:f>MiniCase_Data!A630</x:f>
        <x:v>R00629</x:v>
      </x:c>
      <x:c r="B630" t="n">
        <x:f>IF(MiniCase_Data!O630="불합격",1,0)</x:f>
        <x:v>0</x:v>
      </x:c>
      <x:c r="C630" t="str">
        <x:f>IF(ISBLANK(MiniCase_Data!H630),"missing",IF(OR(MiniCase_Data!H630&lt;27,MiniCase_Data!H630&gt;33),"밖","안"))</x:f>
        <x:v>안</x:v>
      </x:c>
      <x:c r="D630" t="n">
        <x:f>IF(ISBLANK(MiniCase_Data!H630),VLOOKUP(A630,센서로그!$A$2:$C$13,3,FALSE),MiniCase_Data!H630)</x:f>
        <x:v>31.7</x:v>
      </x:c>
      <x:c r="E630" t="n">
        <x:f>IF(AND(MiniCase_Data!C630="야간",MiniCase_Data!F630="M03"),1,0)</x:f>
        <x:v>0</x:v>
      </x:c>
      <x:c r="F630" t="n">
        <x:f>IF(C630="밖",1,0)</x:f>
        <x:v>0</x:v>
      </x:c>
      <x:c r="G630" t="n">
        <x:f>IF(OR(F630=1,E630=1),1,0)</x:f>
        <x:v>0</x:v>
      </x:c>
      <x:c r="H630" t="str">
        <x:f>IF(B630=1,IF(F630=1,"TP","FN"),IF(F630=1,"FP","TN"))</x:f>
        <x:v>TN</x:v>
      </x:c>
      <x:c r="I630" t="str">
        <x:f>IF(B630=1,IF(G630=1,"TP","FN"),IF(G630=1,"FP","TN"))</x:f>
        <x:v>TN</x:v>
      </x:c>
    </x:row>
    <x:row r="631">
      <x:c r="A631" t="str">
        <x:f>MiniCase_Data!A631</x:f>
        <x:v>R00630</x:v>
      </x:c>
      <x:c r="B631" t="n">
        <x:f>IF(MiniCase_Data!O631="불합격",1,0)</x:f>
        <x:v>0</x:v>
      </x:c>
      <x:c r="C631" t="str">
        <x:f>IF(ISBLANK(MiniCase_Data!H631),"missing",IF(OR(MiniCase_Data!H631&lt;27,MiniCase_Data!H631&gt;33),"밖","안"))</x:f>
        <x:v>안</x:v>
      </x:c>
      <x:c r="D631" t="n">
        <x:f>IF(ISBLANK(MiniCase_Data!H631),VLOOKUP(A631,센서로그!$A$2:$C$13,3,FALSE),MiniCase_Data!H631)</x:f>
        <x:v>29.27</x:v>
      </x:c>
      <x:c r="E631" t="n">
        <x:f>IF(AND(MiniCase_Data!C631="야간",MiniCase_Data!F631="M03"),1,0)</x:f>
        <x:v>0</x:v>
      </x:c>
      <x:c r="F631" t="n">
        <x:f>IF(C631="밖",1,0)</x:f>
        <x:v>0</x:v>
      </x:c>
      <x:c r="G631" t="n">
        <x:f>IF(OR(F631=1,E631=1),1,0)</x:f>
        <x:v>0</x:v>
      </x:c>
      <x:c r="H631" t="str">
        <x:f>IF(B631=1,IF(F631=1,"TP","FN"),IF(F631=1,"FP","TN"))</x:f>
        <x:v>TN</x:v>
      </x:c>
      <x:c r="I631" t="str">
        <x:f>IF(B631=1,IF(G631=1,"TP","FN"),IF(G631=1,"FP","TN"))</x:f>
        <x:v>TN</x:v>
      </x:c>
    </x:row>
    <x:row r="632">
      <x:c r="A632" t="str">
        <x:f>MiniCase_Data!A632</x:f>
        <x:v>R00631</x:v>
      </x:c>
      <x:c r="B632" t="n">
        <x:f>IF(MiniCase_Data!O632="불합격",1,0)</x:f>
        <x:v>0</x:v>
      </x:c>
      <x:c r="C632" t="str">
        <x:f>IF(ISBLANK(MiniCase_Data!H632),"missing",IF(OR(MiniCase_Data!H632&lt;27,MiniCase_Data!H632&gt;33),"밖","안"))</x:f>
        <x:v>안</x:v>
      </x:c>
      <x:c r="D632" t="n">
        <x:f>IF(ISBLANK(MiniCase_Data!H632),VLOOKUP(A632,센서로그!$A$2:$C$13,3,FALSE),MiniCase_Data!H632)</x:f>
        <x:v>27.28</x:v>
      </x:c>
      <x:c r="E632" t="n">
        <x:f>IF(AND(MiniCase_Data!C632="야간",MiniCase_Data!F632="M03"),1,0)</x:f>
        <x:v>0</x:v>
      </x:c>
      <x:c r="F632" t="n">
        <x:f>IF(C632="밖",1,0)</x:f>
        <x:v>0</x:v>
      </x:c>
      <x:c r="G632" t="n">
        <x:f>IF(OR(F632=1,E632=1),1,0)</x:f>
        <x:v>0</x:v>
      </x:c>
      <x:c r="H632" t="str">
        <x:f>IF(B632=1,IF(F632=1,"TP","FN"),IF(F632=1,"FP","TN"))</x:f>
        <x:v>TN</x:v>
      </x:c>
      <x:c r="I632" t="str">
        <x:f>IF(B632=1,IF(G632=1,"TP","FN"),IF(G632=1,"FP","TN"))</x:f>
        <x:v>TN</x:v>
      </x:c>
    </x:row>
    <x:row r="633">
      <x:c r="A633" t="str">
        <x:f>MiniCase_Data!A633</x:f>
        <x:v>R00632</x:v>
      </x:c>
      <x:c r="B633" t="n">
        <x:f>IF(MiniCase_Data!O633="불합격",1,0)</x:f>
        <x:v>0</x:v>
      </x:c>
      <x:c r="C633" t="str">
        <x:f>IF(ISBLANK(MiniCase_Data!H633),"missing",IF(OR(MiniCase_Data!H633&lt;27,MiniCase_Data!H633&gt;33),"밖","안"))</x:f>
        <x:v>안</x:v>
      </x:c>
      <x:c r="D633" t="n">
        <x:f>IF(ISBLANK(MiniCase_Data!H633),VLOOKUP(A633,센서로그!$A$2:$C$13,3,FALSE),MiniCase_Data!H633)</x:f>
        <x:v>28.94</x:v>
      </x:c>
      <x:c r="E633" t="n">
        <x:f>IF(AND(MiniCase_Data!C633="야간",MiniCase_Data!F633="M03"),1,0)</x:f>
        <x:v>0</x:v>
      </x:c>
      <x:c r="F633" t="n">
        <x:f>IF(C633="밖",1,0)</x:f>
        <x:v>0</x:v>
      </x:c>
      <x:c r="G633" t="n">
        <x:f>IF(OR(F633=1,E633=1),1,0)</x:f>
        <x:v>0</x:v>
      </x:c>
      <x:c r="H633" t="str">
        <x:f>IF(B633=1,IF(F633=1,"TP","FN"),IF(F633=1,"FP","TN"))</x:f>
        <x:v>TN</x:v>
      </x:c>
      <x:c r="I633" t="str">
        <x:f>IF(B633=1,IF(G633=1,"TP","FN"),IF(G633=1,"FP","TN"))</x:f>
        <x:v>TN</x:v>
      </x:c>
    </x:row>
    <x:row r="634">
      <x:c r="A634" t="str">
        <x:f>MiniCase_Data!A634</x:f>
        <x:v>R00633</x:v>
      </x:c>
      <x:c r="B634" t="n">
        <x:f>IF(MiniCase_Data!O634="불합격",1,0)</x:f>
        <x:v>0</x:v>
      </x:c>
      <x:c r="C634" t="str">
        <x:f>IF(ISBLANK(MiniCase_Data!H634),"missing",IF(OR(MiniCase_Data!H634&lt;27,MiniCase_Data!H634&gt;33),"밖","안"))</x:f>
        <x:v>안</x:v>
      </x:c>
      <x:c r="D634" t="n">
        <x:f>IF(ISBLANK(MiniCase_Data!H634),VLOOKUP(A634,센서로그!$A$2:$C$13,3,FALSE),MiniCase_Data!H634)</x:f>
        <x:v>27.48</x:v>
      </x:c>
      <x:c r="E634" t="n">
        <x:f>IF(AND(MiniCase_Data!C634="야간",MiniCase_Data!F634="M03"),1,0)</x:f>
        <x:v>0</x:v>
      </x:c>
      <x:c r="F634" t="n">
        <x:f>IF(C634="밖",1,0)</x:f>
        <x:v>0</x:v>
      </x:c>
      <x:c r="G634" t="n">
        <x:f>IF(OR(F634=1,E634=1),1,0)</x:f>
        <x:v>0</x:v>
      </x:c>
      <x:c r="H634" t="str">
        <x:f>IF(B634=1,IF(F634=1,"TP","FN"),IF(F634=1,"FP","TN"))</x:f>
        <x:v>TN</x:v>
      </x:c>
      <x:c r="I634" t="str">
        <x:f>IF(B634=1,IF(G634=1,"TP","FN"),IF(G634=1,"FP","TN"))</x:f>
        <x:v>TN</x:v>
      </x:c>
    </x:row>
    <x:row r="635">
      <x:c r="A635" t="str">
        <x:f>MiniCase_Data!A635</x:f>
        <x:v>R00634</x:v>
      </x:c>
      <x:c r="B635" t="n">
        <x:f>IF(MiniCase_Data!O635="불합격",1,0)</x:f>
        <x:v>0</x:v>
      </x:c>
      <x:c r="C635" t="str">
        <x:f>IF(ISBLANK(MiniCase_Data!H635),"missing",IF(OR(MiniCase_Data!H635&lt;27,MiniCase_Data!H635&gt;33),"밖","안"))</x:f>
        <x:v>안</x:v>
      </x:c>
      <x:c r="D635" t="n">
        <x:f>IF(ISBLANK(MiniCase_Data!H635),VLOOKUP(A635,센서로그!$A$2:$C$13,3,FALSE),MiniCase_Data!H635)</x:f>
        <x:v>32.03</x:v>
      </x:c>
      <x:c r="E635" t="n">
        <x:f>IF(AND(MiniCase_Data!C635="야간",MiniCase_Data!F635="M03"),1,0)</x:f>
        <x:v>0</x:v>
      </x:c>
      <x:c r="F635" t="n">
        <x:f>IF(C635="밖",1,0)</x:f>
        <x:v>0</x:v>
      </x:c>
      <x:c r="G635" t="n">
        <x:f>IF(OR(F635=1,E635=1),1,0)</x:f>
        <x:v>0</x:v>
      </x:c>
      <x:c r="H635" t="str">
        <x:f>IF(B635=1,IF(F635=1,"TP","FN"),IF(F635=1,"FP","TN"))</x:f>
        <x:v>TN</x:v>
      </x:c>
      <x:c r="I635" t="str">
        <x:f>IF(B635=1,IF(G635=1,"TP","FN"),IF(G635=1,"FP","TN"))</x:f>
        <x:v>TN</x:v>
      </x:c>
    </x:row>
    <x:row r="636">
      <x:c r="A636" t="str">
        <x:f>MiniCase_Data!A636</x:f>
        <x:v>R00635</x:v>
      </x:c>
      <x:c r="B636" t="n">
        <x:f>IF(MiniCase_Data!O636="불합격",1,0)</x:f>
        <x:v>0</x:v>
      </x:c>
      <x:c r="C636" t="str">
        <x:f>IF(ISBLANK(MiniCase_Data!H636),"missing",IF(OR(MiniCase_Data!H636&lt;27,MiniCase_Data!H636&gt;33),"밖","안"))</x:f>
        <x:v>안</x:v>
      </x:c>
      <x:c r="D636" t="n">
        <x:f>IF(ISBLANK(MiniCase_Data!H636),VLOOKUP(A636,센서로그!$A$2:$C$13,3,FALSE),MiniCase_Data!H636)</x:f>
        <x:v>27.96</x:v>
      </x:c>
      <x:c r="E636" t="n">
        <x:f>IF(AND(MiniCase_Data!C636="야간",MiniCase_Data!F636="M03"),1,0)</x:f>
        <x:v>0</x:v>
      </x:c>
      <x:c r="F636" t="n">
        <x:f>IF(C636="밖",1,0)</x:f>
        <x:v>0</x:v>
      </x:c>
      <x:c r="G636" t="n">
        <x:f>IF(OR(F636=1,E636=1),1,0)</x:f>
        <x:v>0</x:v>
      </x:c>
      <x:c r="H636" t="str">
        <x:f>IF(B636=1,IF(F636=1,"TP","FN"),IF(F636=1,"FP","TN"))</x:f>
        <x:v>TN</x:v>
      </x:c>
      <x:c r="I636" t="str">
        <x:f>IF(B636=1,IF(G636=1,"TP","FN"),IF(G636=1,"FP","TN"))</x:f>
        <x:v>TN</x:v>
      </x:c>
    </x:row>
    <x:row r="637">
      <x:c r="A637" t="str">
        <x:f>MiniCase_Data!A637</x:f>
        <x:v>R00636</x:v>
      </x:c>
      <x:c r="B637" t="n">
        <x:f>IF(MiniCase_Data!O637="불합격",1,0)</x:f>
        <x:v>0</x:v>
      </x:c>
      <x:c r="C637" t="str">
        <x:f>IF(ISBLANK(MiniCase_Data!H637),"missing",IF(OR(MiniCase_Data!H637&lt;27,MiniCase_Data!H637&gt;33),"밖","안"))</x:f>
        <x:v>안</x:v>
      </x:c>
      <x:c r="D637" t="n">
        <x:f>IF(ISBLANK(MiniCase_Data!H637),VLOOKUP(A637,센서로그!$A$2:$C$13,3,FALSE),MiniCase_Data!H637)</x:f>
        <x:v>31.49</x:v>
      </x:c>
      <x:c r="E637" t="n">
        <x:f>IF(AND(MiniCase_Data!C637="야간",MiniCase_Data!F637="M03"),1,0)</x:f>
        <x:v>0</x:v>
      </x:c>
      <x:c r="F637" t="n">
        <x:f>IF(C637="밖",1,0)</x:f>
        <x:v>0</x:v>
      </x:c>
      <x:c r="G637" t="n">
        <x:f>IF(OR(F637=1,E637=1),1,0)</x:f>
        <x:v>0</x:v>
      </x:c>
      <x:c r="H637" t="str">
        <x:f>IF(B637=1,IF(F637=1,"TP","FN"),IF(F637=1,"FP","TN"))</x:f>
        <x:v>TN</x:v>
      </x:c>
      <x:c r="I637" t="str">
        <x:f>IF(B637=1,IF(G637=1,"TP","FN"),IF(G637=1,"FP","TN"))</x:f>
        <x:v>TN</x:v>
      </x:c>
    </x:row>
    <x:row r="638">
      <x:c r="A638" t="str">
        <x:f>MiniCase_Data!A638</x:f>
        <x:v>R00637</x:v>
      </x:c>
      <x:c r="B638" t="n">
        <x:f>IF(MiniCase_Data!O638="불합격",1,0)</x:f>
        <x:v>0</x:v>
      </x:c>
      <x:c r="C638" t="str">
        <x:f>IF(ISBLANK(MiniCase_Data!H638),"missing",IF(OR(MiniCase_Data!H638&lt;27,MiniCase_Data!H638&gt;33),"밖","안"))</x:f>
        <x:v>안</x:v>
      </x:c>
      <x:c r="D638" t="n">
        <x:f>IF(ISBLANK(MiniCase_Data!H638),VLOOKUP(A638,센서로그!$A$2:$C$13,3,FALSE),MiniCase_Data!H638)</x:f>
        <x:v>27.34</x:v>
      </x:c>
      <x:c r="E638" t="n">
        <x:f>IF(AND(MiniCase_Data!C638="야간",MiniCase_Data!F638="M03"),1,0)</x:f>
        <x:v>0</x:v>
      </x:c>
      <x:c r="F638" t="n">
        <x:f>IF(C638="밖",1,0)</x:f>
        <x:v>0</x:v>
      </x:c>
      <x:c r="G638" t="n">
        <x:f>IF(OR(F638=1,E638=1),1,0)</x:f>
        <x:v>0</x:v>
      </x:c>
      <x:c r="H638" t="str">
        <x:f>IF(B638=1,IF(F638=1,"TP","FN"),IF(F638=1,"FP","TN"))</x:f>
        <x:v>TN</x:v>
      </x:c>
      <x:c r="I638" t="str">
        <x:f>IF(B638=1,IF(G638=1,"TP","FN"),IF(G638=1,"FP","TN"))</x:f>
        <x:v>TN</x:v>
      </x:c>
    </x:row>
    <x:row r="639">
      <x:c r="A639" t="str">
        <x:f>MiniCase_Data!A639</x:f>
        <x:v>R00638</x:v>
      </x:c>
      <x:c r="B639" t="n">
        <x:f>IF(MiniCase_Data!O639="불합격",1,0)</x:f>
        <x:v>0</x:v>
      </x:c>
      <x:c r="C639" t="str">
        <x:f>IF(ISBLANK(MiniCase_Data!H639),"missing",IF(OR(MiniCase_Data!H639&lt;27,MiniCase_Data!H639&gt;33),"밖","안"))</x:f>
        <x:v>안</x:v>
      </x:c>
      <x:c r="D639" t="n">
        <x:f>IF(ISBLANK(MiniCase_Data!H639),VLOOKUP(A639,센서로그!$A$2:$C$13,3,FALSE),MiniCase_Data!H639)</x:f>
        <x:v>31.48</x:v>
      </x:c>
      <x:c r="E639" t="n">
        <x:f>IF(AND(MiniCase_Data!C639="야간",MiniCase_Data!F639="M03"),1,0)</x:f>
        <x:v>0</x:v>
      </x:c>
      <x:c r="F639" t="n">
        <x:f>IF(C639="밖",1,0)</x:f>
        <x:v>0</x:v>
      </x:c>
      <x:c r="G639" t="n">
        <x:f>IF(OR(F639=1,E639=1),1,0)</x:f>
        <x:v>0</x:v>
      </x:c>
      <x:c r="H639" t="str">
        <x:f>IF(B639=1,IF(F639=1,"TP","FN"),IF(F639=1,"FP","TN"))</x:f>
        <x:v>TN</x:v>
      </x:c>
      <x:c r="I639" t="str">
        <x:f>IF(B639=1,IF(G639=1,"TP","FN"),IF(G639=1,"FP","TN"))</x:f>
        <x:v>TN</x:v>
      </x:c>
    </x:row>
    <x:row r="640">
      <x:c r="A640" t="str">
        <x:f>MiniCase_Data!A640</x:f>
        <x:v>R00639</x:v>
      </x:c>
      <x:c r="B640" t="n">
        <x:f>IF(MiniCase_Data!O640="불합격",1,0)</x:f>
        <x:v>0</x:v>
      </x:c>
      <x:c r="C640" t="str">
        <x:f>IF(ISBLANK(MiniCase_Data!H640),"missing",IF(OR(MiniCase_Data!H640&lt;27,MiniCase_Data!H640&gt;33),"밖","안"))</x:f>
        <x:v>안</x:v>
      </x:c>
      <x:c r="D640" t="n">
        <x:f>IF(ISBLANK(MiniCase_Data!H640),VLOOKUP(A640,센서로그!$A$2:$C$13,3,FALSE),MiniCase_Data!H640)</x:f>
        <x:v>28.44</x:v>
      </x:c>
      <x:c r="E640" t="n">
        <x:f>IF(AND(MiniCase_Data!C640="야간",MiniCase_Data!F640="M03"),1,0)</x:f>
        <x:v>0</x:v>
      </x:c>
      <x:c r="F640" t="n">
        <x:f>IF(C640="밖",1,0)</x:f>
        <x:v>0</x:v>
      </x:c>
      <x:c r="G640" t="n">
        <x:f>IF(OR(F640=1,E640=1),1,0)</x:f>
        <x:v>0</x:v>
      </x:c>
      <x:c r="H640" t="str">
        <x:f>IF(B640=1,IF(F640=1,"TP","FN"),IF(F640=1,"FP","TN"))</x:f>
        <x:v>TN</x:v>
      </x:c>
      <x:c r="I640" t="str">
        <x:f>IF(B640=1,IF(G640=1,"TP","FN"),IF(G640=1,"FP","TN"))</x:f>
        <x:v>TN</x:v>
      </x:c>
    </x:row>
    <x:row r="641">
      <x:c r="A641" t="str">
        <x:f>MiniCase_Data!A641</x:f>
        <x:v>R00640</x:v>
      </x:c>
      <x:c r="B641" t="n">
        <x:f>IF(MiniCase_Data!O641="불합격",1,0)</x:f>
        <x:v>0</x:v>
      </x:c>
      <x:c r="C641" t="str">
        <x:f>IF(ISBLANK(MiniCase_Data!H641),"missing",IF(OR(MiniCase_Data!H641&lt;27,MiniCase_Data!H641&gt;33),"밖","안"))</x:f>
        <x:v>안</x:v>
      </x:c>
      <x:c r="D641" t="n">
        <x:f>IF(ISBLANK(MiniCase_Data!H641),VLOOKUP(A641,센서로그!$A$2:$C$13,3,FALSE),MiniCase_Data!H641)</x:f>
        <x:v>32.74</x:v>
      </x:c>
      <x:c r="E641" t="n">
        <x:f>IF(AND(MiniCase_Data!C641="야간",MiniCase_Data!F641="M03"),1,0)</x:f>
        <x:v>0</x:v>
      </x:c>
      <x:c r="F641" t="n">
        <x:f>IF(C641="밖",1,0)</x:f>
        <x:v>0</x:v>
      </x:c>
      <x:c r="G641" t="n">
        <x:f>IF(OR(F641=1,E641=1),1,0)</x:f>
        <x:v>0</x:v>
      </x:c>
      <x:c r="H641" t="str">
        <x:f>IF(B641=1,IF(F641=1,"TP","FN"),IF(F641=1,"FP","TN"))</x:f>
        <x:v>TN</x:v>
      </x:c>
      <x:c r="I641" t="str">
        <x:f>IF(B641=1,IF(G641=1,"TP","FN"),IF(G641=1,"FP","TN"))</x:f>
        <x:v>TN</x:v>
      </x:c>
    </x:row>
    <x:row r="642">
      <x:c r="A642" t="str">
        <x:f>MiniCase_Data!A642</x:f>
        <x:v>R00641</x:v>
      </x:c>
      <x:c r="B642" t="n">
        <x:f>IF(MiniCase_Data!O642="불합격",1,0)</x:f>
        <x:v>1</x:v>
      </x:c>
      <x:c r="C642" t="str">
        <x:f>IF(ISBLANK(MiniCase_Data!H642),"missing",IF(OR(MiniCase_Data!H642&lt;27,MiniCase_Data!H642&gt;33),"밖","안"))</x:f>
        <x:v>안</x:v>
      </x:c>
      <x:c r="D642" t="n">
        <x:f>IF(ISBLANK(MiniCase_Data!H642),VLOOKUP(A642,센서로그!$A$2:$C$13,3,FALSE),MiniCase_Data!H642)</x:f>
        <x:v>27.34</x:v>
      </x:c>
      <x:c r="E642" t="n">
        <x:f>IF(AND(MiniCase_Data!C642="야간",MiniCase_Data!F642="M03"),1,0)</x:f>
        <x:v>1</x:v>
      </x:c>
      <x:c r="F642" t="n">
        <x:f>IF(C642="밖",1,0)</x:f>
        <x:v>0</x:v>
      </x:c>
      <x:c r="G642" t="n">
        <x:f>IF(OR(F642=1,E642=1),1,0)</x:f>
        <x:v>1</x:v>
      </x:c>
      <x:c r="H642" t="str">
        <x:f>IF(B642=1,IF(F642=1,"TP","FN"),IF(F642=1,"FP","TN"))</x:f>
        <x:v>FN</x:v>
      </x:c>
      <x:c r="I642" t="str">
        <x:f>IF(B642=1,IF(G642=1,"TP","FN"),IF(G642=1,"FP","TN"))</x:f>
        <x:v>TP</x:v>
      </x:c>
    </x:row>
    <x:row r="643">
      <x:c r="A643" t="str">
        <x:f>MiniCase_Data!A643</x:f>
        <x:v>R00642</x:v>
      </x:c>
      <x:c r="B643" t="n">
        <x:f>IF(MiniCase_Data!O643="불합격",1,0)</x:f>
        <x:v>0</x:v>
      </x:c>
      <x:c r="C643" t="str">
        <x:f>IF(ISBLANK(MiniCase_Data!H643),"missing",IF(OR(MiniCase_Data!H643&lt;27,MiniCase_Data!H643&gt;33),"밖","안"))</x:f>
        <x:v>안</x:v>
      </x:c>
      <x:c r="D643" t="n">
        <x:f>IF(ISBLANK(MiniCase_Data!H643),VLOOKUP(A643,센서로그!$A$2:$C$13,3,FALSE),MiniCase_Data!H643)</x:f>
        <x:v>27.89</x:v>
      </x:c>
      <x:c r="E643" t="n">
        <x:f>IF(AND(MiniCase_Data!C643="야간",MiniCase_Data!F643="M03"),1,0)</x:f>
        <x:v>0</x:v>
      </x:c>
      <x:c r="F643" t="n">
        <x:f>IF(C643="밖",1,0)</x:f>
        <x:v>0</x:v>
      </x:c>
      <x:c r="G643" t="n">
        <x:f>IF(OR(F643=1,E643=1),1,0)</x:f>
        <x:v>0</x:v>
      </x:c>
      <x:c r="H643" t="str">
        <x:f>IF(B643=1,IF(F643=1,"TP","FN"),IF(F643=1,"FP","TN"))</x:f>
        <x:v>TN</x:v>
      </x:c>
      <x:c r="I643" t="str">
        <x:f>IF(B643=1,IF(G643=1,"TP","FN"),IF(G643=1,"FP","TN"))</x:f>
        <x:v>TN</x:v>
      </x:c>
    </x:row>
    <x:row r="644">
      <x:c r="A644" t="str">
        <x:f>MiniCase_Data!A644</x:f>
        <x:v>R00643</x:v>
      </x:c>
      <x:c r="B644" t="n">
        <x:f>IF(MiniCase_Data!O644="불합격",1,0)</x:f>
        <x:v>0</x:v>
      </x:c>
      <x:c r="C644" t="str">
        <x:f>IF(ISBLANK(MiniCase_Data!H644),"missing",IF(OR(MiniCase_Data!H644&lt;27,MiniCase_Data!H644&gt;33),"밖","안"))</x:f>
        <x:v>안</x:v>
      </x:c>
      <x:c r="D644" t="n">
        <x:f>IF(ISBLANK(MiniCase_Data!H644),VLOOKUP(A644,센서로그!$A$2:$C$13,3,FALSE),MiniCase_Data!H644)</x:f>
        <x:v>32.65</x:v>
      </x:c>
      <x:c r="E644" t="n">
        <x:f>IF(AND(MiniCase_Data!C644="야간",MiniCase_Data!F644="M03"),1,0)</x:f>
        <x:v>0</x:v>
      </x:c>
      <x:c r="F644" t="n">
        <x:f>IF(C644="밖",1,0)</x:f>
        <x:v>0</x:v>
      </x:c>
      <x:c r="G644" t="n">
        <x:f>IF(OR(F644=1,E644=1),1,0)</x:f>
        <x:v>0</x:v>
      </x:c>
      <x:c r="H644" t="str">
        <x:f>IF(B644=1,IF(F644=1,"TP","FN"),IF(F644=1,"FP","TN"))</x:f>
        <x:v>TN</x:v>
      </x:c>
      <x:c r="I644" t="str">
        <x:f>IF(B644=1,IF(G644=1,"TP","FN"),IF(G644=1,"FP","TN"))</x:f>
        <x:v>TN</x:v>
      </x:c>
    </x:row>
    <x:row r="645">
      <x:c r="A645" t="str">
        <x:f>MiniCase_Data!A645</x:f>
        <x:v>R00644</x:v>
      </x:c>
      <x:c r="B645" t="n">
        <x:f>IF(MiniCase_Data!O645="불합격",1,0)</x:f>
        <x:v>0</x:v>
      </x:c>
      <x:c r="C645" t="str">
        <x:f>IF(ISBLANK(MiniCase_Data!H645),"missing",IF(OR(MiniCase_Data!H645&lt;27,MiniCase_Data!H645&gt;33),"밖","안"))</x:f>
        <x:v>안</x:v>
      </x:c>
      <x:c r="D645" t="n">
        <x:f>IF(ISBLANK(MiniCase_Data!H645),VLOOKUP(A645,센서로그!$A$2:$C$13,3,FALSE),MiniCase_Data!H645)</x:f>
        <x:v>28.36</x:v>
      </x:c>
      <x:c r="E645" t="n">
        <x:f>IF(AND(MiniCase_Data!C645="야간",MiniCase_Data!F645="M03"),1,0)</x:f>
        <x:v>0</x:v>
      </x:c>
      <x:c r="F645" t="n">
        <x:f>IF(C645="밖",1,0)</x:f>
        <x:v>0</x:v>
      </x:c>
      <x:c r="G645" t="n">
        <x:f>IF(OR(F645=1,E645=1),1,0)</x:f>
        <x:v>0</x:v>
      </x:c>
      <x:c r="H645" t="str">
        <x:f>IF(B645=1,IF(F645=1,"TP","FN"),IF(F645=1,"FP","TN"))</x:f>
        <x:v>TN</x:v>
      </x:c>
      <x:c r="I645" t="str">
        <x:f>IF(B645=1,IF(G645=1,"TP","FN"),IF(G645=1,"FP","TN"))</x:f>
        <x:v>TN</x:v>
      </x:c>
    </x:row>
    <x:row r="646">
      <x:c r="A646" t="str">
        <x:f>MiniCase_Data!A646</x:f>
        <x:v>R00645</x:v>
      </x:c>
      <x:c r="B646" t="n">
        <x:f>IF(MiniCase_Data!O646="불합격",1,0)</x:f>
        <x:v>0</x:v>
      </x:c>
      <x:c r="C646" t="str">
        <x:f>IF(ISBLANK(MiniCase_Data!H646),"missing",IF(OR(MiniCase_Data!H646&lt;27,MiniCase_Data!H646&gt;33),"밖","안"))</x:f>
        <x:v>안</x:v>
      </x:c>
      <x:c r="D646" t="n">
        <x:f>IF(ISBLANK(MiniCase_Data!H646),VLOOKUP(A646,센서로그!$A$2:$C$13,3,FALSE),MiniCase_Data!H646)</x:f>
        <x:v>29.83</x:v>
      </x:c>
      <x:c r="E646" t="n">
        <x:f>IF(AND(MiniCase_Data!C646="야간",MiniCase_Data!F646="M03"),1,0)</x:f>
        <x:v>0</x:v>
      </x:c>
      <x:c r="F646" t="n">
        <x:f>IF(C646="밖",1,0)</x:f>
        <x:v>0</x:v>
      </x:c>
      <x:c r="G646" t="n">
        <x:f>IF(OR(F646=1,E646=1),1,0)</x:f>
        <x:v>0</x:v>
      </x:c>
      <x:c r="H646" t="str">
        <x:f>IF(B646=1,IF(F646=1,"TP","FN"),IF(F646=1,"FP","TN"))</x:f>
        <x:v>TN</x:v>
      </x:c>
      <x:c r="I646" t="str">
        <x:f>IF(B646=1,IF(G646=1,"TP","FN"),IF(G646=1,"FP","TN"))</x:f>
        <x:v>TN</x:v>
      </x:c>
    </x:row>
    <x:row r="647">
      <x:c r="A647" t="str">
        <x:f>MiniCase_Data!A647</x:f>
        <x:v>R00646</x:v>
      </x:c>
      <x:c r="B647" t="n">
        <x:f>IF(MiniCase_Data!O647="불합격",1,0)</x:f>
        <x:v>0</x:v>
      </x:c>
      <x:c r="C647" t="str">
        <x:f>IF(ISBLANK(MiniCase_Data!H647),"missing",IF(OR(MiniCase_Data!H647&lt;27,MiniCase_Data!H647&gt;33),"밖","안"))</x:f>
        <x:v>안</x:v>
      </x:c>
      <x:c r="D647" t="n">
        <x:f>IF(ISBLANK(MiniCase_Data!H647),VLOOKUP(A647,센서로그!$A$2:$C$13,3,FALSE),MiniCase_Data!H647)</x:f>
        <x:v>28.47</x:v>
      </x:c>
      <x:c r="E647" t="n">
        <x:f>IF(AND(MiniCase_Data!C647="야간",MiniCase_Data!F647="M03"),1,0)</x:f>
        <x:v>0</x:v>
      </x:c>
      <x:c r="F647" t="n">
        <x:f>IF(C647="밖",1,0)</x:f>
        <x:v>0</x:v>
      </x:c>
      <x:c r="G647" t="n">
        <x:f>IF(OR(F647=1,E647=1),1,0)</x:f>
        <x:v>0</x:v>
      </x:c>
      <x:c r="H647" t="str">
        <x:f>IF(B647=1,IF(F647=1,"TP","FN"),IF(F647=1,"FP","TN"))</x:f>
        <x:v>TN</x:v>
      </x:c>
      <x:c r="I647" t="str">
        <x:f>IF(B647=1,IF(G647=1,"TP","FN"),IF(G647=1,"FP","TN"))</x:f>
        <x:v>TN</x:v>
      </x:c>
    </x:row>
    <x:row r="648">
      <x:c r="A648" t="str">
        <x:f>MiniCase_Data!A648</x:f>
        <x:v>R00647</x:v>
      </x:c>
      <x:c r="B648" t="n">
        <x:f>IF(MiniCase_Data!O648="불합격",1,0)</x:f>
        <x:v>0</x:v>
      </x:c>
      <x:c r="C648" t="str">
        <x:f>IF(ISBLANK(MiniCase_Data!H648),"missing",IF(OR(MiniCase_Data!H648&lt;27,MiniCase_Data!H648&gt;33),"밖","안"))</x:f>
        <x:v>안</x:v>
      </x:c>
      <x:c r="D648" t="n">
        <x:f>IF(ISBLANK(MiniCase_Data!H648),VLOOKUP(A648,센서로그!$A$2:$C$13,3,FALSE),MiniCase_Data!H648)</x:f>
        <x:v>32.66</x:v>
      </x:c>
      <x:c r="E648" t="n">
        <x:f>IF(AND(MiniCase_Data!C648="야간",MiniCase_Data!F648="M03"),1,0)</x:f>
        <x:v>1</x:v>
      </x:c>
      <x:c r="F648" t="n">
        <x:f>IF(C648="밖",1,0)</x:f>
        <x:v>0</x:v>
      </x:c>
      <x:c r="G648" t="n">
        <x:f>IF(OR(F648=1,E648=1),1,0)</x:f>
        <x:v>1</x:v>
      </x:c>
      <x:c r="H648" t="str">
        <x:f>IF(B648=1,IF(F648=1,"TP","FN"),IF(F648=1,"FP","TN"))</x:f>
        <x:v>TN</x:v>
      </x:c>
      <x:c r="I648" t="str">
        <x:f>IF(B648=1,IF(G648=1,"TP","FN"),IF(G648=1,"FP","TN"))</x:f>
        <x:v>FP</x:v>
      </x:c>
    </x:row>
    <x:row r="649">
      <x:c r="A649" t="str">
        <x:f>MiniCase_Data!A649</x:f>
        <x:v>R00648</x:v>
      </x:c>
      <x:c r="B649" t="n">
        <x:f>IF(MiniCase_Data!O649="불합격",1,0)</x:f>
        <x:v>0</x:v>
      </x:c>
      <x:c r="C649" t="str">
        <x:f>IF(ISBLANK(MiniCase_Data!H649),"missing",IF(OR(MiniCase_Data!H649&lt;27,MiniCase_Data!H649&gt;33),"밖","안"))</x:f>
        <x:v>안</x:v>
      </x:c>
      <x:c r="D649" t="n">
        <x:f>IF(ISBLANK(MiniCase_Data!H649),VLOOKUP(A649,센서로그!$A$2:$C$13,3,FALSE),MiniCase_Data!H649)</x:f>
        <x:v>29.53</x:v>
      </x:c>
      <x:c r="E649" t="n">
        <x:f>IF(AND(MiniCase_Data!C649="야간",MiniCase_Data!F649="M03"),1,0)</x:f>
        <x:v>0</x:v>
      </x:c>
      <x:c r="F649" t="n">
        <x:f>IF(C649="밖",1,0)</x:f>
        <x:v>0</x:v>
      </x:c>
      <x:c r="G649" t="n">
        <x:f>IF(OR(F649=1,E649=1),1,0)</x:f>
        <x:v>0</x:v>
      </x:c>
      <x:c r="H649" t="str">
        <x:f>IF(B649=1,IF(F649=1,"TP","FN"),IF(F649=1,"FP","TN"))</x:f>
        <x:v>TN</x:v>
      </x:c>
      <x:c r="I649" t="str">
        <x:f>IF(B649=1,IF(G649=1,"TP","FN"),IF(G649=1,"FP","TN"))</x:f>
        <x:v>TN</x:v>
      </x:c>
    </x:row>
    <x:row r="650">
      <x:c r="A650" t="str">
        <x:f>MiniCase_Data!A650</x:f>
        <x:v>R00649</x:v>
      </x:c>
      <x:c r="B650" t="n">
        <x:f>IF(MiniCase_Data!O650="불합격",1,0)</x:f>
        <x:v>0</x:v>
      </x:c>
      <x:c r="C650" t="str">
        <x:f>IF(ISBLANK(MiniCase_Data!H650),"missing",IF(OR(MiniCase_Data!H650&lt;27,MiniCase_Data!H650&gt;33),"밖","안"))</x:f>
        <x:v>안</x:v>
      </x:c>
      <x:c r="D650" t="n">
        <x:f>IF(ISBLANK(MiniCase_Data!H650),VLOOKUP(A650,센서로그!$A$2:$C$13,3,FALSE),MiniCase_Data!H650)</x:f>
        <x:v>27.49</x:v>
      </x:c>
      <x:c r="E650" t="n">
        <x:f>IF(AND(MiniCase_Data!C650="야간",MiniCase_Data!F650="M03"),1,0)</x:f>
        <x:v>0</x:v>
      </x:c>
      <x:c r="F650" t="n">
        <x:f>IF(C650="밖",1,0)</x:f>
        <x:v>0</x:v>
      </x:c>
      <x:c r="G650" t="n">
        <x:f>IF(OR(F650=1,E650=1),1,0)</x:f>
        <x:v>0</x:v>
      </x:c>
      <x:c r="H650" t="str">
        <x:f>IF(B650=1,IF(F650=1,"TP","FN"),IF(F650=1,"FP","TN"))</x:f>
        <x:v>TN</x:v>
      </x:c>
      <x:c r="I650" t="str">
        <x:f>IF(B650=1,IF(G650=1,"TP","FN"),IF(G650=1,"FP","TN"))</x:f>
        <x:v>TN</x:v>
      </x:c>
    </x:row>
    <x:row r="651">
      <x:c r="A651" t="str">
        <x:f>MiniCase_Data!A651</x:f>
        <x:v>R00650</x:v>
      </x:c>
      <x:c r="B651" t="n">
        <x:f>IF(MiniCase_Data!O651="불합격",1,0)</x:f>
        <x:v>0</x:v>
      </x:c>
      <x:c r="C651" t="str">
        <x:f>IF(ISBLANK(MiniCase_Data!H651),"missing",IF(OR(MiniCase_Data!H651&lt;27,MiniCase_Data!H651&gt;33),"밖","안"))</x:f>
        <x:v>밖</x:v>
      </x:c>
      <x:c r="D651" t="n">
        <x:f>IF(ISBLANK(MiniCase_Data!H651),VLOOKUP(A651,센서로그!$A$2:$C$13,3,FALSE),MiniCase_Data!H651)</x:f>
        <x:v>26.29</x:v>
      </x:c>
      <x:c r="E651" t="n">
        <x:f>IF(AND(MiniCase_Data!C651="야간",MiniCase_Data!F651="M03"),1,0)</x:f>
        <x:v>1</x:v>
      </x:c>
      <x:c r="F651" t="n">
        <x:f>IF(C651="밖",1,0)</x:f>
        <x:v>1</x:v>
      </x:c>
      <x:c r="G651" t="n">
        <x:f>IF(OR(F651=1,E651=1),1,0)</x:f>
        <x:v>1</x:v>
      </x:c>
      <x:c r="H651" t="str">
        <x:f>IF(B651=1,IF(F651=1,"TP","FN"),IF(F651=1,"FP","TN"))</x:f>
        <x:v>FP</x:v>
      </x:c>
      <x:c r="I651" t="str">
        <x:f>IF(B651=1,IF(G651=1,"TP","FN"),IF(G651=1,"FP","TN"))</x:f>
        <x:v>FP</x:v>
      </x:c>
    </x:row>
    <x:row r="652">
      <x:c r="A652" t="str">
        <x:f>MiniCase_Data!A652</x:f>
        <x:v>R00651</x:v>
      </x:c>
      <x:c r="B652" t="n">
        <x:f>IF(MiniCase_Data!O652="불합격",1,0)</x:f>
        <x:v>0</x:v>
      </x:c>
      <x:c r="C652" t="str">
        <x:f>IF(ISBLANK(MiniCase_Data!H652),"missing",IF(OR(MiniCase_Data!H652&lt;27,MiniCase_Data!H652&gt;33),"밖","안"))</x:f>
        <x:v>밖</x:v>
      </x:c>
      <x:c r="D652" t="n">
        <x:f>IF(ISBLANK(MiniCase_Data!H652),VLOOKUP(A652,센서로그!$A$2:$C$13,3,FALSE),MiniCase_Data!H652)</x:f>
        <x:v>33.95</x:v>
      </x:c>
      <x:c r="E652" t="n">
        <x:f>IF(AND(MiniCase_Data!C652="야간",MiniCase_Data!F652="M03"),1,0)</x:f>
        <x:v>1</x:v>
      </x:c>
      <x:c r="F652" t="n">
        <x:f>IF(C652="밖",1,0)</x:f>
        <x:v>1</x:v>
      </x:c>
      <x:c r="G652" t="n">
        <x:f>IF(OR(F652=1,E652=1),1,0)</x:f>
        <x:v>1</x:v>
      </x:c>
      <x:c r="H652" t="str">
        <x:f>IF(B652=1,IF(F652=1,"TP","FN"),IF(F652=1,"FP","TN"))</x:f>
        <x:v>FP</x:v>
      </x:c>
      <x:c r="I652" t="str">
        <x:f>IF(B652=1,IF(G652=1,"TP","FN"),IF(G652=1,"FP","TN"))</x:f>
        <x:v>FP</x:v>
      </x:c>
    </x:row>
    <x:row r="653">
      <x:c r="A653" t="str">
        <x:f>MiniCase_Data!A653</x:f>
        <x:v>R00652</x:v>
      </x:c>
      <x:c r="B653" t="n">
        <x:f>IF(MiniCase_Data!O653="불합격",1,0)</x:f>
        <x:v>0</x:v>
      </x:c>
      <x:c r="C653" t="str">
        <x:f>IF(ISBLANK(MiniCase_Data!H653),"missing",IF(OR(MiniCase_Data!H653&lt;27,MiniCase_Data!H653&gt;33),"밖","안"))</x:f>
        <x:v>안</x:v>
      </x:c>
      <x:c r="D653" t="n">
        <x:f>IF(ISBLANK(MiniCase_Data!H653),VLOOKUP(A653,센서로그!$A$2:$C$13,3,FALSE),MiniCase_Data!H653)</x:f>
        <x:v>29.21</x:v>
      </x:c>
      <x:c r="E653" t="n">
        <x:f>IF(AND(MiniCase_Data!C653="야간",MiniCase_Data!F653="M03"),1,0)</x:f>
        <x:v>0</x:v>
      </x:c>
      <x:c r="F653" t="n">
        <x:f>IF(C653="밖",1,0)</x:f>
        <x:v>0</x:v>
      </x:c>
      <x:c r="G653" t="n">
        <x:f>IF(OR(F653=1,E653=1),1,0)</x:f>
        <x:v>0</x:v>
      </x:c>
      <x:c r="H653" t="str">
        <x:f>IF(B653=1,IF(F653=1,"TP","FN"),IF(F653=1,"FP","TN"))</x:f>
        <x:v>TN</x:v>
      </x:c>
      <x:c r="I653" t="str">
        <x:f>IF(B653=1,IF(G653=1,"TP","FN"),IF(G653=1,"FP","TN"))</x:f>
        <x:v>TN</x:v>
      </x:c>
    </x:row>
    <x:row r="654">
      <x:c r="A654" t="str">
        <x:f>MiniCase_Data!A654</x:f>
        <x:v>R00653</x:v>
      </x:c>
      <x:c r="B654" t="n">
        <x:f>IF(MiniCase_Data!O654="불합격",1,0)</x:f>
        <x:v>0</x:v>
      </x:c>
      <x:c r="C654" t="str">
        <x:f>IF(ISBLANK(MiniCase_Data!H654),"missing",IF(OR(MiniCase_Data!H654&lt;27,MiniCase_Data!H654&gt;33),"밖","안"))</x:f>
        <x:v>안</x:v>
      </x:c>
      <x:c r="D654" t="n">
        <x:f>IF(ISBLANK(MiniCase_Data!H654),VLOOKUP(A654,센서로그!$A$2:$C$13,3,FALSE),MiniCase_Data!H654)</x:f>
        <x:v>31.48</x:v>
      </x:c>
      <x:c r="E654" t="n">
        <x:f>IF(AND(MiniCase_Data!C654="야간",MiniCase_Data!F654="M03"),1,0)</x:f>
        <x:v>0</x:v>
      </x:c>
      <x:c r="F654" t="n">
        <x:f>IF(C654="밖",1,0)</x:f>
        <x:v>0</x:v>
      </x:c>
      <x:c r="G654" t="n">
        <x:f>IF(OR(F654=1,E654=1),1,0)</x:f>
        <x:v>0</x:v>
      </x:c>
      <x:c r="H654" t="str">
        <x:f>IF(B654=1,IF(F654=1,"TP","FN"),IF(F654=1,"FP","TN"))</x:f>
        <x:v>TN</x:v>
      </x:c>
      <x:c r="I654" t="str">
        <x:f>IF(B654=1,IF(G654=1,"TP","FN"),IF(G654=1,"FP","TN"))</x:f>
        <x:v>TN</x:v>
      </x:c>
    </x:row>
    <x:row r="655">
      <x:c r="A655" t="str">
        <x:f>MiniCase_Data!A655</x:f>
        <x:v>R00654</x:v>
      </x:c>
      <x:c r="B655" t="n">
        <x:f>IF(MiniCase_Data!O655="불합격",1,0)</x:f>
        <x:v>0</x:v>
      </x:c>
      <x:c r="C655" t="str">
        <x:f>IF(ISBLANK(MiniCase_Data!H655),"missing",IF(OR(MiniCase_Data!H655&lt;27,MiniCase_Data!H655&gt;33),"밖","안"))</x:f>
        <x:v>안</x:v>
      </x:c>
      <x:c r="D655" t="n">
        <x:f>IF(ISBLANK(MiniCase_Data!H655),VLOOKUP(A655,센서로그!$A$2:$C$13,3,FALSE),MiniCase_Data!H655)</x:f>
        <x:v>32.31</x:v>
      </x:c>
      <x:c r="E655" t="n">
        <x:f>IF(AND(MiniCase_Data!C655="야간",MiniCase_Data!F655="M03"),1,0)</x:f>
        <x:v>0</x:v>
      </x:c>
      <x:c r="F655" t="n">
        <x:f>IF(C655="밖",1,0)</x:f>
        <x:v>0</x:v>
      </x:c>
      <x:c r="G655" t="n">
        <x:f>IF(OR(F655=1,E655=1),1,0)</x:f>
        <x:v>0</x:v>
      </x:c>
      <x:c r="H655" t="str">
        <x:f>IF(B655=1,IF(F655=1,"TP","FN"),IF(F655=1,"FP","TN"))</x:f>
        <x:v>TN</x:v>
      </x:c>
      <x:c r="I655" t="str">
        <x:f>IF(B655=1,IF(G655=1,"TP","FN"),IF(G655=1,"FP","TN"))</x:f>
        <x:v>TN</x:v>
      </x:c>
    </x:row>
    <x:row r="656">
      <x:c r="A656" t="str">
        <x:f>MiniCase_Data!A656</x:f>
        <x:v>R00655</x:v>
      </x:c>
      <x:c r="B656" t="n">
        <x:f>IF(MiniCase_Data!O656="불합격",1,0)</x:f>
        <x:v>0</x:v>
      </x:c>
      <x:c r="C656" t="str">
        <x:f>IF(ISBLANK(MiniCase_Data!H656),"missing",IF(OR(MiniCase_Data!H656&lt;27,MiniCase_Data!H656&gt;33),"밖","안"))</x:f>
        <x:v>missing</x:v>
      </x:c>
      <x:c r="D656" t="n">
        <x:f>IF(ISBLANK(MiniCase_Data!H656),VLOOKUP(A656,센서로그!$A$2:$C$13,3,FALSE),MiniCase_Data!H656)</x:f>
        <x:v>30.45</x:v>
      </x:c>
      <x:c r="E656" t="n">
        <x:f>IF(AND(MiniCase_Data!C656="야간",MiniCase_Data!F656="M03"),1,0)</x:f>
        <x:v>0</x:v>
      </x:c>
      <x:c r="F656" t="n">
        <x:f>IF(C656="밖",1,0)</x:f>
        <x:v>0</x:v>
      </x:c>
      <x:c r="G656" t="n">
        <x:f>IF(OR(F656=1,E656=1),1,0)</x:f>
        <x:v>0</x:v>
      </x:c>
      <x:c r="H656" t="str">
        <x:f>IF(B656=1,IF(F656=1,"TP","FN"),IF(F656=1,"FP","TN"))</x:f>
        <x:v>TN</x:v>
      </x:c>
      <x:c r="I656" t="str">
        <x:f>IF(B656=1,IF(G656=1,"TP","FN"),IF(G656=1,"FP","TN"))</x:f>
        <x:v>TN</x:v>
      </x:c>
    </x:row>
    <x:row r="657">
      <x:c r="A657" t="str">
        <x:f>MiniCase_Data!A657</x:f>
        <x:v>R00656</x:v>
      </x:c>
      <x:c r="B657" t="n">
        <x:f>IF(MiniCase_Data!O657="불합격",1,0)</x:f>
        <x:v>0</x:v>
      </x:c>
      <x:c r="C657" t="str">
        <x:f>IF(ISBLANK(MiniCase_Data!H657),"missing",IF(OR(MiniCase_Data!H657&lt;27,MiniCase_Data!H657&gt;33),"밖","안"))</x:f>
        <x:v>안</x:v>
      </x:c>
      <x:c r="D657" t="n">
        <x:f>IF(ISBLANK(MiniCase_Data!H657),VLOOKUP(A657,센서로그!$A$2:$C$13,3,FALSE),MiniCase_Data!H657)</x:f>
        <x:v>27.95</x:v>
      </x:c>
      <x:c r="E657" t="n">
        <x:f>IF(AND(MiniCase_Data!C657="야간",MiniCase_Data!F657="M03"),1,0)</x:f>
        <x:v>0</x:v>
      </x:c>
      <x:c r="F657" t="n">
        <x:f>IF(C657="밖",1,0)</x:f>
        <x:v>0</x:v>
      </x:c>
      <x:c r="G657" t="n">
        <x:f>IF(OR(F657=1,E657=1),1,0)</x:f>
        <x:v>0</x:v>
      </x:c>
      <x:c r="H657" t="str">
        <x:f>IF(B657=1,IF(F657=1,"TP","FN"),IF(F657=1,"FP","TN"))</x:f>
        <x:v>TN</x:v>
      </x:c>
      <x:c r="I657" t="str">
        <x:f>IF(B657=1,IF(G657=1,"TP","FN"),IF(G657=1,"FP","TN"))</x:f>
        <x:v>TN</x:v>
      </x:c>
    </x:row>
    <x:row r="658">
      <x:c r="A658" t="str">
        <x:f>MiniCase_Data!A658</x:f>
        <x:v>R00657</x:v>
      </x:c>
      <x:c r="B658" t="n">
        <x:f>IF(MiniCase_Data!O658="불합격",1,0)</x:f>
        <x:v>0</x:v>
      </x:c>
      <x:c r="C658" t="str">
        <x:f>IF(ISBLANK(MiniCase_Data!H658),"missing",IF(OR(MiniCase_Data!H658&lt;27,MiniCase_Data!H658&gt;33),"밖","안"))</x:f>
        <x:v>안</x:v>
      </x:c>
      <x:c r="D658" t="n">
        <x:f>IF(ISBLANK(MiniCase_Data!H658),VLOOKUP(A658,센서로그!$A$2:$C$13,3,FALSE),MiniCase_Data!H658)</x:f>
        <x:v>29.22</x:v>
      </x:c>
      <x:c r="E658" t="n">
        <x:f>IF(AND(MiniCase_Data!C658="야간",MiniCase_Data!F658="M03"),1,0)</x:f>
        <x:v>0</x:v>
      </x:c>
      <x:c r="F658" t="n">
        <x:f>IF(C658="밖",1,0)</x:f>
        <x:v>0</x:v>
      </x:c>
      <x:c r="G658" t="n">
        <x:f>IF(OR(F658=1,E658=1),1,0)</x:f>
        <x:v>0</x:v>
      </x:c>
      <x:c r="H658" t="str">
        <x:f>IF(B658=1,IF(F658=1,"TP","FN"),IF(F658=1,"FP","TN"))</x:f>
        <x:v>TN</x:v>
      </x:c>
      <x:c r="I658" t="str">
        <x:f>IF(B658=1,IF(G658=1,"TP","FN"),IF(G658=1,"FP","TN"))</x:f>
        <x:v>TN</x:v>
      </x:c>
    </x:row>
    <x:row r="659">
      <x:c r="A659" t="str">
        <x:f>MiniCase_Data!A659</x:f>
        <x:v>R00658</x:v>
      </x:c>
      <x:c r="B659" t="n">
        <x:f>IF(MiniCase_Data!O659="불합격",1,0)</x:f>
        <x:v>0</x:v>
      </x:c>
      <x:c r="C659" t="str">
        <x:f>IF(ISBLANK(MiniCase_Data!H659),"missing",IF(OR(MiniCase_Data!H659&lt;27,MiniCase_Data!H659&gt;33),"밖","안"))</x:f>
        <x:v>안</x:v>
      </x:c>
      <x:c r="D659" t="n">
        <x:f>IF(ISBLANK(MiniCase_Data!H659),VLOOKUP(A659,센서로그!$A$2:$C$13,3,FALSE),MiniCase_Data!H659)</x:f>
        <x:v>31.84</x:v>
      </x:c>
      <x:c r="E659" t="n">
        <x:f>IF(AND(MiniCase_Data!C659="야간",MiniCase_Data!F659="M03"),1,0)</x:f>
        <x:v>0</x:v>
      </x:c>
      <x:c r="F659" t="n">
        <x:f>IF(C659="밖",1,0)</x:f>
        <x:v>0</x:v>
      </x:c>
      <x:c r="G659" t="n">
        <x:f>IF(OR(F659=1,E659=1),1,0)</x:f>
        <x:v>0</x:v>
      </x:c>
      <x:c r="H659" t="str">
        <x:f>IF(B659=1,IF(F659=1,"TP","FN"),IF(F659=1,"FP","TN"))</x:f>
        <x:v>TN</x:v>
      </x:c>
      <x:c r="I659" t="str">
        <x:f>IF(B659=1,IF(G659=1,"TP","FN"),IF(G659=1,"FP","TN"))</x:f>
        <x:v>TN</x:v>
      </x:c>
    </x:row>
    <x:row r="660">
      <x:c r="A660" t="str">
        <x:f>MiniCase_Data!A660</x:f>
        <x:v>R00659</x:v>
      </x:c>
      <x:c r="B660" t="n">
        <x:f>IF(MiniCase_Data!O660="불합격",1,0)</x:f>
        <x:v>0</x:v>
      </x:c>
      <x:c r="C660" t="str">
        <x:f>IF(ISBLANK(MiniCase_Data!H660),"missing",IF(OR(MiniCase_Data!H660&lt;27,MiniCase_Data!H660&gt;33),"밖","안"))</x:f>
        <x:v>안</x:v>
      </x:c>
      <x:c r="D660" t="n">
        <x:f>IF(ISBLANK(MiniCase_Data!H660),VLOOKUP(A660,센서로그!$A$2:$C$13,3,FALSE),MiniCase_Data!H660)</x:f>
        <x:v>28.86</x:v>
      </x:c>
      <x:c r="E660" t="n">
        <x:f>IF(AND(MiniCase_Data!C660="야간",MiniCase_Data!F660="M03"),1,0)</x:f>
        <x:v>0</x:v>
      </x:c>
      <x:c r="F660" t="n">
        <x:f>IF(C660="밖",1,0)</x:f>
        <x:v>0</x:v>
      </x:c>
      <x:c r="G660" t="n">
        <x:f>IF(OR(F660=1,E660=1),1,0)</x:f>
        <x:v>0</x:v>
      </x:c>
      <x:c r="H660" t="str">
        <x:f>IF(B660=1,IF(F660=1,"TP","FN"),IF(F660=1,"FP","TN"))</x:f>
        <x:v>TN</x:v>
      </x:c>
      <x:c r="I660" t="str">
        <x:f>IF(B660=1,IF(G660=1,"TP","FN"),IF(G660=1,"FP","TN"))</x:f>
        <x:v>TN</x:v>
      </x:c>
    </x:row>
    <x:row r="661">
      <x:c r="A661" t="str">
        <x:f>MiniCase_Data!A661</x:f>
        <x:v>R00660</x:v>
      </x:c>
      <x:c r="B661" t="n">
        <x:f>IF(MiniCase_Data!O661="불합격",1,0)</x:f>
        <x:v>0</x:v>
      </x:c>
      <x:c r="C661" t="str">
        <x:f>IF(ISBLANK(MiniCase_Data!H661),"missing",IF(OR(MiniCase_Data!H661&lt;27,MiniCase_Data!H661&gt;33),"밖","안"))</x:f>
        <x:v>안</x:v>
      </x:c>
      <x:c r="D661" t="n">
        <x:f>IF(ISBLANK(MiniCase_Data!H661),VLOOKUP(A661,센서로그!$A$2:$C$13,3,FALSE),MiniCase_Data!H661)</x:f>
        <x:v>29.35</x:v>
      </x:c>
      <x:c r="E661" t="n">
        <x:f>IF(AND(MiniCase_Data!C661="야간",MiniCase_Data!F661="M03"),1,0)</x:f>
        <x:v>0</x:v>
      </x:c>
      <x:c r="F661" t="n">
        <x:f>IF(C661="밖",1,0)</x:f>
        <x:v>0</x:v>
      </x:c>
      <x:c r="G661" t="n">
        <x:f>IF(OR(F661=1,E661=1),1,0)</x:f>
        <x:v>0</x:v>
      </x:c>
      <x:c r="H661" t="str">
        <x:f>IF(B661=1,IF(F661=1,"TP","FN"),IF(F661=1,"FP","TN"))</x:f>
        <x:v>TN</x:v>
      </x:c>
      <x:c r="I661" t="str">
        <x:f>IF(B661=1,IF(G661=1,"TP","FN"),IF(G661=1,"FP","TN"))</x:f>
        <x:v>TN</x:v>
      </x:c>
    </x:row>
    <x:row r="662">
      <x:c r="A662" t="str">
        <x:f>MiniCase_Data!A662</x:f>
        <x:v>R00661</x:v>
      </x:c>
      <x:c r="B662" t="n">
        <x:f>IF(MiniCase_Data!O662="불합격",1,0)</x:f>
        <x:v>0</x:v>
      </x:c>
      <x:c r="C662" t="str">
        <x:f>IF(ISBLANK(MiniCase_Data!H662),"missing",IF(OR(MiniCase_Data!H662&lt;27,MiniCase_Data!H662&gt;33),"밖","안"))</x:f>
        <x:v>안</x:v>
      </x:c>
      <x:c r="D662" t="n">
        <x:f>IF(ISBLANK(MiniCase_Data!H662),VLOOKUP(A662,센서로그!$A$2:$C$13,3,FALSE),MiniCase_Data!H662)</x:f>
        <x:v>31.81</x:v>
      </x:c>
      <x:c r="E662" t="n">
        <x:f>IF(AND(MiniCase_Data!C662="야간",MiniCase_Data!F662="M03"),1,0)</x:f>
        <x:v>0</x:v>
      </x:c>
      <x:c r="F662" t="n">
        <x:f>IF(C662="밖",1,0)</x:f>
        <x:v>0</x:v>
      </x:c>
      <x:c r="G662" t="n">
        <x:f>IF(OR(F662=1,E662=1),1,0)</x:f>
        <x:v>0</x:v>
      </x:c>
      <x:c r="H662" t="str">
        <x:f>IF(B662=1,IF(F662=1,"TP","FN"),IF(F662=1,"FP","TN"))</x:f>
        <x:v>TN</x:v>
      </x:c>
      <x:c r="I662" t="str">
        <x:f>IF(B662=1,IF(G662=1,"TP","FN"),IF(G662=1,"FP","TN"))</x:f>
        <x:v>TN</x:v>
      </x:c>
    </x:row>
    <x:row r="663">
      <x:c r="A663" t="str">
        <x:f>MiniCase_Data!A663</x:f>
        <x:v>R00662</x:v>
      </x:c>
      <x:c r="B663" t="n">
        <x:f>IF(MiniCase_Data!O663="불합격",1,0)</x:f>
        <x:v>0</x:v>
      </x:c>
      <x:c r="C663" t="str">
        <x:f>IF(ISBLANK(MiniCase_Data!H663),"missing",IF(OR(MiniCase_Data!H663&lt;27,MiniCase_Data!H663&gt;33),"밖","안"))</x:f>
        <x:v>안</x:v>
      </x:c>
      <x:c r="D663" t="n">
        <x:f>IF(ISBLANK(MiniCase_Data!H663),VLOOKUP(A663,센서로그!$A$2:$C$13,3,FALSE),MiniCase_Data!H663)</x:f>
        <x:v>28.57</x:v>
      </x:c>
      <x:c r="E663" t="n">
        <x:f>IF(AND(MiniCase_Data!C663="야간",MiniCase_Data!F663="M03"),1,0)</x:f>
        <x:v>0</x:v>
      </x:c>
      <x:c r="F663" t="n">
        <x:f>IF(C663="밖",1,0)</x:f>
        <x:v>0</x:v>
      </x:c>
      <x:c r="G663" t="n">
        <x:f>IF(OR(F663=1,E663=1),1,0)</x:f>
        <x:v>0</x:v>
      </x:c>
      <x:c r="H663" t="str">
        <x:f>IF(B663=1,IF(F663=1,"TP","FN"),IF(F663=1,"FP","TN"))</x:f>
        <x:v>TN</x:v>
      </x:c>
      <x:c r="I663" t="str">
        <x:f>IF(B663=1,IF(G663=1,"TP","FN"),IF(G663=1,"FP","TN"))</x:f>
        <x:v>TN</x:v>
      </x:c>
    </x:row>
    <x:row r="664">
      <x:c r="A664" t="str">
        <x:f>MiniCase_Data!A664</x:f>
        <x:v>R00663</x:v>
      </x:c>
      <x:c r="B664" t="n">
        <x:f>IF(MiniCase_Data!O664="불합격",1,0)</x:f>
        <x:v>0</x:v>
      </x:c>
      <x:c r="C664" t="str">
        <x:f>IF(ISBLANK(MiniCase_Data!H664),"missing",IF(OR(MiniCase_Data!H664&lt;27,MiniCase_Data!H664&gt;33),"밖","안"))</x:f>
        <x:v>안</x:v>
      </x:c>
      <x:c r="D664" t="n">
        <x:f>IF(ISBLANK(MiniCase_Data!H664),VLOOKUP(A664,센서로그!$A$2:$C$13,3,FALSE),MiniCase_Data!H664)</x:f>
        <x:v>29</x:v>
      </x:c>
      <x:c r="E664" t="n">
        <x:f>IF(AND(MiniCase_Data!C664="야간",MiniCase_Data!F664="M03"),1,0)</x:f>
        <x:v>0</x:v>
      </x:c>
      <x:c r="F664" t="n">
        <x:f>IF(C664="밖",1,0)</x:f>
        <x:v>0</x:v>
      </x:c>
      <x:c r="G664" t="n">
        <x:f>IF(OR(F664=1,E664=1),1,0)</x:f>
        <x:v>0</x:v>
      </x:c>
      <x:c r="H664" t="str">
        <x:f>IF(B664=1,IF(F664=1,"TP","FN"),IF(F664=1,"FP","TN"))</x:f>
        <x:v>TN</x:v>
      </x:c>
      <x:c r="I664" t="str">
        <x:f>IF(B664=1,IF(G664=1,"TP","FN"),IF(G664=1,"FP","TN"))</x:f>
        <x:v>TN</x:v>
      </x:c>
    </x:row>
    <x:row r="665">
      <x:c r="A665" t="str">
        <x:f>MiniCase_Data!A665</x:f>
        <x:v>R00664</x:v>
      </x:c>
      <x:c r="B665" t="n">
        <x:f>IF(MiniCase_Data!O665="불합격",1,0)</x:f>
        <x:v>0</x:v>
      </x:c>
      <x:c r="C665" t="str">
        <x:f>IF(ISBLANK(MiniCase_Data!H665),"missing",IF(OR(MiniCase_Data!H665&lt;27,MiniCase_Data!H665&gt;33),"밖","안"))</x:f>
        <x:v>안</x:v>
      </x:c>
      <x:c r="D665" t="n">
        <x:f>IF(ISBLANK(MiniCase_Data!H665),VLOOKUP(A665,센서로그!$A$2:$C$13,3,FALSE),MiniCase_Data!H665)</x:f>
        <x:v>29.88</x:v>
      </x:c>
      <x:c r="E665" t="n">
        <x:f>IF(AND(MiniCase_Data!C665="야간",MiniCase_Data!F665="M03"),1,0)</x:f>
        <x:v>0</x:v>
      </x:c>
      <x:c r="F665" t="n">
        <x:f>IF(C665="밖",1,0)</x:f>
        <x:v>0</x:v>
      </x:c>
      <x:c r="G665" t="n">
        <x:f>IF(OR(F665=1,E665=1),1,0)</x:f>
        <x:v>0</x:v>
      </x:c>
      <x:c r="H665" t="str">
        <x:f>IF(B665=1,IF(F665=1,"TP","FN"),IF(F665=1,"FP","TN"))</x:f>
        <x:v>TN</x:v>
      </x:c>
      <x:c r="I665" t="str">
        <x:f>IF(B665=1,IF(G665=1,"TP","FN"),IF(G665=1,"FP","TN"))</x:f>
        <x:v>TN</x:v>
      </x:c>
    </x:row>
    <x:row r="666">
      <x:c r="A666" t="str">
        <x:f>MiniCase_Data!A666</x:f>
        <x:v>R00665</x:v>
      </x:c>
      <x:c r="B666" t="n">
        <x:f>IF(MiniCase_Data!O666="불합격",1,0)</x:f>
        <x:v>0</x:v>
      </x:c>
      <x:c r="C666" t="str">
        <x:f>IF(ISBLANK(MiniCase_Data!H666),"missing",IF(OR(MiniCase_Data!H666&lt;27,MiniCase_Data!H666&gt;33),"밖","안"))</x:f>
        <x:v>밖</x:v>
      </x:c>
      <x:c r="D666" t="n">
        <x:f>IF(ISBLANK(MiniCase_Data!H666),VLOOKUP(A666,센서로그!$A$2:$C$13,3,FALSE),MiniCase_Data!H666)</x:f>
        <x:v>33.41</x:v>
      </x:c>
      <x:c r="E666" t="n">
        <x:f>IF(AND(MiniCase_Data!C666="야간",MiniCase_Data!F666="M03"),1,0)</x:f>
        <x:v>1</x:v>
      </x:c>
      <x:c r="F666" t="n">
        <x:f>IF(C666="밖",1,0)</x:f>
        <x:v>1</x:v>
      </x:c>
      <x:c r="G666" t="n">
        <x:f>IF(OR(F666=1,E666=1),1,0)</x:f>
        <x:v>1</x:v>
      </x:c>
      <x:c r="H666" t="str">
        <x:f>IF(B666=1,IF(F666=1,"TP","FN"),IF(F666=1,"FP","TN"))</x:f>
        <x:v>FP</x:v>
      </x:c>
      <x:c r="I666" t="str">
        <x:f>IF(B666=1,IF(G666=1,"TP","FN"),IF(G666=1,"FP","TN"))</x:f>
        <x:v>FP</x:v>
      </x:c>
    </x:row>
    <x:row r="667">
      <x:c r="A667" t="str">
        <x:f>MiniCase_Data!A667</x:f>
        <x:v>R00666</x:v>
      </x:c>
      <x:c r="B667" t="n">
        <x:f>IF(MiniCase_Data!O667="불합격",1,0)</x:f>
        <x:v>0</x:v>
      </x:c>
      <x:c r="C667" t="str">
        <x:f>IF(ISBLANK(MiniCase_Data!H667),"missing",IF(OR(MiniCase_Data!H667&lt;27,MiniCase_Data!H667&gt;33),"밖","안"))</x:f>
        <x:v>안</x:v>
      </x:c>
      <x:c r="D667" t="n">
        <x:f>IF(ISBLANK(MiniCase_Data!H667),VLOOKUP(A667,센서로그!$A$2:$C$13,3,FALSE),MiniCase_Data!H667)</x:f>
        <x:v>27.77</x:v>
      </x:c>
      <x:c r="E667" t="n">
        <x:f>IF(AND(MiniCase_Data!C667="야간",MiniCase_Data!F667="M03"),1,0)</x:f>
        <x:v>0</x:v>
      </x:c>
      <x:c r="F667" t="n">
        <x:f>IF(C667="밖",1,0)</x:f>
        <x:v>0</x:v>
      </x:c>
      <x:c r="G667" t="n">
        <x:f>IF(OR(F667=1,E667=1),1,0)</x:f>
        <x:v>0</x:v>
      </x:c>
      <x:c r="H667" t="str">
        <x:f>IF(B667=1,IF(F667=1,"TP","FN"),IF(F667=1,"FP","TN"))</x:f>
        <x:v>TN</x:v>
      </x:c>
      <x:c r="I667" t="str">
        <x:f>IF(B667=1,IF(G667=1,"TP","FN"),IF(G667=1,"FP","TN"))</x:f>
        <x:v>TN</x:v>
      </x:c>
    </x:row>
    <x:row r="668">
      <x:c r="A668" t="str">
        <x:f>MiniCase_Data!A668</x:f>
        <x:v>R00667</x:v>
      </x:c>
      <x:c r="B668" t="n">
        <x:f>IF(MiniCase_Data!O668="불합격",1,0)</x:f>
        <x:v>0</x:v>
      </x:c>
      <x:c r="C668" t="str">
        <x:f>IF(ISBLANK(MiniCase_Data!H668),"missing",IF(OR(MiniCase_Data!H668&lt;27,MiniCase_Data!H668&gt;33),"밖","안"))</x:f>
        <x:v>안</x:v>
      </x:c>
      <x:c r="D668" t="n">
        <x:f>IF(ISBLANK(MiniCase_Data!H668),VLOOKUP(A668,센서로그!$A$2:$C$13,3,FALSE),MiniCase_Data!H668)</x:f>
        <x:v>30.92</x:v>
      </x:c>
      <x:c r="E668" t="n">
        <x:f>IF(AND(MiniCase_Data!C668="야간",MiniCase_Data!F668="M03"),1,0)</x:f>
        <x:v>0</x:v>
      </x:c>
      <x:c r="F668" t="n">
        <x:f>IF(C668="밖",1,0)</x:f>
        <x:v>0</x:v>
      </x:c>
      <x:c r="G668" t="n">
        <x:f>IF(OR(F668=1,E668=1),1,0)</x:f>
        <x:v>0</x:v>
      </x:c>
      <x:c r="H668" t="str">
        <x:f>IF(B668=1,IF(F668=1,"TP","FN"),IF(F668=1,"FP","TN"))</x:f>
        <x:v>TN</x:v>
      </x:c>
      <x:c r="I668" t="str">
        <x:f>IF(B668=1,IF(G668=1,"TP","FN"),IF(G668=1,"FP","TN"))</x:f>
        <x:v>TN</x:v>
      </x:c>
    </x:row>
    <x:row r="669">
      <x:c r="A669" t="str">
        <x:f>MiniCase_Data!A669</x:f>
        <x:v>R00668</x:v>
      </x:c>
      <x:c r="B669" t="n">
        <x:f>IF(MiniCase_Data!O669="불합격",1,0)</x:f>
        <x:v>0</x:v>
      </x:c>
      <x:c r="C669" t="str">
        <x:f>IF(ISBLANK(MiniCase_Data!H669),"missing",IF(OR(MiniCase_Data!H669&lt;27,MiniCase_Data!H669&gt;33),"밖","안"))</x:f>
        <x:v>안</x:v>
      </x:c>
      <x:c r="D669" t="n">
        <x:f>IF(ISBLANK(MiniCase_Data!H669),VLOOKUP(A669,센서로그!$A$2:$C$13,3,FALSE),MiniCase_Data!H669)</x:f>
        <x:v>32.76</x:v>
      </x:c>
      <x:c r="E669" t="n">
        <x:f>IF(AND(MiniCase_Data!C669="야간",MiniCase_Data!F669="M03"),1,0)</x:f>
        <x:v>0</x:v>
      </x:c>
      <x:c r="F669" t="n">
        <x:f>IF(C669="밖",1,0)</x:f>
        <x:v>0</x:v>
      </x:c>
      <x:c r="G669" t="n">
        <x:f>IF(OR(F669=1,E669=1),1,0)</x:f>
        <x:v>0</x:v>
      </x:c>
      <x:c r="H669" t="str">
        <x:f>IF(B669=1,IF(F669=1,"TP","FN"),IF(F669=1,"FP","TN"))</x:f>
        <x:v>TN</x:v>
      </x:c>
      <x:c r="I669" t="str">
        <x:f>IF(B669=1,IF(G669=1,"TP","FN"),IF(G669=1,"FP","TN"))</x:f>
        <x:v>TN</x:v>
      </x:c>
    </x:row>
    <x:row r="670">
      <x:c r="A670" t="str">
        <x:f>MiniCase_Data!A670</x:f>
        <x:v>R00669</x:v>
      </x:c>
      <x:c r="B670" t="n">
        <x:f>IF(MiniCase_Data!O670="불합격",1,0)</x:f>
        <x:v>0</x:v>
      </x:c>
      <x:c r="C670" t="str">
        <x:f>IF(ISBLANK(MiniCase_Data!H670),"missing",IF(OR(MiniCase_Data!H670&lt;27,MiniCase_Data!H670&gt;33),"밖","안"))</x:f>
        <x:v>밖</x:v>
      </x:c>
      <x:c r="D670" t="n">
        <x:f>IF(ISBLANK(MiniCase_Data!H670),VLOOKUP(A670,센서로그!$A$2:$C$13,3,FALSE),MiniCase_Data!H670)</x:f>
        <x:v>33.45</x:v>
      </x:c>
      <x:c r="E670" t="n">
        <x:f>IF(AND(MiniCase_Data!C670="야간",MiniCase_Data!F670="M03"),1,0)</x:f>
        <x:v>1</x:v>
      </x:c>
      <x:c r="F670" t="n">
        <x:f>IF(C670="밖",1,0)</x:f>
        <x:v>1</x:v>
      </x:c>
      <x:c r="G670" t="n">
        <x:f>IF(OR(F670=1,E670=1),1,0)</x:f>
        <x:v>1</x:v>
      </x:c>
      <x:c r="H670" t="str">
        <x:f>IF(B670=1,IF(F670=1,"TP","FN"),IF(F670=1,"FP","TN"))</x:f>
        <x:v>FP</x:v>
      </x:c>
      <x:c r="I670" t="str">
        <x:f>IF(B670=1,IF(G670=1,"TP","FN"),IF(G670=1,"FP","TN"))</x:f>
        <x:v>FP</x:v>
      </x:c>
    </x:row>
    <x:row r="671">
      <x:c r="A671" t="str">
        <x:f>MiniCase_Data!A671</x:f>
        <x:v>R00670</x:v>
      </x:c>
      <x:c r="B671" t="n">
        <x:f>IF(MiniCase_Data!O671="불합격",1,0)</x:f>
        <x:v>0</x:v>
      </x:c>
      <x:c r="C671" t="str">
        <x:f>IF(ISBLANK(MiniCase_Data!H671),"missing",IF(OR(MiniCase_Data!H671&lt;27,MiniCase_Data!H671&gt;33),"밖","안"))</x:f>
        <x:v>안</x:v>
      </x:c>
      <x:c r="D671" t="n">
        <x:f>IF(ISBLANK(MiniCase_Data!H671),VLOOKUP(A671,센서로그!$A$2:$C$13,3,FALSE),MiniCase_Data!H671)</x:f>
        <x:v>31.84</x:v>
      </x:c>
      <x:c r="E671" t="n">
        <x:f>IF(AND(MiniCase_Data!C671="야간",MiniCase_Data!F671="M03"),1,0)</x:f>
        <x:v>0</x:v>
      </x:c>
      <x:c r="F671" t="n">
        <x:f>IF(C671="밖",1,0)</x:f>
        <x:v>0</x:v>
      </x:c>
      <x:c r="G671" t="n">
        <x:f>IF(OR(F671=1,E671=1),1,0)</x:f>
        <x:v>0</x:v>
      </x:c>
      <x:c r="H671" t="str">
        <x:f>IF(B671=1,IF(F671=1,"TP","FN"),IF(F671=1,"FP","TN"))</x:f>
        <x:v>TN</x:v>
      </x:c>
      <x:c r="I671" t="str">
        <x:f>IF(B671=1,IF(G671=1,"TP","FN"),IF(G671=1,"FP","TN"))</x:f>
        <x:v>TN</x:v>
      </x:c>
    </x:row>
    <x:row r="672">
      <x:c r="A672" t="str">
        <x:f>MiniCase_Data!A672</x:f>
        <x:v>R00671</x:v>
      </x:c>
      <x:c r="B672" t="n">
        <x:f>IF(MiniCase_Data!O672="불합격",1,0)</x:f>
        <x:v>0</x:v>
      </x:c>
      <x:c r="C672" t="str">
        <x:f>IF(ISBLANK(MiniCase_Data!H672),"missing",IF(OR(MiniCase_Data!H672&lt;27,MiniCase_Data!H672&gt;33),"밖","안"))</x:f>
        <x:v>안</x:v>
      </x:c>
      <x:c r="D672" t="n">
        <x:f>IF(ISBLANK(MiniCase_Data!H672),VLOOKUP(A672,센서로그!$A$2:$C$13,3,FALSE),MiniCase_Data!H672)</x:f>
        <x:v>28.57</x:v>
      </x:c>
      <x:c r="E672" t="n">
        <x:f>IF(AND(MiniCase_Data!C672="야간",MiniCase_Data!F672="M03"),1,0)</x:f>
        <x:v>0</x:v>
      </x:c>
      <x:c r="F672" t="n">
        <x:f>IF(C672="밖",1,0)</x:f>
        <x:v>0</x:v>
      </x:c>
      <x:c r="G672" t="n">
        <x:f>IF(OR(F672=1,E672=1),1,0)</x:f>
        <x:v>0</x:v>
      </x:c>
      <x:c r="H672" t="str">
        <x:f>IF(B672=1,IF(F672=1,"TP","FN"),IF(F672=1,"FP","TN"))</x:f>
        <x:v>TN</x:v>
      </x:c>
      <x:c r="I672" t="str">
        <x:f>IF(B672=1,IF(G672=1,"TP","FN"),IF(G672=1,"FP","TN"))</x:f>
        <x:v>TN</x:v>
      </x:c>
    </x:row>
    <x:row r="673">
      <x:c r="A673" t="str">
        <x:f>MiniCase_Data!A673</x:f>
        <x:v>R00672</x:v>
      </x:c>
      <x:c r="B673" t="n">
        <x:f>IF(MiniCase_Data!O673="불합격",1,0)</x:f>
        <x:v>0</x:v>
      </x:c>
      <x:c r="C673" t="str">
        <x:f>IF(ISBLANK(MiniCase_Data!H673),"missing",IF(OR(MiniCase_Data!H673&lt;27,MiniCase_Data!H673&gt;33),"밖","안"))</x:f>
        <x:v>안</x:v>
      </x:c>
      <x:c r="D673" t="n">
        <x:f>IF(ISBLANK(MiniCase_Data!H673),VLOOKUP(A673,센서로그!$A$2:$C$13,3,FALSE),MiniCase_Data!H673)</x:f>
        <x:v>29.57</x:v>
      </x:c>
      <x:c r="E673" t="n">
        <x:f>IF(AND(MiniCase_Data!C673="야간",MiniCase_Data!F673="M03"),1,0)</x:f>
        <x:v>0</x:v>
      </x:c>
      <x:c r="F673" t="n">
        <x:f>IF(C673="밖",1,0)</x:f>
        <x:v>0</x:v>
      </x:c>
      <x:c r="G673" t="n">
        <x:f>IF(OR(F673=1,E673=1),1,0)</x:f>
        <x:v>0</x:v>
      </x:c>
      <x:c r="H673" t="str">
        <x:f>IF(B673=1,IF(F673=1,"TP","FN"),IF(F673=1,"FP","TN"))</x:f>
        <x:v>TN</x:v>
      </x:c>
      <x:c r="I673" t="str">
        <x:f>IF(B673=1,IF(G673=1,"TP","FN"),IF(G673=1,"FP","TN"))</x:f>
        <x:v>TN</x:v>
      </x:c>
    </x:row>
    <x:row r="674">
      <x:c r="A674" t="str">
        <x:f>MiniCase_Data!A674</x:f>
        <x:v>R00673</x:v>
      </x:c>
      <x:c r="B674" t="n">
        <x:f>IF(MiniCase_Data!O674="불합격",1,0)</x:f>
        <x:v>0</x:v>
      </x:c>
      <x:c r="C674" t="str">
        <x:f>IF(ISBLANK(MiniCase_Data!H674),"missing",IF(OR(MiniCase_Data!H674&lt;27,MiniCase_Data!H674&gt;33),"밖","안"))</x:f>
        <x:v>안</x:v>
      </x:c>
      <x:c r="D674" t="n">
        <x:f>IF(ISBLANK(MiniCase_Data!H674),VLOOKUP(A674,센서로그!$A$2:$C$13,3,FALSE),MiniCase_Data!H674)</x:f>
        <x:v>28.27</x:v>
      </x:c>
      <x:c r="E674" t="n">
        <x:f>IF(AND(MiniCase_Data!C674="야간",MiniCase_Data!F674="M03"),1,0)</x:f>
        <x:v>0</x:v>
      </x:c>
      <x:c r="F674" t="n">
        <x:f>IF(C674="밖",1,0)</x:f>
        <x:v>0</x:v>
      </x:c>
      <x:c r="G674" t="n">
        <x:f>IF(OR(F674=1,E674=1),1,0)</x:f>
        <x:v>0</x:v>
      </x:c>
      <x:c r="H674" t="str">
        <x:f>IF(B674=1,IF(F674=1,"TP","FN"),IF(F674=1,"FP","TN"))</x:f>
        <x:v>TN</x:v>
      </x:c>
      <x:c r="I674" t="str">
        <x:f>IF(B674=1,IF(G674=1,"TP","FN"),IF(G674=1,"FP","TN"))</x:f>
        <x:v>TN</x:v>
      </x:c>
    </x:row>
    <x:row r="675">
      <x:c r="A675" t="str">
        <x:f>MiniCase_Data!A675</x:f>
        <x:v>R00674</x:v>
      </x:c>
      <x:c r="B675" t="n">
        <x:f>IF(MiniCase_Data!O675="불합격",1,0)</x:f>
        <x:v>0</x:v>
      </x:c>
      <x:c r="C675" t="str">
        <x:f>IF(ISBLANK(MiniCase_Data!H675),"missing",IF(OR(MiniCase_Data!H675&lt;27,MiniCase_Data!H675&gt;33),"밖","안"))</x:f>
        <x:v>안</x:v>
      </x:c>
      <x:c r="D675" t="n">
        <x:f>IF(ISBLANK(MiniCase_Data!H675),VLOOKUP(A675,센서로그!$A$2:$C$13,3,FALSE),MiniCase_Data!H675)</x:f>
        <x:v>30.02</x:v>
      </x:c>
      <x:c r="E675" t="n">
        <x:f>IF(AND(MiniCase_Data!C675="야간",MiniCase_Data!F675="M03"),1,0)</x:f>
        <x:v>0</x:v>
      </x:c>
      <x:c r="F675" t="n">
        <x:f>IF(C675="밖",1,0)</x:f>
        <x:v>0</x:v>
      </x:c>
      <x:c r="G675" t="n">
        <x:f>IF(OR(F675=1,E675=1),1,0)</x:f>
        <x:v>0</x:v>
      </x:c>
      <x:c r="H675" t="str">
        <x:f>IF(B675=1,IF(F675=1,"TP","FN"),IF(F675=1,"FP","TN"))</x:f>
        <x:v>TN</x:v>
      </x:c>
      <x:c r="I675" t="str">
        <x:f>IF(B675=1,IF(G675=1,"TP","FN"),IF(G675=1,"FP","TN"))</x:f>
        <x:v>TN</x:v>
      </x:c>
    </x:row>
    <x:row r="676">
      <x:c r="A676" t="str">
        <x:f>MiniCase_Data!A676</x:f>
        <x:v>R00675</x:v>
      </x:c>
      <x:c r="B676" t="n">
        <x:f>IF(MiniCase_Data!O676="불합격",1,0)</x:f>
        <x:v>0</x:v>
      </x:c>
      <x:c r="C676" t="str">
        <x:f>IF(ISBLANK(MiniCase_Data!H676),"missing",IF(OR(MiniCase_Data!H676&lt;27,MiniCase_Data!H676&gt;33),"밖","안"))</x:f>
        <x:v>안</x:v>
      </x:c>
      <x:c r="D676" t="n">
        <x:f>IF(ISBLANK(MiniCase_Data!H676),VLOOKUP(A676,센서로그!$A$2:$C$13,3,FALSE),MiniCase_Data!H676)</x:f>
        <x:v>31.75</x:v>
      </x:c>
      <x:c r="E676" t="n">
        <x:f>IF(AND(MiniCase_Data!C676="야간",MiniCase_Data!F676="M03"),1,0)</x:f>
        <x:v>0</x:v>
      </x:c>
      <x:c r="F676" t="n">
        <x:f>IF(C676="밖",1,0)</x:f>
        <x:v>0</x:v>
      </x:c>
      <x:c r="G676" t="n">
        <x:f>IF(OR(F676=1,E676=1),1,0)</x:f>
        <x:v>0</x:v>
      </x:c>
      <x:c r="H676" t="str">
        <x:f>IF(B676=1,IF(F676=1,"TP","FN"),IF(F676=1,"FP","TN"))</x:f>
        <x:v>TN</x:v>
      </x:c>
      <x:c r="I676" t="str">
        <x:f>IF(B676=1,IF(G676=1,"TP","FN"),IF(G676=1,"FP","TN"))</x:f>
        <x:v>TN</x:v>
      </x:c>
    </x:row>
    <x:row r="677">
      <x:c r="A677" t="str">
        <x:f>MiniCase_Data!A677</x:f>
        <x:v>R00676</x:v>
      </x:c>
      <x:c r="B677" t="n">
        <x:f>IF(MiniCase_Data!O677="불합격",1,0)</x:f>
        <x:v>0</x:v>
      </x:c>
      <x:c r="C677" t="str">
        <x:f>IF(ISBLANK(MiniCase_Data!H677),"missing",IF(OR(MiniCase_Data!H677&lt;27,MiniCase_Data!H677&gt;33),"밖","안"))</x:f>
        <x:v>안</x:v>
      </x:c>
      <x:c r="D677" t="n">
        <x:f>IF(ISBLANK(MiniCase_Data!H677),VLOOKUP(A677,센서로그!$A$2:$C$13,3,FALSE),MiniCase_Data!H677)</x:f>
        <x:v>28.59</x:v>
      </x:c>
      <x:c r="E677" t="n">
        <x:f>IF(AND(MiniCase_Data!C677="야간",MiniCase_Data!F677="M03"),1,0)</x:f>
        <x:v>0</x:v>
      </x:c>
      <x:c r="F677" t="n">
        <x:f>IF(C677="밖",1,0)</x:f>
        <x:v>0</x:v>
      </x:c>
      <x:c r="G677" t="n">
        <x:f>IF(OR(F677=1,E677=1),1,0)</x:f>
        <x:v>0</x:v>
      </x:c>
      <x:c r="H677" t="str">
        <x:f>IF(B677=1,IF(F677=1,"TP","FN"),IF(F677=1,"FP","TN"))</x:f>
        <x:v>TN</x:v>
      </x:c>
      <x:c r="I677" t="str">
        <x:f>IF(B677=1,IF(G677=1,"TP","FN"),IF(G677=1,"FP","TN"))</x:f>
        <x:v>TN</x:v>
      </x:c>
    </x:row>
    <x:row r="678">
      <x:c r="A678" t="str">
        <x:f>MiniCase_Data!A678</x:f>
        <x:v>R00677</x:v>
      </x:c>
      <x:c r="B678" t="n">
        <x:f>IF(MiniCase_Data!O678="불합격",1,0)</x:f>
        <x:v>0</x:v>
      </x:c>
      <x:c r="C678" t="str">
        <x:f>IF(ISBLANK(MiniCase_Data!H678),"missing",IF(OR(MiniCase_Data!H678&lt;27,MiniCase_Data!H678&gt;33),"밖","안"))</x:f>
        <x:v>안</x:v>
      </x:c>
      <x:c r="D678" t="n">
        <x:f>IF(ISBLANK(MiniCase_Data!H678),VLOOKUP(A678,센서로그!$A$2:$C$13,3,FALSE),MiniCase_Data!H678)</x:f>
        <x:v>30.85</x:v>
      </x:c>
      <x:c r="E678" t="n">
        <x:f>IF(AND(MiniCase_Data!C678="야간",MiniCase_Data!F678="M03"),1,0)</x:f>
        <x:v>0</x:v>
      </x:c>
      <x:c r="F678" t="n">
        <x:f>IF(C678="밖",1,0)</x:f>
        <x:v>0</x:v>
      </x:c>
      <x:c r="G678" t="n">
        <x:f>IF(OR(F678=1,E678=1),1,0)</x:f>
        <x:v>0</x:v>
      </x:c>
      <x:c r="H678" t="str">
        <x:f>IF(B678=1,IF(F678=1,"TP","FN"),IF(F678=1,"FP","TN"))</x:f>
        <x:v>TN</x:v>
      </x:c>
      <x:c r="I678" t="str">
        <x:f>IF(B678=1,IF(G678=1,"TP","FN"),IF(G678=1,"FP","TN"))</x:f>
        <x:v>TN</x:v>
      </x:c>
    </x:row>
    <x:row r="679">
      <x:c r="A679" t="str">
        <x:f>MiniCase_Data!A679</x:f>
        <x:v>R00678</x:v>
      </x:c>
      <x:c r="B679" t="n">
        <x:f>IF(MiniCase_Data!O679="불합격",1,0)</x:f>
        <x:v>0</x:v>
      </x:c>
      <x:c r="C679" t="str">
        <x:f>IF(ISBLANK(MiniCase_Data!H679),"missing",IF(OR(MiniCase_Data!H679&lt;27,MiniCase_Data!H679&gt;33),"밖","안"))</x:f>
        <x:v>안</x:v>
      </x:c>
      <x:c r="D679" t="n">
        <x:f>IF(ISBLANK(MiniCase_Data!H679),VLOOKUP(A679,센서로그!$A$2:$C$13,3,FALSE),MiniCase_Data!H679)</x:f>
        <x:v>32.79</x:v>
      </x:c>
      <x:c r="E679" t="n">
        <x:f>IF(AND(MiniCase_Data!C679="야간",MiniCase_Data!F679="M03"),1,0)</x:f>
        <x:v>0</x:v>
      </x:c>
      <x:c r="F679" t="n">
        <x:f>IF(C679="밖",1,0)</x:f>
        <x:v>0</x:v>
      </x:c>
      <x:c r="G679" t="n">
        <x:f>IF(OR(F679=1,E679=1),1,0)</x:f>
        <x:v>0</x:v>
      </x:c>
      <x:c r="H679" t="str">
        <x:f>IF(B679=1,IF(F679=1,"TP","FN"),IF(F679=1,"FP","TN"))</x:f>
        <x:v>TN</x:v>
      </x:c>
      <x:c r="I679" t="str">
        <x:f>IF(B679=1,IF(G679=1,"TP","FN"),IF(G679=1,"FP","TN"))</x:f>
        <x:v>TN</x:v>
      </x:c>
    </x:row>
    <x:row r="680">
      <x:c r="A680" t="str">
        <x:f>MiniCase_Data!A680</x:f>
        <x:v>R00679</x:v>
      </x:c>
      <x:c r="B680" t="n">
        <x:f>IF(MiniCase_Data!O680="불합격",1,0)</x:f>
        <x:v>0</x:v>
      </x:c>
      <x:c r="C680" t="str">
        <x:f>IF(ISBLANK(MiniCase_Data!H680),"missing",IF(OR(MiniCase_Data!H680&lt;27,MiniCase_Data!H680&gt;33),"밖","안"))</x:f>
        <x:v>안</x:v>
      </x:c>
      <x:c r="D680" t="n">
        <x:f>IF(ISBLANK(MiniCase_Data!H680),VLOOKUP(A680,센서로그!$A$2:$C$13,3,FALSE),MiniCase_Data!H680)</x:f>
        <x:v>30.74</x:v>
      </x:c>
      <x:c r="E680" t="n">
        <x:f>IF(AND(MiniCase_Data!C680="야간",MiniCase_Data!F680="M03"),1,0)</x:f>
        <x:v>0</x:v>
      </x:c>
      <x:c r="F680" t="n">
        <x:f>IF(C680="밖",1,0)</x:f>
        <x:v>0</x:v>
      </x:c>
      <x:c r="G680" t="n">
        <x:f>IF(OR(F680=1,E680=1),1,0)</x:f>
        <x:v>0</x:v>
      </x:c>
      <x:c r="H680" t="str">
        <x:f>IF(B680=1,IF(F680=1,"TP","FN"),IF(F680=1,"FP","TN"))</x:f>
        <x:v>TN</x:v>
      </x:c>
      <x:c r="I680" t="str">
        <x:f>IF(B680=1,IF(G680=1,"TP","FN"),IF(G680=1,"FP","TN"))</x:f>
        <x:v>TN</x:v>
      </x:c>
    </x:row>
    <x:row r="681">
      <x:c r="A681" t="str">
        <x:f>MiniCase_Data!A681</x:f>
        <x:v>R00680</x:v>
      </x:c>
      <x:c r="B681" t="n">
        <x:f>IF(MiniCase_Data!O681="불합격",1,0)</x:f>
        <x:v>0</x:v>
      </x:c>
      <x:c r="C681" t="str">
        <x:f>IF(ISBLANK(MiniCase_Data!H681),"missing",IF(OR(MiniCase_Data!H681&lt;27,MiniCase_Data!H681&gt;33),"밖","안"))</x:f>
        <x:v>안</x:v>
      </x:c>
      <x:c r="D681" t="n">
        <x:f>IF(ISBLANK(MiniCase_Data!H681),VLOOKUP(A681,센서로그!$A$2:$C$13,3,FALSE),MiniCase_Data!H681)</x:f>
        <x:v>29.02</x:v>
      </x:c>
      <x:c r="E681" t="n">
        <x:f>IF(AND(MiniCase_Data!C681="야간",MiniCase_Data!F681="M03"),1,0)</x:f>
        <x:v>0</x:v>
      </x:c>
      <x:c r="F681" t="n">
        <x:f>IF(C681="밖",1,0)</x:f>
        <x:v>0</x:v>
      </x:c>
      <x:c r="G681" t="n">
        <x:f>IF(OR(F681=1,E681=1),1,0)</x:f>
        <x:v>0</x:v>
      </x:c>
      <x:c r="H681" t="str">
        <x:f>IF(B681=1,IF(F681=1,"TP","FN"),IF(F681=1,"FP","TN"))</x:f>
        <x:v>TN</x:v>
      </x:c>
      <x:c r="I681" t="str">
        <x:f>IF(B681=1,IF(G681=1,"TP","FN"),IF(G681=1,"FP","TN"))</x:f>
        <x:v>TN</x:v>
      </x:c>
    </x:row>
    <x:row r="682">
      <x:c r="A682" t="str">
        <x:f>MiniCase_Data!A682</x:f>
        <x:v>R00681</x:v>
      </x:c>
      <x:c r="B682" t="n">
        <x:f>IF(MiniCase_Data!O682="불합격",1,0)</x:f>
        <x:v>0</x:v>
      </x:c>
      <x:c r="C682" t="str">
        <x:f>IF(ISBLANK(MiniCase_Data!H682),"missing",IF(OR(MiniCase_Data!H682&lt;27,MiniCase_Data!H682&gt;33),"밖","안"))</x:f>
        <x:v>안</x:v>
      </x:c>
      <x:c r="D682" t="n">
        <x:f>IF(ISBLANK(MiniCase_Data!H682),VLOOKUP(A682,센서로그!$A$2:$C$13,3,FALSE),MiniCase_Data!H682)</x:f>
        <x:v>30.94</x:v>
      </x:c>
      <x:c r="E682" t="n">
        <x:f>IF(AND(MiniCase_Data!C682="야간",MiniCase_Data!F682="M03"),1,0)</x:f>
        <x:v>0</x:v>
      </x:c>
      <x:c r="F682" t="n">
        <x:f>IF(C682="밖",1,0)</x:f>
        <x:v>0</x:v>
      </x:c>
      <x:c r="G682" t="n">
        <x:f>IF(OR(F682=1,E682=1),1,0)</x:f>
        <x:v>0</x:v>
      </x:c>
      <x:c r="H682" t="str">
        <x:f>IF(B682=1,IF(F682=1,"TP","FN"),IF(F682=1,"FP","TN"))</x:f>
        <x:v>TN</x:v>
      </x:c>
      <x:c r="I682" t="str">
        <x:f>IF(B682=1,IF(G682=1,"TP","FN"),IF(G682=1,"FP","TN"))</x:f>
        <x:v>TN</x:v>
      </x:c>
    </x:row>
    <x:row r="683">
      <x:c r="A683" t="str">
        <x:f>MiniCase_Data!A683</x:f>
        <x:v>R00682</x:v>
      </x:c>
      <x:c r="B683" t="n">
        <x:f>IF(MiniCase_Data!O683="불합격",1,0)</x:f>
        <x:v>0</x:v>
      </x:c>
      <x:c r="C683" t="str">
        <x:f>IF(ISBLANK(MiniCase_Data!H683),"missing",IF(OR(MiniCase_Data!H683&lt;27,MiniCase_Data!H683&gt;33),"밖","안"))</x:f>
        <x:v>안</x:v>
      </x:c>
      <x:c r="D683" t="n">
        <x:f>IF(ISBLANK(MiniCase_Data!H683),VLOOKUP(A683,센서로그!$A$2:$C$13,3,FALSE),MiniCase_Data!H683)</x:f>
        <x:v>31.89</x:v>
      </x:c>
      <x:c r="E683" t="n">
        <x:f>IF(AND(MiniCase_Data!C683="야간",MiniCase_Data!F683="M03"),1,0)</x:f>
        <x:v>0</x:v>
      </x:c>
      <x:c r="F683" t="n">
        <x:f>IF(C683="밖",1,0)</x:f>
        <x:v>0</x:v>
      </x:c>
      <x:c r="G683" t="n">
        <x:f>IF(OR(F683=1,E683=1),1,0)</x:f>
        <x:v>0</x:v>
      </x:c>
      <x:c r="H683" t="str">
        <x:f>IF(B683=1,IF(F683=1,"TP","FN"),IF(F683=1,"FP","TN"))</x:f>
        <x:v>TN</x:v>
      </x:c>
      <x:c r="I683" t="str">
        <x:f>IF(B683=1,IF(G683=1,"TP","FN"),IF(G683=1,"FP","TN"))</x:f>
        <x:v>TN</x:v>
      </x:c>
    </x:row>
    <x:row r="684">
      <x:c r="A684" t="str">
        <x:f>MiniCase_Data!A684</x:f>
        <x:v>R00683</x:v>
      </x:c>
      <x:c r="B684" t="n">
        <x:f>IF(MiniCase_Data!O684="불합격",1,0)</x:f>
        <x:v>0</x:v>
      </x:c>
      <x:c r="C684" t="str">
        <x:f>IF(ISBLANK(MiniCase_Data!H684),"missing",IF(OR(MiniCase_Data!H684&lt;27,MiniCase_Data!H684&gt;33),"밖","안"))</x:f>
        <x:v>안</x:v>
      </x:c>
      <x:c r="D684" t="n">
        <x:f>IF(ISBLANK(MiniCase_Data!H684),VLOOKUP(A684,센서로그!$A$2:$C$13,3,FALSE),MiniCase_Data!H684)</x:f>
        <x:v>31.23</x:v>
      </x:c>
      <x:c r="E684" t="n">
        <x:f>IF(AND(MiniCase_Data!C684="야간",MiniCase_Data!F684="M03"),1,0)</x:f>
        <x:v>0</x:v>
      </x:c>
      <x:c r="F684" t="n">
        <x:f>IF(C684="밖",1,0)</x:f>
        <x:v>0</x:v>
      </x:c>
      <x:c r="G684" t="n">
        <x:f>IF(OR(F684=1,E684=1),1,0)</x:f>
        <x:v>0</x:v>
      </x:c>
      <x:c r="H684" t="str">
        <x:f>IF(B684=1,IF(F684=1,"TP","FN"),IF(F684=1,"FP","TN"))</x:f>
        <x:v>TN</x:v>
      </x:c>
      <x:c r="I684" t="str">
        <x:f>IF(B684=1,IF(G684=1,"TP","FN"),IF(G684=1,"FP","TN"))</x:f>
        <x:v>TN</x:v>
      </x:c>
    </x:row>
    <x:row r="685">
      <x:c r="A685" t="str">
        <x:f>MiniCase_Data!A685</x:f>
        <x:v>R00684</x:v>
      </x:c>
      <x:c r="B685" t="n">
        <x:f>IF(MiniCase_Data!O685="불합격",1,0)</x:f>
        <x:v>0</x:v>
      </x:c>
      <x:c r="C685" t="str">
        <x:f>IF(ISBLANK(MiniCase_Data!H685),"missing",IF(OR(MiniCase_Data!H685&lt;27,MiniCase_Data!H685&gt;33),"밖","안"))</x:f>
        <x:v>안</x:v>
      </x:c>
      <x:c r="D685" t="n">
        <x:f>IF(ISBLANK(MiniCase_Data!H685),VLOOKUP(A685,센서로그!$A$2:$C$13,3,FALSE),MiniCase_Data!H685)</x:f>
        <x:v>29.32</x:v>
      </x:c>
      <x:c r="E685" t="n">
        <x:f>IF(AND(MiniCase_Data!C685="야간",MiniCase_Data!F685="M03"),1,0)</x:f>
        <x:v>0</x:v>
      </x:c>
      <x:c r="F685" t="n">
        <x:f>IF(C685="밖",1,0)</x:f>
        <x:v>0</x:v>
      </x:c>
      <x:c r="G685" t="n">
        <x:f>IF(OR(F685=1,E685=1),1,0)</x:f>
        <x:v>0</x:v>
      </x:c>
      <x:c r="H685" t="str">
        <x:f>IF(B685=1,IF(F685=1,"TP","FN"),IF(F685=1,"FP","TN"))</x:f>
        <x:v>TN</x:v>
      </x:c>
      <x:c r="I685" t="str">
        <x:f>IF(B685=1,IF(G685=1,"TP","FN"),IF(G685=1,"FP","TN"))</x:f>
        <x:v>TN</x:v>
      </x:c>
    </x:row>
    <x:row r="686">
      <x:c r="A686" t="str">
        <x:f>MiniCase_Data!A686</x:f>
        <x:v>R00685</x:v>
      </x:c>
      <x:c r="B686" t="n">
        <x:f>IF(MiniCase_Data!O686="불합격",1,0)</x:f>
        <x:v>0</x:v>
      </x:c>
      <x:c r="C686" t="str">
        <x:f>IF(ISBLANK(MiniCase_Data!H686),"missing",IF(OR(MiniCase_Data!H686&lt;27,MiniCase_Data!H686&gt;33),"밖","안"))</x:f>
        <x:v>안</x:v>
      </x:c>
      <x:c r="D686" t="n">
        <x:f>IF(ISBLANK(MiniCase_Data!H686),VLOOKUP(A686,센서로그!$A$2:$C$13,3,FALSE),MiniCase_Data!H686)</x:f>
        <x:v>32.75</x:v>
      </x:c>
      <x:c r="E686" t="n">
        <x:f>IF(AND(MiniCase_Data!C686="야간",MiniCase_Data!F686="M03"),1,0)</x:f>
        <x:v>0</x:v>
      </x:c>
      <x:c r="F686" t="n">
        <x:f>IF(C686="밖",1,0)</x:f>
        <x:v>0</x:v>
      </x:c>
      <x:c r="G686" t="n">
        <x:f>IF(OR(F686=1,E686=1),1,0)</x:f>
        <x:v>0</x:v>
      </x:c>
      <x:c r="H686" t="str">
        <x:f>IF(B686=1,IF(F686=1,"TP","FN"),IF(F686=1,"FP","TN"))</x:f>
        <x:v>TN</x:v>
      </x:c>
      <x:c r="I686" t="str">
        <x:f>IF(B686=1,IF(G686=1,"TP","FN"),IF(G686=1,"FP","TN"))</x:f>
        <x:v>TN</x:v>
      </x:c>
    </x:row>
    <x:row r="687">
      <x:c r="A687" t="str">
        <x:f>MiniCase_Data!A687</x:f>
        <x:v>R00686</x:v>
      </x:c>
      <x:c r="B687" t="n">
        <x:f>IF(MiniCase_Data!O687="불합격",1,0)</x:f>
        <x:v>0</x:v>
      </x:c>
      <x:c r="C687" t="str">
        <x:f>IF(ISBLANK(MiniCase_Data!H687),"missing",IF(OR(MiniCase_Data!H687&lt;27,MiniCase_Data!H687&gt;33),"밖","안"))</x:f>
        <x:v>안</x:v>
      </x:c>
      <x:c r="D687" t="n">
        <x:f>IF(ISBLANK(MiniCase_Data!H687),VLOOKUP(A687,센서로그!$A$2:$C$13,3,FALSE),MiniCase_Data!H687)</x:f>
        <x:v>28.22</x:v>
      </x:c>
      <x:c r="E687" t="n">
        <x:f>IF(AND(MiniCase_Data!C687="야간",MiniCase_Data!F687="M03"),1,0)</x:f>
        <x:v>0</x:v>
      </x:c>
      <x:c r="F687" t="n">
        <x:f>IF(C687="밖",1,0)</x:f>
        <x:v>0</x:v>
      </x:c>
      <x:c r="G687" t="n">
        <x:f>IF(OR(F687=1,E687=1),1,0)</x:f>
        <x:v>0</x:v>
      </x:c>
      <x:c r="H687" t="str">
        <x:f>IF(B687=1,IF(F687=1,"TP","FN"),IF(F687=1,"FP","TN"))</x:f>
        <x:v>TN</x:v>
      </x:c>
      <x:c r="I687" t="str">
        <x:f>IF(B687=1,IF(G687=1,"TP","FN"),IF(G687=1,"FP","TN"))</x:f>
        <x:v>TN</x:v>
      </x:c>
    </x:row>
    <x:row r="688">
      <x:c r="A688" t="str">
        <x:f>MiniCase_Data!A688</x:f>
        <x:v>R00687</x:v>
      </x:c>
      <x:c r="B688" t="n">
        <x:f>IF(MiniCase_Data!O688="불합격",1,0)</x:f>
        <x:v>0</x:v>
      </x:c>
      <x:c r="C688" t="str">
        <x:f>IF(ISBLANK(MiniCase_Data!H688),"missing",IF(OR(MiniCase_Data!H688&lt;27,MiniCase_Data!H688&gt;33),"밖","안"))</x:f>
        <x:v>안</x:v>
      </x:c>
      <x:c r="D688" t="n">
        <x:f>IF(ISBLANK(MiniCase_Data!H688),VLOOKUP(A688,센서로그!$A$2:$C$13,3,FALSE),MiniCase_Data!H688)</x:f>
        <x:v>27.77</x:v>
      </x:c>
      <x:c r="E688" t="n">
        <x:f>IF(AND(MiniCase_Data!C688="야간",MiniCase_Data!F688="M03"),1,0)</x:f>
        <x:v>0</x:v>
      </x:c>
      <x:c r="F688" t="n">
        <x:f>IF(C688="밖",1,0)</x:f>
        <x:v>0</x:v>
      </x:c>
      <x:c r="G688" t="n">
        <x:f>IF(OR(F688=1,E688=1),1,0)</x:f>
        <x:v>0</x:v>
      </x:c>
      <x:c r="H688" t="str">
        <x:f>IF(B688=1,IF(F688=1,"TP","FN"),IF(F688=1,"FP","TN"))</x:f>
        <x:v>TN</x:v>
      </x:c>
      <x:c r="I688" t="str">
        <x:f>IF(B688=1,IF(G688=1,"TP","FN"),IF(G688=1,"FP","TN"))</x:f>
        <x:v>TN</x:v>
      </x:c>
    </x:row>
    <x:row r="689">
      <x:c r="A689" t="str">
        <x:f>MiniCase_Data!A689</x:f>
        <x:v>R00688</x:v>
      </x:c>
      <x:c r="B689" t="n">
        <x:f>IF(MiniCase_Data!O689="불합격",1,0)</x:f>
        <x:v>0</x:v>
      </x:c>
      <x:c r="C689" t="str">
        <x:f>IF(ISBLANK(MiniCase_Data!H689),"missing",IF(OR(MiniCase_Data!H689&lt;27,MiniCase_Data!H689&gt;33),"밖","안"))</x:f>
        <x:v>안</x:v>
      </x:c>
      <x:c r="D689" t="n">
        <x:f>IF(ISBLANK(MiniCase_Data!H689),VLOOKUP(A689,센서로그!$A$2:$C$13,3,FALSE),MiniCase_Data!H689)</x:f>
        <x:v>29.23</x:v>
      </x:c>
      <x:c r="E689" t="n">
        <x:f>IF(AND(MiniCase_Data!C689="야간",MiniCase_Data!F689="M03"),1,0)</x:f>
        <x:v>0</x:v>
      </x:c>
      <x:c r="F689" t="n">
        <x:f>IF(C689="밖",1,0)</x:f>
        <x:v>0</x:v>
      </x:c>
      <x:c r="G689" t="n">
        <x:f>IF(OR(F689=1,E689=1),1,0)</x:f>
        <x:v>0</x:v>
      </x:c>
      <x:c r="H689" t="str">
        <x:f>IF(B689=1,IF(F689=1,"TP","FN"),IF(F689=1,"FP","TN"))</x:f>
        <x:v>TN</x:v>
      </x:c>
      <x:c r="I689" t="str">
        <x:f>IF(B689=1,IF(G689=1,"TP","FN"),IF(G689=1,"FP","TN"))</x:f>
        <x:v>TN</x:v>
      </x:c>
    </x:row>
    <x:row r="690">
      <x:c r="A690" t="str">
        <x:f>MiniCase_Data!A690</x:f>
        <x:v>R00689</x:v>
      </x:c>
      <x:c r="B690" t="n">
        <x:f>IF(MiniCase_Data!O690="불합격",1,0)</x:f>
        <x:v>0</x:v>
      </x:c>
      <x:c r="C690" t="str">
        <x:f>IF(ISBLANK(MiniCase_Data!H690),"missing",IF(OR(MiniCase_Data!H690&lt;27,MiniCase_Data!H690&gt;33),"밖","안"))</x:f>
        <x:v>안</x:v>
      </x:c>
      <x:c r="D690" t="n">
        <x:f>IF(ISBLANK(MiniCase_Data!H690),VLOOKUP(A690,센서로그!$A$2:$C$13,3,FALSE),MiniCase_Data!H690)</x:f>
        <x:v>29.08</x:v>
      </x:c>
      <x:c r="E690" t="n">
        <x:f>IF(AND(MiniCase_Data!C690="야간",MiniCase_Data!F690="M03"),1,0)</x:f>
        <x:v>0</x:v>
      </x:c>
      <x:c r="F690" t="n">
        <x:f>IF(C690="밖",1,0)</x:f>
        <x:v>0</x:v>
      </x:c>
      <x:c r="G690" t="n">
        <x:f>IF(OR(F690=1,E690=1),1,0)</x:f>
        <x:v>0</x:v>
      </x:c>
      <x:c r="H690" t="str">
        <x:f>IF(B690=1,IF(F690=1,"TP","FN"),IF(F690=1,"FP","TN"))</x:f>
        <x:v>TN</x:v>
      </x:c>
      <x:c r="I690" t="str">
        <x:f>IF(B690=1,IF(G690=1,"TP","FN"),IF(G690=1,"FP","TN"))</x:f>
        <x:v>TN</x:v>
      </x:c>
    </x:row>
    <x:row r="691">
      <x:c r="A691" t="str">
        <x:f>MiniCase_Data!A691</x:f>
        <x:v>R00690</x:v>
      </x:c>
      <x:c r="B691" t="n">
        <x:f>IF(MiniCase_Data!O691="불합격",1,0)</x:f>
        <x:v>0</x:v>
      </x:c>
      <x:c r="C691" t="str">
        <x:f>IF(ISBLANK(MiniCase_Data!H691),"missing",IF(OR(MiniCase_Data!H691&lt;27,MiniCase_Data!H691&gt;33),"밖","안"))</x:f>
        <x:v>안</x:v>
      </x:c>
      <x:c r="D691" t="n">
        <x:f>IF(ISBLANK(MiniCase_Data!H691),VLOOKUP(A691,센서로그!$A$2:$C$13,3,FALSE),MiniCase_Data!H691)</x:f>
        <x:v>29.51</x:v>
      </x:c>
      <x:c r="E691" t="n">
        <x:f>IF(AND(MiniCase_Data!C691="야간",MiniCase_Data!F691="M03"),1,0)</x:f>
        <x:v>0</x:v>
      </x:c>
      <x:c r="F691" t="n">
        <x:f>IF(C691="밖",1,0)</x:f>
        <x:v>0</x:v>
      </x:c>
      <x:c r="G691" t="n">
        <x:f>IF(OR(F691=1,E691=1),1,0)</x:f>
        <x:v>0</x:v>
      </x:c>
      <x:c r="H691" t="str">
        <x:f>IF(B691=1,IF(F691=1,"TP","FN"),IF(F691=1,"FP","TN"))</x:f>
        <x:v>TN</x:v>
      </x:c>
      <x:c r="I691" t="str">
        <x:f>IF(B691=1,IF(G691=1,"TP","FN"),IF(G691=1,"FP","TN"))</x:f>
        <x:v>TN</x:v>
      </x:c>
    </x:row>
    <x:row r="692">
      <x:c r="A692" t="str">
        <x:f>MiniCase_Data!A692</x:f>
        <x:v>R00691</x:v>
      </x:c>
      <x:c r="B692" t="n">
        <x:f>IF(MiniCase_Data!O692="불합격",1,0)</x:f>
        <x:v>0</x:v>
      </x:c>
      <x:c r="C692" t="str">
        <x:f>IF(ISBLANK(MiniCase_Data!H692),"missing",IF(OR(MiniCase_Data!H692&lt;27,MiniCase_Data!H692&gt;33),"밖","안"))</x:f>
        <x:v>안</x:v>
      </x:c>
      <x:c r="D692" t="n">
        <x:f>IF(ISBLANK(MiniCase_Data!H692),VLOOKUP(A692,센서로그!$A$2:$C$13,3,FALSE),MiniCase_Data!H692)</x:f>
        <x:v>30.87</x:v>
      </x:c>
      <x:c r="E692" t="n">
        <x:f>IF(AND(MiniCase_Data!C692="야간",MiniCase_Data!F692="M03"),1,0)</x:f>
        <x:v>0</x:v>
      </x:c>
      <x:c r="F692" t="n">
        <x:f>IF(C692="밖",1,0)</x:f>
        <x:v>0</x:v>
      </x:c>
      <x:c r="G692" t="n">
        <x:f>IF(OR(F692=1,E692=1),1,0)</x:f>
        <x:v>0</x:v>
      </x:c>
      <x:c r="H692" t="str">
        <x:f>IF(B692=1,IF(F692=1,"TP","FN"),IF(F692=1,"FP","TN"))</x:f>
        <x:v>TN</x:v>
      </x:c>
      <x:c r="I692" t="str">
        <x:f>IF(B692=1,IF(G692=1,"TP","FN"),IF(G692=1,"FP","TN"))</x:f>
        <x:v>TN</x:v>
      </x:c>
    </x:row>
    <x:row r="693">
      <x:c r="A693" t="str">
        <x:f>MiniCase_Data!A693</x:f>
        <x:v>R00692</x:v>
      </x:c>
      <x:c r="B693" t="n">
        <x:f>IF(MiniCase_Data!O693="불합격",1,0)</x:f>
        <x:v>0</x:v>
      </x:c>
      <x:c r="C693" t="str">
        <x:f>IF(ISBLANK(MiniCase_Data!H693),"missing",IF(OR(MiniCase_Data!H693&lt;27,MiniCase_Data!H693&gt;33),"밖","안"))</x:f>
        <x:v>안</x:v>
      </x:c>
      <x:c r="D693" t="n">
        <x:f>IF(ISBLANK(MiniCase_Data!H693),VLOOKUP(A693,센서로그!$A$2:$C$13,3,FALSE),MiniCase_Data!H693)</x:f>
        <x:v>27.84</x:v>
      </x:c>
      <x:c r="E693" t="n">
        <x:f>IF(AND(MiniCase_Data!C693="야간",MiniCase_Data!F693="M03"),1,0)</x:f>
        <x:v>0</x:v>
      </x:c>
      <x:c r="F693" t="n">
        <x:f>IF(C693="밖",1,0)</x:f>
        <x:v>0</x:v>
      </x:c>
      <x:c r="G693" t="n">
        <x:f>IF(OR(F693=1,E693=1),1,0)</x:f>
        <x:v>0</x:v>
      </x:c>
      <x:c r="H693" t="str">
        <x:f>IF(B693=1,IF(F693=1,"TP","FN"),IF(F693=1,"FP","TN"))</x:f>
        <x:v>TN</x:v>
      </x:c>
      <x:c r="I693" t="str">
        <x:f>IF(B693=1,IF(G693=1,"TP","FN"),IF(G693=1,"FP","TN"))</x:f>
        <x:v>TN</x:v>
      </x:c>
    </x:row>
    <x:row r="694">
      <x:c r="A694" t="str">
        <x:f>MiniCase_Data!A694</x:f>
        <x:v>R00693</x:v>
      </x:c>
      <x:c r="B694" t="n">
        <x:f>IF(MiniCase_Data!O694="불합격",1,0)</x:f>
        <x:v>0</x:v>
      </x:c>
      <x:c r="C694" t="str">
        <x:f>IF(ISBLANK(MiniCase_Data!H694),"missing",IF(OR(MiniCase_Data!H694&lt;27,MiniCase_Data!H694&gt;33),"밖","안"))</x:f>
        <x:v>안</x:v>
      </x:c>
      <x:c r="D694" t="n">
        <x:f>IF(ISBLANK(MiniCase_Data!H694),VLOOKUP(A694,센서로그!$A$2:$C$13,3,FALSE),MiniCase_Data!H694)</x:f>
        <x:v>27.45</x:v>
      </x:c>
      <x:c r="E694" t="n">
        <x:f>IF(AND(MiniCase_Data!C694="야간",MiniCase_Data!F694="M03"),1,0)</x:f>
        <x:v>1</x:v>
      </x:c>
      <x:c r="F694" t="n">
        <x:f>IF(C694="밖",1,0)</x:f>
        <x:v>0</x:v>
      </x:c>
      <x:c r="G694" t="n">
        <x:f>IF(OR(F694=1,E694=1),1,0)</x:f>
        <x:v>1</x:v>
      </x:c>
      <x:c r="H694" t="str">
        <x:f>IF(B694=1,IF(F694=1,"TP","FN"),IF(F694=1,"FP","TN"))</x:f>
        <x:v>TN</x:v>
      </x:c>
      <x:c r="I694" t="str">
        <x:f>IF(B694=1,IF(G694=1,"TP","FN"),IF(G694=1,"FP","TN"))</x:f>
        <x:v>FP</x:v>
      </x:c>
    </x:row>
    <x:row r="695">
      <x:c r="A695" t="str">
        <x:f>MiniCase_Data!A695</x:f>
        <x:v>R00694</x:v>
      </x:c>
      <x:c r="B695" t="n">
        <x:f>IF(MiniCase_Data!O695="불합격",1,0)</x:f>
        <x:v>0</x:v>
      </x:c>
      <x:c r="C695" t="str">
        <x:f>IF(ISBLANK(MiniCase_Data!H695),"missing",IF(OR(MiniCase_Data!H695&lt;27,MiniCase_Data!H695&gt;33),"밖","안"))</x:f>
        <x:v>안</x:v>
      </x:c>
      <x:c r="D695" t="n">
        <x:f>IF(ISBLANK(MiniCase_Data!H695),VLOOKUP(A695,센서로그!$A$2:$C$13,3,FALSE),MiniCase_Data!H695)</x:f>
        <x:v>31.61</x:v>
      </x:c>
      <x:c r="E695" t="n">
        <x:f>IF(AND(MiniCase_Data!C695="야간",MiniCase_Data!F695="M03"),1,0)</x:f>
        <x:v>0</x:v>
      </x:c>
      <x:c r="F695" t="n">
        <x:f>IF(C695="밖",1,0)</x:f>
        <x:v>0</x:v>
      </x:c>
      <x:c r="G695" t="n">
        <x:f>IF(OR(F695=1,E695=1),1,0)</x:f>
        <x:v>0</x:v>
      </x:c>
      <x:c r="H695" t="str">
        <x:f>IF(B695=1,IF(F695=1,"TP","FN"),IF(F695=1,"FP","TN"))</x:f>
        <x:v>TN</x:v>
      </x:c>
      <x:c r="I695" t="str">
        <x:f>IF(B695=1,IF(G695=1,"TP","FN"),IF(G695=1,"FP","TN"))</x:f>
        <x:v>TN</x:v>
      </x:c>
    </x:row>
    <x:row r="696">
      <x:c r="A696" t="str">
        <x:f>MiniCase_Data!A696</x:f>
        <x:v>R00695</x:v>
      </x:c>
      <x:c r="B696" t="n">
        <x:f>IF(MiniCase_Data!O696="불합격",1,0)</x:f>
        <x:v>0</x:v>
      </x:c>
      <x:c r="C696" t="str">
        <x:f>IF(ISBLANK(MiniCase_Data!H696),"missing",IF(OR(MiniCase_Data!H696&lt;27,MiniCase_Data!H696&gt;33),"밖","안"))</x:f>
        <x:v>안</x:v>
      </x:c>
      <x:c r="D696" t="n">
        <x:f>IF(ISBLANK(MiniCase_Data!H696),VLOOKUP(A696,센서로그!$A$2:$C$13,3,FALSE),MiniCase_Data!H696)</x:f>
        <x:v>31.24</x:v>
      </x:c>
      <x:c r="E696" t="n">
        <x:f>IF(AND(MiniCase_Data!C696="야간",MiniCase_Data!F696="M03"),1,0)</x:f>
        <x:v>0</x:v>
      </x:c>
      <x:c r="F696" t="n">
        <x:f>IF(C696="밖",1,0)</x:f>
        <x:v>0</x:v>
      </x:c>
      <x:c r="G696" t="n">
        <x:f>IF(OR(F696=1,E696=1),1,0)</x:f>
        <x:v>0</x:v>
      </x:c>
      <x:c r="H696" t="str">
        <x:f>IF(B696=1,IF(F696=1,"TP","FN"),IF(F696=1,"FP","TN"))</x:f>
        <x:v>TN</x:v>
      </x:c>
      <x:c r="I696" t="str">
        <x:f>IF(B696=1,IF(G696=1,"TP","FN"),IF(G696=1,"FP","TN"))</x:f>
        <x:v>TN</x:v>
      </x:c>
    </x:row>
    <x:row r="697">
      <x:c r="A697" t="str">
        <x:f>MiniCase_Data!A697</x:f>
        <x:v>R00696</x:v>
      </x:c>
      <x:c r="B697" t="n">
        <x:f>IF(MiniCase_Data!O697="불합격",1,0)</x:f>
        <x:v>0</x:v>
      </x:c>
      <x:c r="C697" t="str">
        <x:f>IF(ISBLANK(MiniCase_Data!H697),"missing",IF(OR(MiniCase_Data!H697&lt;27,MiniCase_Data!H697&gt;33),"밖","안"))</x:f>
        <x:v>안</x:v>
      </x:c>
      <x:c r="D697" t="n">
        <x:f>IF(ISBLANK(MiniCase_Data!H697),VLOOKUP(A697,센서로그!$A$2:$C$13,3,FALSE),MiniCase_Data!H697)</x:f>
        <x:v>27.34</x:v>
      </x:c>
      <x:c r="E697" t="n">
        <x:f>IF(AND(MiniCase_Data!C697="야간",MiniCase_Data!F697="M03"),1,0)</x:f>
        <x:v>0</x:v>
      </x:c>
      <x:c r="F697" t="n">
        <x:f>IF(C697="밖",1,0)</x:f>
        <x:v>0</x:v>
      </x:c>
      <x:c r="G697" t="n">
        <x:f>IF(OR(F697=1,E697=1),1,0)</x:f>
        <x:v>0</x:v>
      </x:c>
      <x:c r="H697" t="str">
        <x:f>IF(B697=1,IF(F697=1,"TP","FN"),IF(F697=1,"FP","TN"))</x:f>
        <x:v>TN</x:v>
      </x:c>
      <x:c r="I697" t="str">
        <x:f>IF(B697=1,IF(G697=1,"TP","FN"),IF(G697=1,"FP","TN"))</x:f>
        <x:v>TN</x:v>
      </x:c>
    </x:row>
    <x:row r="698">
      <x:c r="A698" t="str">
        <x:f>MiniCase_Data!A698</x:f>
        <x:v>R00697</x:v>
      </x:c>
      <x:c r="B698" t="n">
        <x:f>IF(MiniCase_Data!O698="불합격",1,0)</x:f>
        <x:v>0</x:v>
      </x:c>
      <x:c r="C698" t="str">
        <x:f>IF(ISBLANK(MiniCase_Data!H698),"missing",IF(OR(MiniCase_Data!H698&lt;27,MiniCase_Data!H698&gt;33),"밖","안"))</x:f>
        <x:v>안</x:v>
      </x:c>
      <x:c r="D698" t="n">
        <x:f>IF(ISBLANK(MiniCase_Data!H698),VLOOKUP(A698,센서로그!$A$2:$C$13,3,FALSE),MiniCase_Data!H698)</x:f>
        <x:v>28.75</x:v>
      </x:c>
      <x:c r="E698" t="n">
        <x:f>IF(AND(MiniCase_Data!C698="야간",MiniCase_Data!F698="M03"),1,0)</x:f>
        <x:v>1</x:v>
      </x:c>
      <x:c r="F698" t="n">
        <x:f>IF(C698="밖",1,0)</x:f>
        <x:v>0</x:v>
      </x:c>
      <x:c r="G698" t="n">
        <x:f>IF(OR(F698=1,E698=1),1,0)</x:f>
        <x:v>1</x:v>
      </x:c>
      <x:c r="H698" t="str">
        <x:f>IF(B698=1,IF(F698=1,"TP","FN"),IF(F698=1,"FP","TN"))</x:f>
        <x:v>TN</x:v>
      </x:c>
      <x:c r="I698" t="str">
        <x:f>IF(B698=1,IF(G698=1,"TP","FN"),IF(G698=1,"FP","TN"))</x:f>
        <x:v>FP</x:v>
      </x:c>
    </x:row>
    <x:row r="699">
      <x:c r="A699" t="str">
        <x:f>MiniCase_Data!A699</x:f>
        <x:v>R00698</x:v>
      </x:c>
      <x:c r="B699" t="n">
        <x:f>IF(MiniCase_Data!O699="불합격",1,0)</x:f>
        <x:v>0</x:v>
      </x:c>
      <x:c r="C699" t="str">
        <x:f>IF(ISBLANK(MiniCase_Data!H699),"missing",IF(OR(MiniCase_Data!H699&lt;27,MiniCase_Data!H699&gt;33),"밖","안"))</x:f>
        <x:v>밖</x:v>
      </x:c>
      <x:c r="D699" t="n">
        <x:f>IF(ISBLANK(MiniCase_Data!H699),VLOOKUP(A699,센서로그!$A$2:$C$13,3,FALSE),MiniCase_Data!H699)</x:f>
        <x:v>26.2</x:v>
      </x:c>
      <x:c r="E699" t="n">
        <x:f>IF(AND(MiniCase_Data!C699="야간",MiniCase_Data!F699="M03"),1,0)</x:f>
        <x:v>1</x:v>
      </x:c>
      <x:c r="F699" t="n">
        <x:f>IF(C699="밖",1,0)</x:f>
        <x:v>1</x:v>
      </x:c>
      <x:c r="G699" t="n">
        <x:f>IF(OR(F699=1,E699=1),1,0)</x:f>
        <x:v>1</x:v>
      </x:c>
      <x:c r="H699" t="str">
        <x:f>IF(B699=1,IF(F699=1,"TP","FN"),IF(F699=1,"FP","TN"))</x:f>
        <x:v>FP</x:v>
      </x:c>
      <x:c r="I699" t="str">
        <x:f>IF(B699=1,IF(G699=1,"TP","FN"),IF(G699=1,"FP","TN"))</x:f>
        <x:v>FP</x:v>
      </x:c>
    </x:row>
    <x:row r="700">
      <x:c r="A700" t="str">
        <x:f>MiniCase_Data!A700</x:f>
        <x:v>R00699</x:v>
      </x:c>
      <x:c r="B700" t="n">
        <x:f>IF(MiniCase_Data!O700="불합격",1,0)</x:f>
        <x:v>0</x:v>
      </x:c>
      <x:c r="C700" t="str">
        <x:f>IF(ISBLANK(MiniCase_Data!H700),"missing",IF(OR(MiniCase_Data!H700&lt;27,MiniCase_Data!H700&gt;33),"밖","안"))</x:f>
        <x:v>안</x:v>
      </x:c>
      <x:c r="D700" t="n">
        <x:f>IF(ISBLANK(MiniCase_Data!H700),VLOOKUP(A700,센서로그!$A$2:$C$13,3,FALSE),MiniCase_Data!H700)</x:f>
        <x:v>32.33</x:v>
      </x:c>
      <x:c r="E700" t="n">
        <x:f>IF(AND(MiniCase_Data!C700="야간",MiniCase_Data!F700="M03"),1,0)</x:f>
        <x:v>0</x:v>
      </x:c>
      <x:c r="F700" t="n">
        <x:f>IF(C700="밖",1,0)</x:f>
        <x:v>0</x:v>
      </x:c>
      <x:c r="G700" t="n">
        <x:f>IF(OR(F700=1,E700=1),1,0)</x:f>
        <x:v>0</x:v>
      </x:c>
      <x:c r="H700" t="str">
        <x:f>IF(B700=1,IF(F700=1,"TP","FN"),IF(F700=1,"FP","TN"))</x:f>
        <x:v>TN</x:v>
      </x:c>
      <x:c r="I700" t="str">
        <x:f>IF(B700=1,IF(G700=1,"TP","FN"),IF(G700=1,"FP","TN"))</x:f>
        <x:v>TN</x:v>
      </x:c>
    </x:row>
    <x:row r="701">
      <x:c r="A701" t="str">
        <x:f>MiniCase_Data!A701</x:f>
        <x:v>R00700</x:v>
      </x:c>
      <x:c r="B701" t="n">
        <x:f>IF(MiniCase_Data!O701="불합격",1,0)</x:f>
        <x:v>0</x:v>
      </x:c>
      <x:c r="C701" t="str">
        <x:f>IF(ISBLANK(MiniCase_Data!H701),"missing",IF(OR(MiniCase_Data!H701&lt;27,MiniCase_Data!H701&gt;33),"밖","안"))</x:f>
        <x:v>안</x:v>
      </x:c>
      <x:c r="D701" t="n">
        <x:f>IF(ISBLANK(MiniCase_Data!H701),VLOOKUP(A701,센서로그!$A$2:$C$13,3,FALSE),MiniCase_Data!H701)</x:f>
        <x:v>30.34</x:v>
      </x:c>
      <x:c r="E701" t="n">
        <x:f>IF(AND(MiniCase_Data!C701="야간",MiniCase_Data!F701="M03"),1,0)</x:f>
        <x:v>0</x:v>
      </x:c>
      <x:c r="F701" t="n">
        <x:f>IF(C701="밖",1,0)</x:f>
        <x:v>0</x:v>
      </x:c>
      <x:c r="G701" t="n">
        <x:f>IF(OR(F701=1,E701=1),1,0)</x:f>
        <x:v>0</x:v>
      </x:c>
      <x:c r="H701" t="str">
        <x:f>IF(B701=1,IF(F701=1,"TP","FN"),IF(F701=1,"FP","TN"))</x:f>
        <x:v>TN</x:v>
      </x:c>
      <x:c r="I701" t="str">
        <x:f>IF(B701=1,IF(G701=1,"TP","FN"),IF(G701=1,"FP","TN"))</x:f>
        <x:v>TN</x:v>
      </x:c>
    </x:row>
    <x:row r="702">
      <x:c r="A702" t="str">
        <x:f>MiniCase_Data!A702</x:f>
        <x:v>R00701</x:v>
      </x:c>
      <x:c r="B702" t="n">
        <x:f>IF(MiniCase_Data!O702="불합격",1,0)</x:f>
        <x:v>0</x:v>
      </x:c>
      <x:c r="C702" t="str">
        <x:f>IF(ISBLANK(MiniCase_Data!H702),"missing",IF(OR(MiniCase_Data!H702&lt;27,MiniCase_Data!H702&gt;33),"밖","안"))</x:f>
        <x:v>안</x:v>
      </x:c>
      <x:c r="D702" t="n">
        <x:f>IF(ISBLANK(MiniCase_Data!H702),VLOOKUP(A702,센서로그!$A$2:$C$13,3,FALSE),MiniCase_Data!H702)</x:f>
        <x:v>31.65</x:v>
      </x:c>
      <x:c r="E702" t="n">
        <x:f>IF(AND(MiniCase_Data!C702="야간",MiniCase_Data!F702="M03"),1,0)</x:f>
        <x:v>0</x:v>
      </x:c>
      <x:c r="F702" t="n">
        <x:f>IF(C702="밖",1,0)</x:f>
        <x:v>0</x:v>
      </x:c>
      <x:c r="G702" t="n">
        <x:f>IF(OR(F702=1,E702=1),1,0)</x:f>
        <x:v>0</x:v>
      </x:c>
      <x:c r="H702" t="str">
        <x:f>IF(B702=1,IF(F702=1,"TP","FN"),IF(F702=1,"FP","TN"))</x:f>
        <x:v>TN</x:v>
      </x:c>
      <x:c r="I702" t="str">
        <x:f>IF(B702=1,IF(G702=1,"TP","FN"),IF(G702=1,"FP","TN"))</x:f>
        <x:v>TN</x:v>
      </x:c>
    </x:row>
    <x:row r="703">
      <x:c r="A703" t="str">
        <x:f>MiniCase_Data!A703</x:f>
        <x:v>R00702</x:v>
      </x:c>
      <x:c r="B703" t="n">
        <x:f>IF(MiniCase_Data!O703="불합격",1,0)</x:f>
        <x:v>0</x:v>
      </x:c>
      <x:c r="C703" t="str">
        <x:f>IF(ISBLANK(MiniCase_Data!H703),"missing",IF(OR(MiniCase_Data!H703&lt;27,MiniCase_Data!H703&gt;33),"밖","안"))</x:f>
        <x:v>안</x:v>
      </x:c>
      <x:c r="D703" t="n">
        <x:f>IF(ISBLANK(MiniCase_Data!H703),VLOOKUP(A703,센서로그!$A$2:$C$13,3,FALSE),MiniCase_Data!H703)</x:f>
        <x:v>27.56</x:v>
      </x:c>
      <x:c r="E703" t="n">
        <x:f>IF(AND(MiniCase_Data!C703="야간",MiniCase_Data!F703="M03"),1,0)</x:f>
        <x:v>0</x:v>
      </x:c>
      <x:c r="F703" t="n">
        <x:f>IF(C703="밖",1,0)</x:f>
        <x:v>0</x:v>
      </x:c>
      <x:c r="G703" t="n">
        <x:f>IF(OR(F703=1,E703=1),1,0)</x:f>
        <x:v>0</x:v>
      </x:c>
      <x:c r="H703" t="str">
        <x:f>IF(B703=1,IF(F703=1,"TP","FN"),IF(F703=1,"FP","TN"))</x:f>
        <x:v>TN</x:v>
      </x:c>
      <x:c r="I703" t="str">
        <x:f>IF(B703=1,IF(G703=1,"TP","FN"),IF(G703=1,"FP","TN"))</x:f>
        <x:v>TN</x:v>
      </x:c>
    </x:row>
    <x:row r="704">
      <x:c r="A704" t="str">
        <x:f>MiniCase_Data!A704</x:f>
        <x:v>R00703</x:v>
      </x:c>
      <x:c r="B704" t="n">
        <x:f>IF(MiniCase_Data!O704="불합격",1,0)</x:f>
        <x:v>0</x:v>
      </x:c>
      <x:c r="C704" t="str">
        <x:f>IF(ISBLANK(MiniCase_Data!H704),"missing",IF(OR(MiniCase_Data!H704&lt;27,MiniCase_Data!H704&gt;33),"밖","안"))</x:f>
        <x:v>안</x:v>
      </x:c>
      <x:c r="D704" t="n">
        <x:f>IF(ISBLANK(MiniCase_Data!H704),VLOOKUP(A704,센서로그!$A$2:$C$13,3,FALSE),MiniCase_Data!H704)</x:f>
        <x:v>32.6</x:v>
      </x:c>
      <x:c r="E704" t="n">
        <x:f>IF(AND(MiniCase_Data!C704="야간",MiniCase_Data!F704="M03"),1,0)</x:f>
        <x:v>0</x:v>
      </x:c>
      <x:c r="F704" t="n">
        <x:f>IF(C704="밖",1,0)</x:f>
        <x:v>0</x:v>
      </x:c>
      <x:c r="G704" t="n">
        <x:f>IF(OR(F704=1,E704=1),1,0)</x:f>
        <x:v>0</x:v>
      </x:c>
      <x:c r="H704" t="str">
        <x:f>IF(B704=1,IF(F704=1,"TP","FN"),IF(F704=1,"FP","TN"))</x:f>
        <x:v>TN</x:v>
      </x:c>
      <x:c r="I704" t="str">
        <x:f>IF(B704=1,IF(G704=1,"TP","FN"),IF(G704=1,"FP","TN"))</x:f>
        <x:v>TN</x:v>
      </x:c>
    </x:row>
    <x:row r="705">
      <x:c r="A705" t="str">
        <x:f>MiniCase_Data!A705</x:f>
        <x:v>R00704</x:v>
      </x:c>
      <x:c r="B705" t="n">
        <x:f>IF(MiniCase_Data!O705="불합격",1,0)</x:f>
        <x:v>0</x:v>
      </x:c>
      <x:c r="C705" t="str">
        <x:f>IF(ISBLANK(MiniCase_Data!H705),"missing",IF(OR(MiniCase_Data!H705&lt;27,MiniCase_Data!H705&gt;33),"밖","안"))</x:f>
        <x:v>안</x:v>
      </x:c>
      <x:c r="D705" t="n">
        <x:f>IF(ISBLANK(MiniCase_Data!H705),VLOOKUP(A705,센서로그!$A$2:$C$13,3,FALSE),MiniCase_Data!H705)</x:f>
        <x:v>32.73</x:v>
      </x:c>
      <x:c r="E705" t="n">
        <x:f>IF(AND(MiniCase_Data!C705="야간",MiniCase_Data!F705="M03"),1,0)</x:f>
        <x:v>0</x:v>
      </x:c>
      <x:c r="F705" t="n">
        <x:f>IF(C705="밖",1,0)</x:f>
        <x:v>0</x:v>
      </x:c>
      <x:c r="G705" t="n">
        <x:f>IF(OR(F705=1,E705=1),1,0)</x:f>
        <x:v>0</x:v>
      </x:c>
      <x:c r="H705" t="str">
        <x:f>IF(B705=1,IF(F705=1,"TP","FN"),IF(F705=1,"FP","TN"))</x:f>
        <x:v>TN</x:v>
      </x:c>
      <x:c r="I705" t="str">
        <x:f>IF(B705=1,IF(G705=1,"TP","FN"),IF(G705=1,"FP","TN"))</x:f>
        <x:v>TN</x:v>
      </x:c>
    </x:row>
    <x:row r="706">
      <x:c r="A706" t="str">
        <x:f>MiniCase_Data!A706</x:f>
        <x:v>R00705</x:v>
      </x:c>
      <x:c r="B706" t="n">
        <x:f>IF(MiniCase_Data!O706="불합격",1,0)</x:f>
        <x:v>0</x:v>
      </x:c>
      <x:c r="C706" t="str">
        <x:f>IF(ISBLANK(MiniCase_Data!H706),"missing",IF(OR(MiniCase_Data!H706&lt;27,MiniCase_Data!H706&gt;33),"밖","안"))</x:f>
        <x:v>안</x:v>
      </x:c>
      <x:c r="D706" t="n">
        <x:f>IF(ISBLANK(MiniCase_Data!H706),VLOOKUP(A706,센서로그!$A$2:$C$13,3,FALSE),MiniCase_Data!H706)</x:f>
        <x:v>27.98</x:v>
      </x:c>
      <x:c r="E706" t="n">
        <x:f>IF(AND(MiniCase_Data!C706="야간",MiniCase_Data!F706="M03"),1,0)</x:f>
        <x:v>0</x:v>
      </x:c>
      <x:c r="F706" t="n">
        <x:f>IF(C706="밖",1,0)</x:f>
        <x:v>0</x:v>
      </x:c>
      <x:c r="G706" t="n">
        <x:f>IF(OR(F706=1,E706=1),1,0)</x:f>
        <x:v>0</x:v>
      </x:c>
      <x:c r="H706" t="str">
        <x:f>IF(B706=1,IF(F706=1,"TP","FN"),IF(F706=1,"FP","TN"))</x:f>
        <x:v>TN</x:v>
      </x:c>
      <x:c r="I706" t="str">
        <x:f>IF(B706=1,IF(G706=1,"TP","FN"),IF(G706=1,"FP","TN"))</x:f>
        <x:v>TN</x:v>
      </x:c>
    </x:row>
    <x:row r="707">
      <x:c r="A707" t="str">
        <x:f>MiniCase_Data!A707</x:f>
        <x:v>R00706</x:v>
      </x:c>
      <x:c r="B707" t="n">
        <x:f>IF(MiniCase_Data!O707="불합격",1,0)</x:f>
        <x:v>0</x:v>
      </x:c>
      <x:c r="C707" t="str">
        <x:f>IF(ISBLANK(MiniCase_Data!H707),"missing",IF(OR(MiniCase_Data!H707&lt;27,MiniCase_Data!H707&gt;33),"밖","안"))</x:f>
        <x:v>안</x:v>
      </x:c>
      <x:c r="D707" t="n">
        <x:f>IF(ISBLANK(MiniCase_Data!H707),VLOOKUP(A707,센서로그!$A$2:$C$13,3,FALSE),MiniCase_Data!H707)</x:f>
        <x:v>30.05</x:v>
      </x:c>
      <x:c r="E707" t="n">
        <x:f>IF(AND(MiniCase_Data!C707="야간",MiniCase_Data!F707="M03"),1,0)</x:f>
        <x:v>0</x:v>
      </x:c>
      <x:c r="F707" t="n">
        <x:f>IF(C707="밖",1,0)</x:f>
        <x:v>0</x:v>
      </x:c>
      <x:c r="G707" t="n">
        <x:f>IF(OR(F707=1,E707=1),1,0)</x:f>
        <x:v>0</x:v>
      </x:c>
      <x:c r="H707" t="str">
        <x:f>IF(B707=1,IF(F707=1,"TP","FN"),IF(F707=1,"FP","TN"))</x:f>
        <x:v>TN</x:v>
      </x:c>
      <x:c r="I707" t="str">
        <x:f>IF(B707=1,IF(G707=1,"TP","FN"),IF(G707=1,"FP","TN"))</x:f>
        <x:v>TN</x:v>
      </x:c>
    </x:row>
    <x:row r="708">
      <x:c r="A708" t="str">
        <x:f>MiniCase_Data!A708</x:f>
        <x:v>R00707</x:v>
      </x:c>
      <x:c r="B708" t="n">
        <x:f>IF(MiniCase_Data!O708="불합격",1,0)</x:f>
        <x:v>0</x:v>
      </x:c>
      <x:c r="C708" t="str">
        <x:f>IF(ISBLANK(MiniCase_Data!H708),"missing",IF(OR(MiniCase_Data!H708&lt;27,MiniCase_Data!H708&gt;33),"밖","안"))</x:f>
        <x:v>안</x:v>
      </x:c>
      <x:c r="D708" t="n">
        <x:f>IF(ISBLANK(MiniCase_Data!H708),VLOOKUP(A708,센서로그!$A$2:$C$13,3,FALSE),MiniCase_Data!H708)</x:f>
        <x:v>32.27</x:v>
      </x:c>
      <x:c r="E708" t="n">
        <x:f>IF(AND(MiniCase_Data!C708="야간",MiniCase_Data!F708="M03"),1,0)</x:f>
        <x:v>0</x:v>
      </x:c>
      <x:c r="F708" t="n">
        <x:f>IF(C708="밖",1,0)</x:f>
        <x:v>0</x:v>
      </x:c>
      <x:c r="G708" t="n">
        <x:f>IF(OR(F708=1,E708=1),1,0)</x:f>
        <x:v>0</x:v>
      </x:c>
      <x:c r="H708" t="str">
        <x:f>IF(B708=1,IF(F708=1,"TP","FN"),IF(F708=1,"FP","TN"))</x:f>
        <x:v>TN</x:v>
      </x:c>
      <x:c r="I708" t="str">
        <x:f>IF(B708=1,IF(G708=1,"TP","FN"),IF(G708=1,"FP","TN"))</x:f>
        <x:v>TN</x:v>
      </x:c>
    </x:row>
    <x:row r="709">
      <x:c r="A709" t="str">
        <x:f>MiniCase_Data!A709</x:f>
        <x:v>R00708</x:v>
      </x:c>
      <x:c r="B709" t="n">
        <x:f>IF(MiniCase_Data!O709="불합격",1,0)</x:f>
        <x:v>0</x:v>
      </x:c>
      <x:c r="C709" t="str">
        <x:f>IF(ISBLANK(MiniCase_Data!H709),"missing",IF(OR(MiniCase_Data!H709&lt;27,MiniCase_Data!H709&gt;33),"밖","안"))</x:f>
        <x:v>안</x:v>
      </x:c>
      <x:c r="D709" t="n">
        <x:f>IF(ISBLANK(MiniCase_Data!H709),VLOOKUP(A709,센서로그!$A$2:$C$13,3,FALSE),MiniCase_Data!H709)</x:f>
        <x:v>28.56</x:v>
      </x:c>
      <x:c r="E709" t="n">
        <x:f>IF(AND(MiniCase_Data!C709="야간",MiniCase_Data!F709="M03"),1,0)</x:f>
        <x:v>0</x:v>
      </x:c>
      <x:c r="F709" t="n">
        <x:f>IF(C709="밖",1,0)</x:f>
        <x:v>0</x:v>
      </x:c>
      <x:c r="G709" t="n">
        <x:f>IF(OR(F709=1,E709=1),1,0)</x:f>
        <x:v>0</x:v>
      </x:c>
      <x:c r="H709" t="str">
        <x:f>IF(B709=1,IF(F709=1,"TP","FN"),IF(F709=1,"FP","TN"))</x:f>
        <x:v>TN</x:v>
      </x:c>
      <x:c r="I709" t="str">
        <x:f>IF(B709=1,IF(G709=1,"TP","FN"),IF(G709=1,"FP","TN"))</x:f>
        <x:v>TN</x:v>
      </x:c>
    </x:row>
    <x:row r="710">
      <x:c r="A710" t="str">
        <x:f>MiniCase_Data!A710</x:f>
        <x:v>R00709</x:v>
      </x:c>
      <x:c r="B710" t="n">
        <x:f>IF(MiniCase_Data!O710="불합격",1,0)</x:f>
        <x:v>0</x:v>
      </x:c>
      <x:c r="C710" t="str">
        <x:f>IF(ISBLANK(MiniCase_Data!H710),"missing",IF(OR(MiniCase_Data!H710&lt;27,MiniCase_Data!H710&gt;33),"밖","안"))</x:f>
        <x:v>안</x:v>
      </x:c>
      <x:c r="D710" t="n">
        <x:f>IF(ISBLANK(MiniCase_Data!H710),VLOOKUP(A710,센서로그!$A$2:$C$13,3,FALSE),MiniCase_Data!H710)</x:f>
        <x:v>27.73</x:v>
      </x:c>
      <x:c r="E710" t="n">
        <x:f>IF(AND(MiniCase_Data!C710="야간",MiniCase_Data!F710="M03"),1,0)</x:f>
        <x:v>0</x:v>
      </x:c>
      <x:c r="F710" t="n">
        <x:f>IF(C710="밖",1,0)</x:f>
        <x:v>0</x:v>
      </x:c>
      <x:c r="G710" t="n">
        <x:f>IF(OR(F710=1,E710=1),1,0)</x:f>
        <x:v>0</x:v>
      </x:c>
      <x:c r="H710" t="str">
        <x:f>IF(B710=1,IF(F710=1,"TP","FN"),IF(F710=1,"FP","TN"))</x:f>
        <x:v>TN</x:v>
      </x:c>
      <x:c r="I710" t="str">
        <x:f>IF(B710=1,IF(G710=1,"TP","FN"),IF(G710=1,"FP","TN"))</x:f>
        <x:v>TN</x:v>
      </x:c>
    </x:row>
    <x:row r="711">
      <x:c r="A711" t="str">
        <x:f>MiniCase_Data!A711</x:f>
        <x:v>R00710</x:v>
      </x:c>
      <x:c r="B711" t="n">
        <x:f>IF(MiniCase_Data!O711="불합격",1,0)</x:f>
        <x:v>0</x:v>
      </x:c>
      <x:c r="C711" t="str">
        <x:f>IF(ISBLANK(MiniCase_Data!H711),"missing",IF(OR(MiniCase_Data!H711&lt;27,MiniCase_Data!H711&gt;33),"밖","안"))</x:f>
        <x:v>안</x:v>
      </x:c>
      <x:c r="D711" t="n">
        <x:f>IF(ISBLANK(MiniCase_Data!H711),VLOOKUP(A711,센서로그!$A$2:$C$13,3,FALSE),MiniCase_Data!H711)</x:f>
        <x:v>32.78</x:v>
      </x:c>
      <x:c r="E711" t="n">
        <x:f>IF(AND(MiniCase_Data!C711="야간",MiniCase_Data!F711="M03"),1,0)</x:f>
        <x:v>0</x:v>
      </x:c>
      <x:c r="F711" t="n">
        <x:f>IF(C711="밖",1,0)</x:f>
        <x:v>0</x:v>
      </x:c>
      <x:c r="G711" t="n">
        <x:f>IF(OR(F711=1,E711=1),1,0)</x:f>
        <x:v>0</x:v>
      </x:c>
      <x:c r="H711" t="str">
        <x:f>IF(B711=1,IF(F711=1,"TP","FN"),IF(F711=1,"FP","TN"))</x:f>
        <x:v>TN</x:v>
      </x:c>
      <x:c r="I711" t="str">
        <x:f>IF(B711=1,IF(G711=1,"TP","FN"),IF(G711=1,"FP","TN"))</x:f>
        <x:v>TN</x:v>
      </x:c>
    </x:row>
    <x:row r="712">
      <x:c r="A712" t="str">
        <x:f>MiniCase_Data!A712</x:f>
        <x:v>R00711</x:v>
      </x:c>
      <x:c r="B712" t="n">
        <x:f>IF(MiniCase_Data!O712="불합격",1,0)</x:f>
        <x:v>0</x:v>
      </x:c>
      <x:c r="C712" t="str">
        <x:f>IF(ISBLANK(MiniCase_Data!H712),"missing",IF(OR(MiniCase_Data!H712&lt;27,MiniCase_Data!H712&gt;33),"밖","안"))</x:f>
        <x:v>안</x:v>
      </x:c>
      <x:c r="D712" t="n">
        <x:f>IF(ISBLANK(MiniCase_Data!H712),VLOOKUP(A712,센서로그!$A$2:$C$13,3,FALSE),MiniCase_Data!H712)</x:f>
        <x:v>30.53</x:v>
      </x:c>
      <x:c r="E712" t="n">
        <x:f>IF(AND(MiniCase_Data!C712="야간",MiniCase_Data!F712="M03"),1,0)</x:f>
        <x:v>0</x:v>
      </x:c>
      <x:c r="F712" t="n">
        <x:f>IF(C712="밖",1,0)</x:f>
        <x:v>0</x:v>
      </x:c>
      <x:c r="G712" t="n">
        <x:f>IF(OR(F712=1,E712=1),1,0)</x:f>
        <x:v>0</x:v>
      </x:c>
      <x:c r="H712" t="str">
        <x:f>IF(B712=1,IF(F712=1,"TP","FN"),IF(F712=1,"FP","TN"))</x:f>
        <x:v>TN</x:v>
      </x:c>
      <x:c r="I712" t="str">
        <x:f>IF(B712=1,IF(G712=1,"TP","FN"),IF(G712=1,"FP","TN"))</x:f>
        <x:v>TN</x:v>
      </x:c>
    </x:row>
    <x:row r="713">
      <x:c r="A713" t="str">
        <x:f>MiniCase_Data!A713</x:f>
        <x:v>R00712</x:v>
      </x:c>
      <x:c r="B713" t="n">
        <x:f>IF(MiniCase_Data!O713="불합격",1,0)</x:f>
        <x:v>0</x:v>
      </x:c>
      <x:c r="C713" t="str">
        <x:f>IF(ISBLANK(MiniCase_Data!H713),"missing",IF(OR(MiniCase_Data!H713&lt;27,MiniCase_Data!H713&gt;33),"밖","안"))</x:f>
        <x:v>안</x:v>
      </x:c>
      <x:c r="D713" t="n">
        <x:f>IF(ISBLANK(MiniCase_Data!H713),VLOOKUP(A713,센서로그!$A$2:$C$13,3,FALSE),MiniCase_Data!H713)</x:f>
        <x:v>32.26</x:v>
      </x:c>
      <x:c r="E713" t="n">
        <x:f>IF(AND(MiniCase_Data!C713="야간",MiniCase_Data!F713="M03"),1,0)</x:f>
        <x:v>0</x:v>
      </x:c>
      <x:c r="F713" t="n">
        <x:f>IF(C713="밖",1,0)</x:f>
        <x:v>0</x:v>
      </x:c>
      <x:c r="G713" t="n">
        <x:f>IF(OR(F713=1,E713=1),1,0)</x:f>
        <x:v>0</x:v>
      </x:c>
      <x:c r="H713" t="str">
        <x:f>IF(B713=1,IF(F713=1,"TP","FN"),IF(F713=1,"FP","TN"))</x:f>
        <x:v>TN</x:v>
      </x:c>
      <x:c r="I713" t="str">
        <x:f>IF(B713=1,IF(G713=1,"TP","FN"),IF(G713=1,"FP","TN"))</x:f>
        <x:v>TN</x:v>
      </x:c>
    </x:row>
    <x:row r="714">
      <x:c r="A714" t="str">
        <x:f>MiniCase_Data!A714</x:f>
        <x:v>R00713</x:v>
      </x:c>
      <x:c r="B714" t="n">
        <x:f>IF(MiniCase_Data!O714="불합격",1,0)</x:f>
        <x:v>0</x:v>
      </x:c>
      <x:c r="C714" t="str">
        <x:f>IF(ISBLANK(MiniCase_Data!H714),"missing",IF(OR(MiniCase_Data!H714&lt;27,MiniCase_Data!H714&gt;33),"밖","안"))</x:f>
        <x:v>안</x:v>
      </x:c>
      <x:c r="D714" t="n">
        <x:f>IF(ISBLANK(MiniCase_Data!H714),VLOOKUP(A714,센서로그!$A$2:$C$13,3,FALSE),MiniCase_Data!H714)</x:f>
        <x:v>31.59</x:v>
      </x:c>
      <x:c r="E714" t="n">
        <x:f>IF(AND(MiniCase_Data!C714="야간",MiniCase_Data!F714="M03"),1,0)</x:f>
        <x:v>0</x:v>
      </x:c>
      <x:c r="F714" t="n">
        <x:f>IF(C714="밖",1,0)</x:f>
        <x:v>0</x:v>
      </x:c>
      <x:c r="G714" t="n">
        <x:f>IF(OR(F714=1,E714=1),1,0)</x:f>
        <x:v>0</x:v>
      </x:c>
      <x:c r="H714" t="str">
        <x:f>IF(B714=1,IF(F714=1,"TP","FN"),IF(F714=1,"FP","TN"))</x:f>
        <x:v>TN</x:v>
      </x:c>
      <x:c r="I714" t="str">
        <x:f>IF(B714=1,IF(G714=1,"TP","FN"),IF(G714=1,"FP","TN"))</x:f>
        <x:v>TN</x:v>
      </x:c>
    </x:row>
    <x:row r="715">
      <x:c r="A715" t="str">
        <x:f>MiniCase_Data!A715</x:f>
        <x:v>R00714</x:v>
      </x:c>
      <x:c r="B715" t="n">
        <x:f>IF(MiniCase_Data!O715="불합격",1,0)</x:f>
        <x:v>0</x:v>
      </x:c>
      <x:c r="C715" t="str">
        <x:f>IF(ISBLANK(MiniCase_Data!H715),"missing",IF(OR(MiniCase_Data!H715&lt;27,MiniCase_Data!H715&gt;33),"밖","안"))</x:f>
        <x:v>안</x:v>
      </x:c>
      <x:c r="D715" t="n">
        <x:f>IF(ISBLANK(MiniCase_Data!H715),VLOOKUP(A715,센서로그!$A$2:$C$13,3,FALSE),MiniCase_Data!H715)</x:f>
        <x:v>29.05</x:v>
      </x:c>
      <x:c r="E715" t="n">
        <x:f>IF(AND(MiniCase_Data!C715="야간",MiniCase_Data!F715="M03"),1,0)</x:f>
        <x:v>0</x:v>
      </x:c>
      <x:c r="F715" t="n">
        <x:f>IF(C715="밖",1,0)</x:f>
        <x:v>0</x:v>
      </x:c>
      <x:c r="G715" t="n">
        <x:f>IF(OR(F715=1,E715=1),1,0)</x:f>
        <x:v>0</x:v>
      </x:c>
      <x:c r="H715" t="str">
        <x:f>IF(B715=1,IF(F715=1,"TP","FN"),IF(F715=1,"FP","TN"))</x:f>
        <x:v>TN</x:v>
      </x:c>
      <x:c r="I715" t="str">
        <x:f>IF(B715=1,IF(G715=1,"TP","FN"),IF(G715=1,"FP","TN"))</x:f>
        <x:v>TN</x:v>
      </x:c>
    </x:row>
    <x:row r="716">
      <x:c r="A716" t="str">
        <x:f>MiniCase_Data!A716</x:f>
        <x:v>R00715</x:v>
      </x:c>
      <x:c r="B716" t="n">
        <x:f>IF(MiniCase_Data!O716="불합격",1,0)</x:f>
        <x:v>0</x:v>
      </x:c>
      <x:c r="C716" t="str">
        <x:f>IF(ISBLANK(MiniCase_Data!H716),"missing",IF(OR(MiniCase_Data!H716&lt;27,MiniCase_Data!H716&gt;33),"밖","안"))</x:f>
        <x:v>안</x:v>
      </x:c>
      <x:c r="D716" t="n">
        <x:f>IF(ISBLANK(MiniCase_Data!H716),VLOOKUP(A716,센서로그!$A$2:$C$13,3,FALSE),MiniCase_Data!H716)</x:f>
        <x:v>30.52</x:v>
      </x:c>
      <x:c r="E716" t="n">
        <x:f>IF(AND(MiniCase_Data!C716="야간",MiniCase_Data!F716="M03"),1,0)</x:f>
        <x:v>0</x:v>
      </x:c>
      <x:c r="F716" t="n">
        <x:f>IF(C716="밖",1,0)</x:f>
        <x:v>0</x:v>
      </x:c>
      <x:c r="G716" t="n">
        <x:f>IF(OR(F716=1,E716=1),1,0)</x:f>
        <x:v>0</x:v>
      </x:c>
      <x:c r="H716" t="str">
        <x:f>IF(B716=1,IF(F716=1,"TP","FN"),IF(F716=1,"FP","TN"))</x:f>
        <x:v>TN</x:v>
      </x:c>
      <x:c r="I716" t="str">
        <x:f>IF(B716=1,IF(G716=1,"TP","FN"),IF(G716=1,"FP","TN"))</x:f>
        <x:v>TN</x:v>
      </x:c>
    </x:row>
    <x:row r="717">
      <x:c r="A717" t="str">
        <x:f>MiniCase_Data!A717</x:f>
        <x:v>R00716</x:v>
      </x:c>
      <x:c r="B717" t="n">
        <x:f>IF(MiniCase_Data!O717="불합격",1,0)</x:f>
        <x:v>0</x:v>
      </x:c>
      <x:c r="C717" t="str">
        <x:f>IF(ISBLANK(MiniCase_Data!H717),"missing",IF(OR(MiniCase_Data!H717&lt;27,MiniCase_Data!H717&gt;33),"밖","안"))</x:f>
        <x:v>안</x:v>
      </x:c>
      <x:c r="D717" t="n">
        <x:f>IF(ISBLANK(MiniCase_Data!H717),VLOOKUP(A717,센서로그!$A$2:$C$13,3,FALSE),MiniCase_Data!H717)</x:f>
        <x:v>28.06</x:v>
      </x:c>
      <x:c r="E717" t="n">
        <x:f>IF(AND(MiniCase_Data!C717="야간",MiniCase_Data!F717="M03"),1,0)</x:f>
        <x:v>0</x:v>
      </x:c>
      <x:c r="F717" t="n">
        <x:f>IF(C717="밖",1,0)</x:f>
        <x:v>0</x:v>
      </x:c>
      <x:c r="G717" t="n">
        <x:f>IF(OR(F717=1,E717=1),1,0)</x:f>
        <x:v>0</x:v>
      </x:c>
      <x:c r="H717" t="str">
        <x:f>IF(B717=1,IF(F717=1,"TP","FN"),IF(F717=1,"FP","TN"))</x:f>
        <x:v>TN</x:v>
      </x:c>
      <x:c r="I717" t="str">
        <x:f>IF(B717=1,IF(G717=1,"TP","FN"),IF(G717=1,"FP","TN"))</x:f>
        <x:v>TN</x:v>
      </x:c>
    </x:row>
    <x:row r="718">
      <x:c r="A718" t="str">
        <x:f>MiniCase_Data!A718</x:f>
        <x:v>R00717</x:v>
      </x:c>
      <x:c r="B718" t="n">
        <x:f>IF(MiniCase_Data!O718="불합격",1,0)</x:f>
        <x:v>0</x:v>
      </x:c>
      <x:c r="C718" t="str">
        <x:f>IF(ISBLANK(MiniCase_Data!H718),"missing",IF(OR(MiniCase_Data!H718&lt;27,MiniCase_Data!H718&gt;33),"밖","안"))</x:f>
        <x:v>안</x:v>
      </x:c>
      <x:c r="D718" t="n">
        <x:f>IF(ISBLANK(MiniCase_Data!H718),VLOOKUP(A718,센서로그!$A$2:$C$13,3,FALSE),MiniCase_Data!H718)</x:f>
        <x:v>31.05</x:v>
      </x:c>
      <x:c r="E718" t="n">
        <x:f>IF(AND(MiniCase_Data!C718="야간",MiniCase_Data!F718="M03"),1,0)</x:f>
        <x:v>0</x:v>
      </x:c>
      <x:c r="F718" t="n">
        <x:f>IF(C718="밖",1,0)</x:f>
        <x:v>0</x:v>
      </x:c>
      <x:c r="G718" t="n">
        <x:f>IF(OR(F718=1,E718=1),1,0)</x:f>
        <x:v>0</x:v>
      </x:c>
      <x:c r="H718" t="str">
        <x:f>IF(B718=1,IF(F718=1,"TP","FN"),IF(F718=1,"FP","TN"))</x:f>
        <x:v>TN</x:v>
      </x:c>
      <x:c r="I718" t="str">
        <x:f>IF(B718=1,IF(G718=1,"TP","FN"),IF(G718=1,"FP","TN"))</x:f>
        <x:v>TN</x:v>
      </x:c>
    </x:row>
    <x:row r="719">
      <x:c r="A719" t="str">
        <x:f>MiniCase_Data!A719</x:f>
        <x:v>R00718</x:v>
      </x:c>
      <x:c r="B719" t="n">
        <x:f>IF(MiniCase_Data!O719="불합격",1,0)</x:f>
        <x:v>0</x:v>
      </x:c>
      <x:c r="C719" t="str">
        <x:f>IF(ISBLANK(MiniCase_Data!H719),"missing",IF(OR(MiniCase_Data!H719&lt;27,MiniCase_Data!H719&gt;33),"밖","안"))</x:f>
        <x:v>안</x:v>
      </x:c>
      <x:c r="D719" t="n">
        <x:f>IF(ISBLANK(MiniCase_Data!H719),VLOOKUP(A719,센서로그!$A$2:$C$13,3,FALSE),MiniCase_Data!H719)</x:f>
        <x:v>29.97</x:v>
      </x:c>
      <x:c r="E719" t="n">
        <x:f>IF(AND(MiniCase_Data!C719="야간",MiniCase_Data!F719="M03"),1,0)</x:f>
        <x:v>0</x:v>
      </x:c>
      <x:c r="F719" t="n">
        <x:f>IF(C719="밖",1,0)</x:f>
        <x:v>0</x:v>
      </x:c>
      <x:c r="G719" t="n">
        <x:f>IF(OR(F719=1,E719=1),1,0)</x:f>
        <x:v>0</x:v>
      </x:c>
      <x:c r="H719" t="str">
        <x:f>IF(B719=1,IF(F719=1,"TP","FN"),IF(F719=1,"FP","TN"))</x:f>
        <x:v>TN</x:v>
      </x:c>
      <x:c r="I719" t="str">
        <x:f>IF(B719=1,IF(G719=1,"TP","FN"),IF(G719=1,"FP","TN"))</x:f>
        <x:v>TN</x:v>
      </x:c>
    </x:row>
    <x:row r="720">
      <x:c r="A720" t="str">
        <x:f>MiniCase_Data!A720</x:f>
        <x:v>R00719</x:v>
      </x:c>
      <x:c r="B720" t="n">
        <x:f>IF(MiniCase_Data!O720="불합격",1,0)</x:f>
        <x:v>0</x:v>
      </x:c>
      <x:c r="C720" t="str">
        <x:f>IF(ISBLANK(MiniCase_Data!H720),"missing",IF(OR(MiniCase_Data!H720&lt;27,MiniCase_Data!H720&gt;33),"밖","안"))</x:f>
        <x:v>안</x:v>
      </x:c>
      <x:c r="D720" t="n">
        <x:f>IF(ISBLANK(MiniCase_Data!H720),VLOOKUP(A720,센서로그!$A$2:$C$13,3,FALSE),MiniCase_Data!H720)</x:f>
        <x:v>30.43</x:v>
      </x:c>
      <x:c r="E720" t="n">
        <x:f>IF(AND(MiniCase_Data!C720="야간",MiniCase_Data!F720="M03"),1,0)</x:f>
        <x:v>0</x:v>
      </x:c>
      <x:c r="F720" t="n">
        <x:f>IF(C720="밖",1,0)</x:f>
        <x:v>0</x:v>
      </x:c>
      <x:c r="G720" t="n">
        <x:f>IF(OR(F720=1,E720=1),1,0)</x:f>
        <x:v>0</x:v>
      </x:c>
      <x:c r="H720" t="str">
        <x:f>IF(B720=1,IF(F720=1,"TP","FN"),IF(F720=1,"FP","TN"))</x:f>
        <x:v>TN</x:v>
      </x:c>
      <x:c r="I720" t="str">
        <x:f>IF(B720=1,IF(G720=1,"TP","FN"),IF(G720=1,"FP","TN"))</x:f>
        <x:v>TN</x:v>
      </x:c>
    </x:row>
    <x:row r="721">
      <x:c r="A721" t="str">
        <x:f>MiniCase_Data!A721</x:f>
        <x:v>R00720</x:v>
      </x:c>
      <x:c r="B721" t="n">
        <x:f>IF(MiniCase_Data!O721="불합격",1,0)</x:f>
        <x:v>0</x:v>
      </x:c>
      <x:c r="C721" t="str">
        <x:f>IF(ISBLANK(MiniCase_Data!H721),"missing",IF(OR(MiniCase_Data!H721&lt;27,MiniCase_Data!H721&gt;33),"밖","안"))</x:f>
        <x:v>안</x:v>
      </x:c>
      <x:c r="D721" t="n">
        <x:f>IF(ISBLANK(MiniCase_Data!H721),VLOOKUP(A721,센서로그!$A$2:$C$13,3,FALSE),MiniCase_Data!H721)</x:f>
        <x:v>31.36</x:v>
      </x:c>
      <x:c r="E721" t="n">
        <x:f>IF(AND(MiniCase_Data!C721="야간",MiniCase_Data!F721="M03"),1,0)</x:f>
        <x:v>0</x:v>
      </x:c>
      <x:c r="F721" t="n">
        <x:f>IF(C721="밖",1,0)</x:f>
        <x:v>0</x:v>
      </x:c>
      <x:c r="G721" t="n">
        <x:f>IF(OR(F721=1,E721=1),1,0)</x:f>
        <x:v>0</x:v>
      </x:c>
      <x:c r="H721" t="str">
        <x:f>IF(B721=1,IF(F721=1,"TP","FN"),IF(F721=1,"FP","TN"))</x:f>
        <x:v>TN</x:v>
      </x:c>
      <x:c r="I721" t="str">
        <x:f>IF(B721=1,IF(G721=1,"TP","FN"),IF(G721=1,"FP","TN"))</x:f>
        <x:v>TN</x:v>
      </x:c>
    </x:row>
    <x:row r="722">
      <x:c r="A722" t="str">
        <x:f>MiniCase_Data!A722</x:f>
        <x:v>R00721</x:v>
      </x:c>
      <x:c r="B722" t="n">
        <x:f>IF(MiniCase_Data!O722="불합격",1,0)</x:f>
        <x:v>0</x:v>
      </x:c>
      <x:c r="C722" t="str">
        <x:f>IF(ISBLANK(MiniCase_Data!H722),"missing",IF(OR(MiniCase_Data!H722&lt;27,MiniCase_Data!H722&gt;33),"밖","안"))</x:f>
        <x:v>안</x:v>
      </x:c>
      <x:c r="D722" t="n">
        <x:f>IF(ISBLANK(MiniCase_Data!H722),VLOOKUP(A722,센서로그!$A$2:$C$13,3,FALSE),MiniCase_Data!H722)</x:f>
        <x:v>32.42</x:v>
      </x:c>
      <x:c r="E722" t="n">
        <x:f>IF(AND(MiniCase_Data!C722="야간",MiniCase_Data!F722="M03"),1,0)</x:f>
        <x:v>0</x:v>
      </x:c>
      <x:c r="F722" t="n">
        <x:f>IF(C722="밖",1,0)</x:f>
        <x:v>0</x:v>
      </x:c>
      <x:c r="G722" t="n">
        <x:f>IF(OR(F722=1,E722=1),1,0)</x:f>
        <x:v>0</x:v>
      </x:c>
      <x:c r="H722" t="str">
        <x:f>IF(B722=1,IF(F722=1,"TP","FN"),IF(F722=1,"FP","TN"))</x:f>
        <x:v>TN</x:v>
      </x:c>
      <x:c r="I722" t="str">
        <x:f>IF(B722=1,IF(G722=1,"TP","FN"),IF(G722=1,"FP","TN"))</x:f>
        <x:v>TN</x:v>
      </x:c>
    </x:row>
    <x:row r="723">
      <x:c r="A723" t="str">
        <x:f>MiniCase_Data!A723</x:f>
        <x:v>R00722</x:v>
      </x:c>
      <x:c r="B723" t="n">
        <x:f>IF(MiniCase_Data!O723="불합격",1,0)</x:f>
        <x:v>0</x:v>
      </x:c>
      <x:c r="C723" t="str">
        <x:f>IF(ISBLANK(MiniCase_Data!H723),"missing",IF(OR(MiniCase_Data!H723&lt;27,MiniCase_Data!H723&gt;33),"밖","안"))</x:f>
        <x:v>안</x:v>
      </x:c>
      <x:c r="D723" t="n">
        <x:f>IF(ISBLANK(MiniCase_Data!H723),VLOOKUP(A723,센서로그!$A$2:$C$13,3,FALSE),MiniCase_Data!H723)</x:f>
        <x:v>32.48</x:v>
      </x:c>
      <x:c r="E723" t="n">
        <x:f>IF(AND(MiniCase_Data!C723="야간",MiniCase_Data!F723="M03"),1,0)</x:f>
        <x:v>0</x:v>
      </x:c>
      <x:c r="F723" t="n">
        <x:f>IF(C723="밖",1,0)</x:f>
        <x:v>0</x:v>
      </x:c>
      <x:c r="G723" t="n">
        <x:f>IF(OR(F723=1,E723=1),1,0)</x:f>
        <x:v>0</x:v>
      </x:c>
      <x:c r="H723" t="str">
        <x:f>IF(B723=1,IF(F723=1,"TP","FN"),IF(F723=1,"FP","TN"))</x:f>
        <x:v>TN</x:v>
      </x:c>
      <x:c r="I723" t="str">
        <x:f>IF(B723=1,IF(G723=1,"TP","FN"),IF(G723=1,"FP","TN"))</x:f>
        <x:v>TN</x:v>
      </x:c>
    </x:row>
    <x:row r="724">
      <x:c r="A724" t="str">
        <x:f>MiniCase_Data!A724</x:f>
        <x:v>R00723</x:v>
      </x:c>
      <x:c r="B724" t="n">
        <x:f>IF(MiniCase_Data!O724="불합격",1,0)</x:f>
        <x:v>0</x:v>
      </x:c>
      <x:c r="C724" t="str">
        <x:f>IF(ISBLANK(MiniCase_Data!H724),"missing",IF(OR(MiniCase_Data!H724&lt;27,MiniCase_Data!H724&gt;33),"밖","안"))</x:f>
        <x:v>안</x:v>
      </x:c>
      <x:c r="D724" t="n">
        <x:f>IF(ISBLANK(MiniCase_Data!H724),VLOOKUP(A724,센서로그!$A$2:$C$13,3,FALSE),MiniCase_Data!H724)</x:f>
        <x:v>28.33</x:v>
      </x:c>
      <x:c r="E724" t="n">
        <x:f>IF(AND(MiniCase_Data!C724="야간",MiniCase_Data!F724="M03"),1,0)</x:f>
        <x:v>0</x:v>
      </x:c>
      <x:c r="F724" t="n">
        <x:f>IF(C724="밖",1,0)</x:f>
        <x:v>0</x:v>
      </x:c>
      <x:c r="G724" t="n">
        <x:f>IF(OR(F724=1,E724=1),1,0)</x:f>
        <x:v>0</x:v>
      </x:c>
      <x:c r="H724" t="str">
        <x:f>IF(B724=1,IF(F724=1,"TP","FN"),IF(F724=1,"FP","TN"))</x:f>
        <x:v>TN</x:v>
      </x:c>
      <x:c r="I724" t="str">
        <x:f>IF(B724=1,IF(G724=1,"TP","FN"),IF(G724=1,"FP","TN"))</x:f>
        <x:v>TN</x:v>
      </x:c>
    </x:row>
    <x:row r="725">
      <x:c r="A725" t="str">
        <x:f>MiniCase_Data!A725</x:f>
        <x:v>R00724</x:v>
      </x:c>
      <x:c r="B725" t="n">
        <x:f>IF(MiniCase_Data!O725="불합격",1,0)</x:f>
        <x:v>0</x:v>
      </x:c>
      <x:c r="C725" t="str">
        <x:f>IF(ISBLANK(MiniCase_Data!H725),"missing",IF(OR(MiniCase_Data!H725&lt;27,MiniCase_Data!H725&gt;33),"밖","안"))</x:f>
        <x:v>안</x:v>
      </x:c>
      <x:c r="D725" t="n">
        <x:f>IF(ISBLANK(MiniCase_Data!H725),VLOOKUP(A725,센서로그!$A$2:$C$13,3,FALSE),MiniCase_Data!H725)</x:f>
        <x:v>32.02</x:v>
      </x:c>
      <x:c r="E725" t="n">
        <x:f>IF(AND(MiniCase_Data!C725="야간",MiniCase_Data!F725="M03"),1,0)</x:f>
        <x:v>0</x:v>
      </x:c>
      <x:c r="F725" t="n">
        <x:f>IF(C725="밖",1,0)</x:f>
        <x:v>0</x:v>
      </x:c>
      <x:c r="G725" t="n">
        <x:f>IF(OR(F725=1,E725=1),1,0)</x:f>
        <x:v>0</x:v>
      </x:c>
      <x:c r="H725" t="str">
        <x:f>IF(B725=1,IF(F725=1,"TP","FN"),IF(F725=1,"FP","TN"))</x:f>
        <x:v>TN</x:v>
      </x:c>
      <x:c r="I725" t="str">
        <x:f>IF(B725=1,IF(G725=1,"TP","FN"),IF(G725=1,"FP","TN"))</x:f>
        <x:v>TN</x:v>
      </x:c>
    </x:row>
    <x:row r="726">
      <x:c r="A726" t="str">
        <x:f>MiniCase_Data!A726</x:f>
        <x:v>R00725</x:v>
      </x:c>
      <x:c r="B726" t="n">
        <x:f>IF(MiniCase_Data!O726="불합격",1,0)</x:f>
        <x:v>1</x:v>
      </x:c>
      <x:c r="C726" t="str">
        <x:f>IF(ISBLANK(MiniCase_Data!H726),"missing",IF(OR(MiniCase_Data!H726&lt;27,MiniCase_Data!H726&gt;33),"밖","안"))</x:f>
        <x:v>밖</x:v>
      </x:c>
      <x:c r="D726" t="n">
        <x:f>IF(ISBLANK(MiniCase_Data!H726),VLOOKUP(A726,센서로그!$A$2:$C$13,3,FALSE),MiniCase_Data!H726)</x:f>
        <x:v>33.4</x:v>
      </x:c>
      <x:c r="E726" t="n">
        <x:f>IF(AND(MiniCase_Data!C726="야간",MiniCase_Data!F726="M03"),1,0)</x:f>
        <x:v>0</x:v>
      </x:c>
      <x:c r="F726" t="n">
        <x:f>IF(C726="밖",1,0)</x:f>
        <x:v>1</x:v>
      </x:c>
      <x:c r="G726" t="n">
        <x:f>IF(OR(F726=1,E726=1),1,0)</x:f>
        <x:v>1</x:v>
      </x:c>
      <x:c r="H726" t="str">
        <x:f>IF(B726=1,IF(F726=1,"TP","FN"),IF(F726=1,"FP","TN"))</x:f>
        <x:v>TP</x:v>
      </x:c>
      <x:c r="I726" t="str">
        <x:f>IF(B726=1,IF(G726=1,"TP","FN"),IF(G726=1,"FP","TN"))</x:f>
        <x:v>TP</x:v>
      </x:c>
    </x:row>
    <x:row r="727">
      <x:c r="A727" t="str">
        <x:f>MiniCase_Data!A727</x:f>
        <x:v>R00726</x:v>
      </x:c>
      <x:c r="B727" t="n">
        <x:f>IF(MiniCase_Data!O727="불합격",1,0)</x:f>
        <x:v>0</x:v>
      </x:c>
      <x:c r="C727" t="str">
        <x:f>IF(ISBLANK(MiniCase_Data!H727),"missing",IF(OR(MiniCase_Data!H727&lt;27,MiniCase_Data!H727&gt;33),"밖","안"))</x:f>
        <x:v>안</x:v>
      </x:c>
      <x:c r="D727" t="n">
        <x:f>IF(ISBLANK(MiniCase_Data!H727),VLOOKUP(A727,센서로그!$A$2:$C$13,3,FALSE),MiniCase_Data!H727)</x:f>
        <x:v>32.41</x:v>
      </x:c>
      <x:c r="E727" t="n">
        <x:f>IF(AND(MiniCase_Data!C727="야간",MiniCase_Data!F727="M03"),1,0)</x:f>
        <x:v>0</x:v>
      </x:c>
      <x:c r="F727" t="n">
        <x:f>IF(C727="밖",1,0)</x:f>
        <x:v>0</x:v>
      </x:c>
      <x:c r="G727" t="n">
        <x:f>IF(OR(F727=1,E727=1),1,0)</x:f>
        <x:v>0</x:v>
      </x:c>
      <x:c r="H727" t="str">
        <x:f>IF(B727=1,IF(F727=1,"TP","FN"),IF(F727=1,"FP","TN"))</x:f>
        <x:v>TN</x:v>
      </x:c>
      <x:c r="I727" t="str">
        <x:f>IF(B727=1,IF(G727=1,"TP","FN"),IF(G727=1,"FP","TN"))</x:f>
        <x:v>TN</x:v>
      </x:c>
    </x:row>
    <x:row r="728">
      <x:c r="A728" t="str">
        <x:f>MiniCase_Data!A728</x:f>
        <x:v>R00727</x:v>
      </x:c>
      <x:c r="B728" t="n">
        <x:f>IF(MiniCase_Data!O728="불합격",1,0)</x:f>
        <x:v>0</x:v>
      </x:c>
      <x:c r="C728" t="str">
        <x:f>IF(ISBLANK(MiniCase_Data!H728),"missing",IF(OR(MiniCase_Data!H728&lt;27,MiniCase_Data!H728&gt;33),"밖","안"))</x:f>
        <x:v>안</x:v>
      </x:c>
      <x:c r="D728" t="n">
        <x:f>IF(ISBLANK(MiniCase_Data!H728),VLOOKUP(A728,센서로그!$A$2:$C$13,3,FALSE),MiniCase_Data!H728)</x:f>
        <x:v>32.77</x:v>
      </x:c>
      <x:c r="E728" t="n">
        <x:f>IF(AND(MiniCase_Data!C728="야간",MiniCase_Data!F728="M03"),1,0)</x:f>
        <x:v>0</x:v>
      </x:c>
      <x:c r="F728" t="n">
        <x:f>IF(C728="밖",1,0)</x:f>
        <x:v>0</x:v>
      </x:c>
      <x:c r="G728" t="n">
        <x:f>IF(OR(F728=1,E728=1),1,0)</x:f>
        <x:v>0</x:v>
      </x:c>
      <x:c r="H728" t="str">
        <x:f>IF(B728=1,IF(F728=1,"TP","FN"),IF(F728=1,"FP","TN"))</x:f>
        <x:v>TN</x:v>
      </x:c>
      <x:c r="I728" t="str">
        <x:f>IF(B728=1,IF(G728=1,"TP","FN"),IF(G728=1,"FP","TN"))</x:f>
        <x:v>TN</x:v>
      </x:c>
    </x:row>
    <x:row r="729">
      <x:c r="A729" t="str">
        <x:f>MiniCase_Data!A729</x:f>
        <x:v>R00728</x:v>
      </x:c>
      <x:c r="B729" t="n">
        <x:f>IF(MiniCase_Data!O729="불합격",1,0)</x:f>
        <x:v>0</x:v>
      </x:c>
      <x:c r="C729" t="str">
        <x:f>IF(ISBLANK(MiniCase_Data!H729),"missing",IF(OR(MiniCase_Data!H729&lt;27,MiniCase_Data!H729&gt;33),"밖","안"))</x:f>
        <x:v>안</x:v>
      </x:c>
      <x:c r="D729" t="n">
        <x:f>IF(ISBLANK(MiniCase_Data!H729),VLOOKUP(A729,센서로그!$A$2:$C$13,3,FALSE),MiniCase_Data!H729)</x:f>
        <x:v>30.45</x:v>
      </x:c>
      <x:c r="E729" t="n">
        <x:f>IF(AND(MiniCase_Data!C729="야간",MiniCase_Data!F729="M03"),1,0)</x:f>
        <x:v>0</x:v>
      </x:c>
      <x:c r="F729" t="n">
        <x:f>IF(C729="밖",1,0)</x:f>
        <x:v>0</x:v>
      </x:c>
      <x:c r="G729" t="n">
        <x:f>IF(OR(F729=1,E729=1),1,0)</x:f>
        <x:v>0</x:v>
      </x:c>
      <x:c r="H729" t="str">
        <x:f>IF(B729=1,IF(F729=1,"TP","FN"),IF(F729=1,"FP","TN"))</x:f>
        <x:v>TN</x:v>
      </x:c>
      <x:c r="I729" t="str">
        <x:f>IF(B729=1,IF(G729=1,"TP","FN"),IF(G729=1,"FP","TN"))</x:f>
        <x:v>TN</x:v>
      </x:c>
    </x:row>
    <x:row r="730">
      <x:c r="A730" t="str">
        <x:f>MiniCase_Data!A730</x:f>
        <x:v>R00729</x:v>
      </x:c>
      <x:c r="B730" t="n">
        <x:f>IF(MiniCase_Data!O730="불합격",1,0)</x:f>
        <x:v>0</x:v>
      </x:c>
      <x:c r="C730" t="str">
        <x:f>IF(ISBLANK(MiniCase_Data!H730),"missing",IF(OR(MiniCase_Data!H730&lt;27,MiniCase_Data!H730&gt;33),"밖","안"))</x:f>
        <x:v>안</x:v>
      </x:c>
      <x:c r="D730" t="n">
        <x:f>IF(ISBLANK(MiniCase_Data!H730),VLOOKUP(A730,센서로그!$A$2:$C$13,3,FALSE),MiniCase_Data!H730)</x:f>
        <x:v>28.2</x:v>
      </x:c>
      <x:c r="E730" t="n">
        <x:f>IF(AND(MiniCase_Data!C730="야간",MiniCase_Data!F730="M03"),1,0)</x:f>
        <x:v>0</x:v>
      </x:c>
      <x:c r="F730" t="n">
        <x:f>IF(C730="밖",1,0)</x:f>
        <x:v>0</x:v>
      </x:c>
      <x:c r="G730" t="n">
        <x:f>IF(OR(F730=1,E730=1),1,0)</x:f>
        <x:v>0</x:v>
      </x:c>
      <x:c r="H730" t="str">
        <x:f>IF(B730=1,IF(F730=1,"TP","FN"),IF(F730=1,"FP","TN"))</x:f>
        <x:v>TN</x:v>
      </x:c>
      <x:c r="I730" t="str">
        <x:f>IF(B730=1,IF(G730=1,"TP","FN"),IF(G730=1,"FP","TN"))</x:f>
        <x:v>TN</x:v>
      </x:c>
    </x:row>
    <x:row r="731">
      <x:c r="A731" t="str">
        <x:f>MiniCase_Data!A731</x:f>
        <x:v>R00730</x:v>
      </x:c>
      <x:c r="B731" t="n">
        <x:f>IF(MiniCase_Data!O731="불합격",1,0)</x:f>
        <x:v>0</x:v>
      </x:c>
      <x:c r="C731" t="str">
        <x:f>IF(ISBLANK(MiniCase_Data!H731),"missing",IF(OR(MiniCase_Data!H731&lt;27,MiniCase_Data!H731&gt;33),"밖","안"))</x:f>
        <x:v>안</x:v>
      </x:c>
      <x:c r="D731" t="n">
        <x:f>IF(ISBLANK(MiniCase_Data!H731),VLOOKUP(A731,센서로그!$A$2:$C$13,3,FALSE),MiniCase_Data!H731)</x:f>
        <x:v>31.47</x:v>
      </x:c>
      <x:c r="E731" t="n">
        <x:f>IF(AND(MiniCase_Data!C731="야간",MiniCase_Data!F731="M03"),1,0)</x:f>
        <x:v>0</x:v>
      </x:c>
      <x:c r="F731" t="n">
        <x:f>IF(C731="밖",1,0)</x:f>
        <x:v>0</x:v>
      </x:c>
      <x:c r="G731" t="n">
        <x:f>IF(OR(F731=1,E731=1),1,0)</x:f>
        <x:v>0</x:v>
      </x:c>
      <x:c r="H731" t="str">
        <x:f>IF(B731=1,IF(F731=1,"TP","FN"),IF(F731=1,"FP","TN"))</x:f>
        <x:v>TN</x:v>
      </x:c>
      <x:c r="I731" t="str">
        <x:f>IF(B731=1,IF(G731=1,"TP","FN"),IF(G731=1,"FP","TN"))</x:f>
        <x:v>TN</x:v>
      </x:c>
    </x:row>
    <x:row r="732">
      <x:c r="A732" t="str">
        <x:f>MiniCase_Data!A732</x:f>
        <x:v>R00731</x:v>
      </x:c>
      <x:c r="B732" t="n">
        <x:f>IF(MiniCase_Data!O732="불합격",1,0)</x:f>
        <x:v>0</x:v>
      </x:c>
      <x:c r="C732" t="str">
        <x:f>IF(ISBLANK(MiniCase_Data!H732),"missing",IF(OR(MiniCase_Data!H732&lt;27,MiniCase_Data!H732&gt;33),"밖","안"))</x:f>
        <x:v>안</x:v>
      </x:c>
      <x:c r="D732" t="n">
        <x:f>IF(ISBLANK(MiniCase_Data!H732),VLOOKUP(A732,센서로그!$A$2:$C$13,3,FALSE),MiniCase_Data!H732)</x:f>
        <x:v>32.68</x:v>
      </x:c>
      <x:c r="E732" t="n">
        <x:f>IF(AND(MiniCase_Data!C732="야간",MiniCase_Data!F732="M03"),1,0)</x:f>
        <x:v>0</x:v>
      </x:c>
      <x:c r="F732" t="n">
        <x:f>IF(C732="밖",1,0)</x:f>
        <x:v>0</x:v>
      </x:c>
      <x:c r="G732" t="n">
        <x:f>IF(OR(F732=1,E732=1),1,0)</x:f>
        <x:v>0</x:v>
      </x:c>
      <x:c r="H732" t="str">
        <x:f>IF(B732=1,IF(F732=1,"TP","FN"),IF(F732=1,"FP","TN"))</x:f>
        <x:v>TN</x:v>
      </x:c>
      <x:c r="I732" t="str">
        <x:f>IF(B732=1,IF(G732=1,"TP","FN"),IF(G732=1,"FP","TN"))</x:f>
        <x:v>TN</x:v>
      </x:c>
    </x:row>
    <x:row r="733">
      <x:c r="A733" t="str">
        <x:f>MiniCase_Data!A733</x:f>
        <x:v>R00732</x:v>
      </x:c>
      <x:c r="B733" t="n">
        <x:f>IF(MiniCase_Data!O733="불합격",1,0)</x:f>
        <x:v>0</x:v>
      </x:c>
      <x:c r="C733" t="str">
        <x:f>IF(ISBLANK(MiniCase_Data!H733),"missing",IF(OR(MiniCase_Data!H733&lt;27,MiniCase_Data!H733&gt;33),"밖","안"))</x:f>
        <x:v>밖</x:v>
      </x:c>
      <x:c r="D733" t="n">
        <x:f>IF(ISBLANK(MiniCase_Data!H733),VLOOKUP(A733,센서로그!$A$2:$C$13,3,FALSE),MiniCase_Data!H733)</x:f>
        <x:v>25.96</x:v>
      </x:c>
      <x:c r="E733" t="n">
        <x:f>IF(AND(MiniCase_Data!C733="야간",MiniCase_Data!F733="M03"),1,0)</x:f>
        <x:v>1</x:v>
      </x:c>
      <x:c r="F733" t="n">
        <x:f>IF(C733="밖",1,0)</x:f>
        <x:v>1</x:v>
      </x:c>
      <x:c r="G733" t="n">
        <x:f>IF(OR(F733=1,E733=1),1,0)</x:f>
        <x:v>1</x:v>
      </x:c>
      <x:c r="H733" t="str">
        <x:f>IF(B733=1,IF(F733=1,"TP","FN"),IF(F733=1,"FP","TN"))</x:f>
        <x:v>FP</x:v>
      </x:c>
      <x:c r="I733" t="str">
        <x:f>IF(B733=1,IF(G733=1,"TP","FN"),IF(G733=1,"FP","TN"))</x:f>
        <x:v>FP</x:v>
      </x:c>
    </x:row>
    <x:row r="734">
      <x:c r="A734" t="str">
        <x:f>MiniCase_Data!A734</x:f>
        <x:v>R00733</x:v>
      </x:c>
      <x:c r="B734" t="n">
        <x:f>IF(MiniCase_Data!O734="불합격",1,0)</x:f>
        <x:v>0</x:v>
      </x:c>
      <x:c r="C734" t="str">
        <x:f>IF(ISBLANK(MiniCase_Data!H734),"missing",IF(OR(MiniCase_Data!H734&lt;27,MiniCase_Data!H734&gt;33),"밖","안"))</x:f>
        <x:v>안</x:v>
      </x:c>
      <x:c r="D734" t="n">
        <x:f>IF(ISBLANK(MiniCase_Data!H734),VLOOKUP(A734,센서로그!$A$2:$C$13,3,FALSE),MiniCase_Data!H734)</x:f>
        <x:v>30.44</x:v>
      </x:c>
      <x:c r="E734" t="n">
        <x:f>IF(AND(MiniCase_Data!C734="야간",MiniCase_Data!F734="M03"),1,0)</x:f>
        <x:v>0</x:v>
      </x:c>
      <x:c r="F734" t="n">
        <x:f>IF(C734="밖",1,0)</x:f>
        <x:v>0</x:v>
      </x:c>
      <x:c r="G734" t="n">
        <x:f>IF(OR(F734=1,E734=1),1,0)</x:f>
        <x:v>0</x:v>
      </x:c>
      <x:c r="H734" t="str">
        <x:f>IF(B734=1,IF(F734=1,"TP","FN"),IF(F734=1,"FP","TN"))</x:f>
        <x:v>TN</x:v>
      </x:c>
      <x:c r="I734" t="str">
        <x:f>IF(B734=1,IF(G734=1,"TP","FN"),IF(G734=1,"FP","TN"))</x:f>
        <x:v>TN</x:v>
      </x:c>
    </x:row>
    <x:row r="735">
      <x:c r="A735" t="str">
        <x:f>MiniCase_Data!A735</x:f>
        <x:v>R00734</x:v>
      </x:c>
      <x:c r="B735" t="n">
        <x:f>IF(MiniCase_Data!O735="불합격",1,0)</x:f>
        <x:v>0</x:v>
      </x:c>
      <x:c r="C735" t="str">
        <x:f>IF(ISBLANK(MiniCase_Data!H735),"missing",IF(OR(MiniCase_Data!H735&lt;27,MiniCase_Data!H735&gt;33),"밖","안"))</x:f>
        <x:v>안</x:v>
      </x:c>
      <x:c r="D735" t="n">
        <x:f>IF(ISBLANK(MiniCase_Data!H735),VLOOKUP(A735,센서로그!$A$2:$C$13,3,FALSE),MiniCase_Data!H735)</x:f>
        <x:v>29.23</x:v>
      </x:c>
      <x:c r="E735" t="n">
        <x:f>IF(AND(MiniCase_Data!C735="야간",MiniCase_Data!F735="M03"),1,0)</x:f>
        <x:v>0</x:v>
      </x:c>
      <x:c r="F735" t="n">
        <x:f>IF(C735="밖",1,0)</x:f>
        <x:v>0</x:v>
      </x:c>
      <x:c r="G735" t="n">
        <x:f>IF(OR(F735=1,E735=1),1,0)</x:f>
        <x:v>0</x:v>
      </x:c>
      <x:c r="H735" t="str">
        <x:f>IF(B735=1,IF(F735=1,"TP","FN"),IF(F735=1,"FP","TN"))</x:f>
        <x:v>TN</x:v>
      </x:c>
      <x:c r="I735" t="str">
        <x:f>IF(B735=1,IF(G735=1,"TP","FN"),IF(G735=1,"FP","TN"))</x:f>
        <x:v>TN</x:v>
      </x:c>
    </x:row>
    <x:row r="736">
      <x:c r="A736" t="str">
        <x:f>MiniCase_Data!A736</x:f>
        <x:v>R00735</x:v>
      </x:c>
      <x:c r="B736" t="n">
        <x:f>IF(MiniCase_Data!O736="불합격",1,0)</x:f>
        <x:v>0</x:v>
      </x:c>
      <x:c r="C736" t="str">
        <x:f>IF(ISBLANK(MiniCase_Data!H736),"missing",IF(OR(MiniCase_Data!H736&lt;27,MiniCase_Data!H736&gt;33),"밖","안"))</x:f>
        <x:v>안</x:v>
      </x:c>
      <x:c r="D736" t="n">
        <x:f>IF(ISBLANK(MiniCase_Data!H736),VLOOKUP(A736,센서로그!$A$2:$C$13,3,FALSE),MiniCase_Data!H736)</x:f>
        <x:v>29.22</x:v>
      </x:c>
      <x:c r="E736" t="n">
        <x:f>IF(AND(MiniCase_Data!C736="야간",MiniCase_Data!F736="M03"),1,0)</x:f>
        <x:v>0</x:v>
      </x:c>
      <x:c r="F736" t="n">
        <x:f>IF(C736="밖",1,0)</x:f>
        <x:v>0</x:v>
      </x:c>
      <x:c r="G736" t="n">
        <x:f>IF(OR(F736=1,E736=1),1,0)</x:f>
        <x:v>0</x:v>
      </x:c>
      <x:c r="H736" t="str">
        <x:f>IF(B736=1,IF(F736=1,"TP","FN"),IF(F736=1,"FP","TN"))</x:f>
        <x:v>TN</x:v>
      </x:c>
      <x:c r="I736" t="str">
        <x:f>IF(B736=1,IF(G736=1,"TP","FN"),IF(G736=1,"FP","TN"))</x:f>
        <x:v>TN</x:v>
      </x:c>
    </x:row>
    <x:row r="737">
      <x:c r="A737" t="str">
        <x:f>MiniCase_Data!A737</x:f>
        <x:v>R00736</x:v>
      </x:c>
      <x:c r="B737" t="n">
        <x:f>IF(MiniCase_Data!O737="불합격",1,0)</x:f>
        <x:v>0</x:v>
      </x:c>
      <x:c r="C737" t="str">
        <x:f>IF(ISBLANK(MiniCase_Data!H737),"missing",IF(OR(MiniCase_Data!H737&lt;27,MiniCase_Data!H737&gt;33),"밖","안"))</x:f>
        <x:v>안</x:v>
      </x:c>
      <x:c r="D737" t="n">
        <x:f>IF(ISBLANK(MiniCase_Data!H737),VLOOKUP(A737,센서로그!$A$2:$C$13,3,FALSE),MiniCase_Data!H737)</x:f>
        <x:v>32.05</x:v>
      </x:c>
      <x:c r="E737" t="n">
        <x:f>IF(AND(MiniCase_Data!C737="야간",MiniCase_Data!F737="M03"),1,0)</x:f>
        <x:v>0</x:v>
      </x:c>
      <x:c r="F737" t="n">
        <x:f>IF(C737="밖",1,0)</x:f>
        <x:v>0</x:v>
      </x:c>
      <x:c r="G737" t="n">
        <x:f>IF(OR(F737=1,E737=1),1,0)</x:f>
        <x:v>0</x:v>
      </x:c>
      <x:c r="H737" t="str">
        <x:f>IF(B737=1,IF(F737=1,"TP","FN"),IF(F737=1,"FP","TN"))</x:f>
        <x:v>TN</x:v>
      </x:c>
      <x:c r="I737" t="str">
        <x:f>IF(B737=1,IF(G737=1,"TP","FN"),IF(G737=1,"FP","TN"))</x:f>
        <x:v>TN</x:v>
      </x:c>
    </x:row>
    <x:row r="738">
      <x:c r="A738" t="str">
        <x:f>MiniCase_Data!A738</x:f>
        <x:v>R00737</x:v>
      </x:c>
      <x:c r="B738" t="n">
        <x:f>IF(MiniCase_Data!O738="불합격",1,0)</x:f>
        <x:v>0</x:v>
      </x:c>
      <x:c r="C738" t="str">
        <x:f>IF(ISBLANK(MiniCase_Data!H738),"missing",IF(OR(MiniCase_Data!H738&lt;27,MiniCase_Data!H738&gt;33),"밖","안"))</x:f>
        <x:v>안</x:v>
      </x:c>
      <x:c r="D738" t="n">
        <x:f>IF(ISBLANK(MiniCase_Data!H738),VLOOKUP(A738,센서로그!$A$2:$C$13,3,FALSE),MiniCase_Data!H738)</x:f>
        <x:v>31.97</x:v>
      </x:c>
      <x:c r="E738" t="n">
        <x:f>IF(AND(MiniCase_Data!C738="야간",MiniCase_Data!F738="M03"),1,0)</x:f>
        <x:v>0</x:v>
      </x:c>
      <x:c r="F738" t="n">
        <x:f>IF(C738="밖",1,0)</x:f>
        <x:v>0</x:v>
      </x:c>
      <x:c r="G738" t="n">
        <x:f>IF(OR(F738=1,E738=1),1,0)</x:f>
        <x:v>0</x:v>
      </x:c>
      <x:c r="H738" t="str">
        <x:f>IF(B738=1,IF(F738=1,"TP","FN"),IF(F738=1,"FP","TN"))</x:f>
        <x:v>TN</x:v>
      </x:c>
      <x:c r="I738" t="str">
        <x:f>IF(B738=1,IF(G738=1,"TP","FN"),IF(G738=1,"FP","TN"))</x:f>
        <x:v>TN</x:v>
      </x:c>
    </x:row>
    <x:row r="739">
      <x:c r="A739" t="str">
        <x:f>MiniCase_Data!A739</x:f>
        <x:v>R00738</x:v>
      </x:c>
      <x:c r="B739" t="n">
        <x:f>IF(MiniCase_Data!O739="불합격",1,0)</x:f>
        <x:v>0</x:v>
      </x:c>
      <x:c r="C739" t="str">
        <x:f>IF(ISBLANK(MiniCase_Data!H739),"missing",IF(OR(MiniCase_Data!H739&lt;27,MiniCase_Data!H739&gt;33),"밖","안"))</x:f>
        <x:v>안</x:v>
      </x:c>
      <x:c r="D739" t="n">
        <x:f>IF(ISBLANK(MiniCase_Data!H739),VLOOKUP(A739,센서로그!$A$2:$C$13,3,FALSE),MiniCase_Data!H739)</x:f>
        <x:v>28.44</x:v>
      </x:c>
      <x:c r="E739" t="n">
        <x:f>IF(AND(MiniCase_Data!C739="야간",MiniCase_Data!F739="M03"),1,0)</x:f>
        <x:v>0</x:v>
      </x:c>
      <x:c r="F739" t="n">
        <x:f>IF(C739="밖",1,0)</x:f>
        <x:v>0</x:v>
      </x:c>
      <x:c r="G739" t="n">
        <x:f>IF(OR(F739=1,E739=1),1,0)</x:f>
        <x:v>0</x:v>
      </x:c>
      <x:c r="H739" t="str">
        <x:f>IF(B739=1,IF(F739=1,"TP","FN"),IF(F739=1,"FP","TN"))</x:f>
        <x:v>TN</x:v>
      </x:c>
      <x:c r="I739" t="str">
        <x:f>IF(B739=1,IF(G739=1,"TP","FN"),IF(G739=1,"FP","TN"))</x:f>
        <x:v>TN</x:v>
      </x:c>
    </x:row>
    <x:row r="740">
      <x:c r="A740" t="str">
        <x:f>MiniCase_Data!A740</x:f>
        <x:v>R00739</x:v>
      </x:c>
      <x:c r="B740" t="n">
        <x:f>IF(MiniCase_Data!O740="불합격",1,0)</x:f>
        <x:v>0</x:v>
      </x:c>
      <x:c r="C740" t="str">
        <x:f>IF(ISBLANK(MiniCase_Data!H740),"missing",IF(OR(MiniCase_Data!H740&lt;27,MiniCase_Data!H740&gt;33),"밖","안"))</x:f>
        <x:v>안</x:v>
      </x:c>
      <x:c r="D740" t="n">
        <x:f>IF(ISBLANK(MiniCase_Data!H740),VLOOKUP(A740,센서로그!$A$2:$C$13,3,FALSE),MiniCase_Data!H740)</x:f>
        <x:v>32.29</x:v>
      </x:c>
      <x:c r="E740" t="n">
        <x:f>IF(AND(MiniCase_Data!C740="야간",MiniCase_Data!F740="M03"),1,0)</x:f>
        <x:v>0</x:v>
      </x:c>
      <x:c r="F740" t="n">
        <x:f>IF(C740="밖",1,0)</x:f>
        <x:v>0</x:v>
      </x:c>
      <x:c r="G740" t="n">
        <x:f>IF(OR(F740=1,E740=1),1,0)</x:f>
        <x:v>0</x:v>
      </x:c>
      <x:c r="H740" t="str">
        <x:f>IF(B740=1,IF(F740=1,"TP","FN"),IF(F740=1,"FP","TN"))</x:f>
        <x:v>TN</x:v>
      </x:c>
      <x:c r="I740" t="str">
        <x:f>IF(B740=1,IF(G740=1,"TP","FN"),IF(G740=1,"FP","TN"))</x:f>
        <x:v>TN</x:v>
      </x:c>
    </x:row>
    <x:row r="741">
      <x:c r="A741" t="str">
        <x:f>MiniCase_Data!A741</x:f>
        <x:v>R00740</x:v>
      </x:c>
      <x:c r="B741" t="n">
        <x:f>IF(MiniCase_Data!O741="불합격",1,0)</x:f>
        <x:v>0</x:v>
      </x:c>
      <x:c r="C741" t="str">
        <x:f>IF(ISBLANK(MiniCase_Data!H741),"missing",IF(OR(MiniCase_Data!H741&lt;27,MiniCase_Data!H741&gt;33),"밖","안"))</x:f>
        <x:v>missing</x:v>
      </x:c>
      <x:c r="D741" t="n">
        <x:f>IF(ISBLANK(MiniCase_Data!H741),VLOOKUP(A741,센서로그!$A$2:$C$13,3,FALSE),MiniCase_Data!H741)</x:f>
        <x:v>31.04</x:v>
      </x:c>
      <x:c r="E741" t="n">
        <x:f>IF(AND(MiniCase_Data!C741="야간",MiniCase_Data!F741="M03"),1,0)</x:f>
        <x:v>0</x:v>
      </x:c>
      <x:c r="F741" t="n">
        <x:f>IF(C741="밖",1,0)</x:f>
        <x:v>0</x:v>
      </x:c>
      <x:c r="G741" t="n">
        <x:f>IF(OR(F741=1,E741=1),1,0)</x:f>
        <x:v>0</x:v>
      </x:c>
      <x:c r="H741" t="str">
        <x:f>IF(B741=1,IF(F741=1,"TP","FN"),IF(F741=1,"FP","TN"))</x:f>
        <x:v>TN</x:v>
      </x:c>
      <x:c r="I741" t="str">
        <x:f>IF(B741=1,IF(G741=1,"TP","FN"),IF(G741=1,"FP","TN"))</x:f>
        <x:v>TN</x:v>
      </x:c>
    </x:row>
    <x:row r="742">
      <x:c r="A742" t="str">
        <x:f>MiniCase_Data!A742</x:f>
        <x:v>R00741</x:v>
      </x:c>
      <x:c r="B742" t="n">
        <x:f>IF(MiniCase_Data!O742="불합격",1,0)</x:f>
        <x:v>0</x:v>
      </x:c>
      <x:c r="C742" t="str">
        <x:f>IF(ISBLANK(MiniCase_Data!H742),"missing",IF(OR(MiniCase_Data!H742&lt;27,MiniCase_Data!H742&gt;33),"밖","안"))</x:f>
        <x:v>안</x:v>
      </x:c>
      <x:c r="D742" t="n">
        <x:f>IF(ISBLANK(MiniCase_Data!H742),VLOOKUP(A742,센서로그!$A$2:$C$13,3,FALSE),MiniCase_Data!H742)</x:f>
        <x:v>30.16</x:v>
      </x:c>
      <x:c r="E742" t="n">
        <x:f>IF(AND(MiniCase_Data!C742="야간",MiniCase_Data!F742="M03"),1,0)</x:f>
        <x:v>0</x:v>
      </x:c>
      <x:c r="F742" t="n">
        <x:f>IF(C742="밖",1,0)</x:f>
        <x:v>0</x:v>
      </x:c>
      <x:c r="G742" t="n">
        <x:f>IF(OR(F742=1,E742=1),1,0)</x:f>
        <x:v>0</x:v>
      </x:c>
      <x:c r="H742" t="str">
        <x:f>IF(B742=1,IF(F742=1,"TP","FN"),IF(F742=1,"FP","TN"))</x:f>
        <x:v>TN</x:v>
      </x:c>
      <x:c r="I742" t="str">
        <x:f>IF(B742=1,IF(G742=1,"TP","FN"),IF(G742=1,"FP","TN"))</x:f>
        <x:v>TN</x:v>
      </x:c>
    </x:row>
    <x:row r="743">
      <x:c r="A743" t="str">
        <x:f>MiniCase_Data!A743</x:f>
        <x:v>R00742</x:v>
      </x:c>
      <x:c r="B743" t="n">
        <x:f>IF(MiniCase_Data!O743="불합격",1,0)</x:f>
        <x:v>0</x:v>
      </x:c>
      <x:c r="C743" t="str">
        <x:f>IF(ISBLANK(MiniCase_Data!H743),"missing",IF(OR(MiniCase_Data!H743&lt;27,MiniCase_Data!H743&gt;33),"밖","안"))</x:f>
        <x:v>안</x:v>
      </x:c>
      <x:c r="D743" t="n">
        <x:f>IF(ISBLANK(MiniCase_Data!H743),VLOOKUP(A743,센서로그!$A$2:$C$13,3,FALSE),MiniCase_Data!H743)</x:f>
        <x:v>28.11</x:v>
      </x:c>
      <x:c r="E743" t="n">
        <x:f>IF(AND(MiniCase_Data!C743="야간",MiniCase_Data!F743="M03"),1,0)</x:f>
        <x:v>1</x:v>
      </x:c>
      <x:c r="F743" t="n">
        <x:f>IF(C743="밖",1,0)</x:f>
        <x:v>0</x:v>
      </x:c>
      <x:c r="G743" t="n">
        <x:f>IF(OR(F743=1,E743=1),1,0)</x:f>
        <x:v>1</x:v>
      </x:c>
      <x:c r="H743" t="str">
        <x:f>IF(B743=1,IF(F743=1,"TP","FN"),IF(F743=1,"FP","TN"))</x:f>
        <x:v>TN</x:v>
      </x:c>
      <x:c r="I743" t="str">
        <x:f>IF(B743=1,IF(G743=1,"TP","FN"),IF(G743=1,"FP","TN"))</x:f>
        <x:v>FP</x:v>
      </x:c>
    </x:row>
    <x:row r="744">
      <x:c r="A744" t="str">
        <x:f>MiniCase_Data!A744</x:f>
        <x:v>R00743</x:v>
      </x:c>
      <x:c r="B744" t="n">
        <x:f>IF(MiniCase_Data!O744="불합격",1,0)</x:f>
        <x:v>0</x:v>
      </x:c>
      <x:c r="C744" t="str">
        <x:f>IF(ISBLANK(MiniCase_Data!H744),"missing",IF(OR(MiniCase_Data!H744&lt;27,MiniCase_Data!H744&gt;33),"밖","안"))</x:f>
        <x:v>밖</x:v>
      </x:c>
      <x:c r="D744" t="n">
        <x:f>IF(ISBLANK(MiniCase_Data!H744),VLOOKUP(A744,센서로그!$A$2:$C$13,3,FALSE),MiniCase_Data!H744)</x:f>
        <x:v>33.41</x:v>
      </x:c>
      <x:c r="E744" t="n">
        <x:f>IF(AND(MiniCase_Data!C744="야간",MiniCase_Data!F744="M03"),1,0)</x:f>
        <x:v>1</x:v>
      </x:c>
      <x:c r="F744" t="n">
        <x:f>IF(C744="밖",1,0)</x:f>
        <x:v>1</x:v>
      </x:c>
      <x:c r="G744" t="n">
        <x:f>IF(OR(F744=1,E744=1),1,0)</x:f>
        <x:v>1</x:v>
      </x:c>
      <x:c r="H744" t="str">
        <x:f>IF(B744=1,IF(F744=1,"TP","FN"),IF(F744=1,"FP","TN"))</x:f>
        <x:v>FP</x:v>
      </x:c>
      <x:c r="I744" t="str">
        <x:f>IF(B744=1,IF(G744=1,"TP","FN"),IF(G744=1,"FP","TN"))</x:f>
        <x:v>FP</x:v>
      </x:c>
    </x:row>
    <x:row r="745">
      <x:c r="A745" t="str">
        <x:f>MiniCase_Data!A745</x:f>
        <x:v>R00744</x:v>
      </x:c>
      <x:c r="B745" t="n">
        <x:f>IF(MiniCase_Data!O745="불합격",1,0)</x:f>
        <x:v>0</x:v>
      </x:c>
      <x:c r="C745" t="str">
        <x:f>IF(ISBLANK(MiniCase_Data!H745),"missing",IF(OR(MiniCase_Data!H745&lt;27,MiniCase_Data!H745&gt;33),"밖","안"))</x:f>
        <x:v>안</x:v>
      </x:c>
      <x:c r="D745" t="n">
        <x:f>IF(ISBLANK(MiniCase_Data!H745),VLOOKUP(A745,센서로그!$A$2:$C$13,3,FALSE),MiniCase_Data!H745)</x:f>
        <x:v>29.28</x:v>
      </x:c>
      <x:c r="E745" t="n">
        <x:f>IF(AND(MiniCase_Data!C745="야간",MiniCase_Data!F745="M03"),1,0)</x:f>
        <x:v>0</x:v>
      </x:c>
      <x:c r="F745" t="n">
        <x:f>IF(C745="밖",1,0)</x:f>
        <x:v>0</x:v>
      </x:c>
      <x:c r="G745" t="n">
        <x:f>IF(OR(F745=1,E745=1),1,0)</x:f>
        <x:v>0</x:v>
      </x:c>
      <x:c r="H745" t="str">
        <x:f>IF(B745=1,IF(F745=1,"TP","FN"),IF(F745=1,"FP","TN"))</x:f>
        <x:v>TN</x:v>
      </x:c>
      <x:c r="I745" t="str">
        <x:f>IF(B745=1,IF(G745=1,"TP","FN"),IF(G745=1,"FP","TN"))</x:f>
        <x:v>TN</x:v>
      </x:c>
    </x:row>
    <x:row r="746">
      <x:c r="A746" t="str">
        <x:f>MiniCase_Data!A746</x:f>
        <x:v>R00745</x:v>
      </x:c>
      <x:c r="B746" t="n">
        <x:f>IF(MiniCase_Data!O746="불합격",1,0)</x:f>
        <x:v>0</x:v>
      </x:c>
      <x:c r="C746" t="str">
        <x:f>IF(ISBLANK(MiniCase_Data!H746),"missing",IF(OR(MiniCase_Data!H746&lt;27,MiniCase_Data!H746&gt;33),"밖","안"))</x:f>
        <x:v>안</x:v>
      </x:c>
      <x:c r="D746" t="n">
        <x:f>IF(ISBLANK(MiniCase_Data!H746),VLOOKUP(A746,센서로그!$A$2:$C$13,3,FALSE),MiniCase_Data!H746)</x:f>
        <x:v>28.04</x:v>
      </x:c>
      <x:c r="E746" t="n">
        <x:f>IF(AND(MiniCase_Data!C746="야간",MiniCase_Data!F746="M03"),1,0)</x:f>
        <x:v>0</x:v>
      </x:c>
      <x:c r="F746" t="n">
        <x:f>IF(C746="밖",1,0)</x:f>
        <x:v>0</x:v>
      </x:c>
      <x:c r="G746" t="n">
        <x:f>IF(OR(F746=1,E746=1),1,0)</x:f>
        <x:v>0</x:v>
      </x:c>
      <x:c r="H746" t="str">
        <x:f>IF(B746=1,IF(F746=1,"TP","FN"),IF(F746=1,"FP","TN"))</x:f>
        <x:v>TN</x:v>
      </x:c>
      <x:c r="I746" t="str">
        <x:f>IF(B746=1,IF(G746=1,"TP","FN"),IF(G746=1,"FP","TN"))</x:f>
        <x:v>TN</x:v>
      </x:c>
    </x:row>
    <x:row r="747">
      <x:c r="A747" t="str">
        <x:f>MiniCase_Data!A747</x:f>
        <x:v>R00746</x:v>
      </x:c>
      <x:c r="B747" t="n">
        <x:f>IF(MiniCase_Data!O747="불합격",1,0)</x:f>
        <x:v>0</x:v>
      </x:c>
      <x:c r="C747" t="str">
        <x:f>IF(ISBLANK(MiniCase_Data!H747),"missing",IF(OR(MiniCase_Data!H747&lt;27,MiniCase_Data!H747&gt;33),"밖","안"))</x:f>
        <x:v>안</x:v>
      </x:c>
      <x:c r="D747" t="n">
        <x:f>IF(ISBLANK(MiniCase_Data!H747),VLOOKUP(A747,센서로그!$A$2:$C$13,3,FALSE),MiniCase_Data!H747)</x:f>
        <x:v>29.03</x:v>
      </x:c>
      <x:c r="E747" t="n">
        <x:f>IF(AND(MiniCase_Data!C747="야간",MiniCase_Data!F747="M03"),1,0)</x:f>
        <x:v>0</x:v>
      </x:c>
      <x:c r="F747" t="n">
        <x:f>IF(C747="밖",1,0)</x:f>
        <x:v>0</x:v>
      </x:c>
      <x:c r="G747" t="n">
        <x:f>IF(OR(F747=1,E747=1),1,0)</x:f>
        <x:v>0</x:v>
      </x:c>
      <x:c r="H747" t="str">
        <x:f>IF(B747=1,IF(F747=1,"TP","FN"),IF(F747=1,"FP","TN"))</x:f>
        <x:v>TN</x:v>
      </x:c>
      <x:c r="I747" t="str">
        <x:f>IF(B747=1,IF(G747=1,"TP","FN"),IF(G747=1,"FP","TN"))</x:f>
        <x:v>TN</x:v>
      </x:c>
    </x:row>
    <x:row r="748">
      <x:c r="A748" t="str">
        <x:f>MiniCase_Data!A748</x:f>
        <x:v>R00747</x:v>
      </x:c>
      <x:c r="B748" t="n">
        <x:f>IF(MiniCase_Data!O748="불합격",1,0)</x:f>
        <x:v>0</x:v>
      </x:c>
      <x:c r="C748" t="str">
        <x:f>IF(ISBLANK(MiniCase_Data!H748),"missing",IF(OR(MiniCase_Data!H748&lt;27,MiniCase_Data!H748&gt;33),"밖","안"))</x:f>
        <x:v>안</x:v>
      </x:c>
      <x:c r="D748" t="n">
        <x:f>IF(ISBLANK(MiniCase_Data!H748),VLOOKUP(A748,센서로그!$A$2:$C$13,3,FALSE),MiniCase_Data!H748)</x:f>
        <x:v>28.22</x:v>
      </x:c>
      <x:c r="E748" t="n">
        <x:f>IF(AND(MiniCase_Data!C748="야간",MiniCase_Data!F748="M03"),1,0)</x:f>
        <x:v>0</x:v>
      </x:c>
      <x:c r="F748" t="n">
        <x:f>IF(C748="밖",1,0)</x:f>
        <x:v>0</x:v>
      </x:c>
      <x:c r="G748" t="n">
        <x:f>IF(OR(F748=1,E748=1),1,0)</x:f>
        <x:v>0</x:v>
      </x:c>
      <x:c r="H748" t="str">
        <x:f>IF(B748=1,IF(F748=1,"TP","FN"),IF(F748=1,"FP","TN"))</x:f>
        <x:v>TN</x:v>
      </x:c>
      <x:c r="I748" t="str">
        <x:f>IF(B748=1,IF(G748=1,"TP","FN"),IF(G748=1,"FP","TN"))</x:f>
        <x:v>TN</x:v>
      </x:c>
    </x:row>
    <x:row r="749">
      <x:c r="A749" t="str">
        <x:f>MiniCase_Data!A749</x:f>
        <x:v>R00748</x:v>
      </x:c>
      <x:c r="B749" t="n">
        <x:f>IF(MiniCase_Data!O749="불합격",1,0)</x:f>
        <x:v>0</x:v>
      </x:c>
      <x:c r="C749" t="str">
        <x:f>IF(ISBLANK(MiniCase_Data!H749),"missing",IF(OR(MiniCase_Data!H749&lt;27,MiniCase_Data!H749&gt;33),"밖","안"))</x:f>
        <x:v>안</x:v>
      </x:c>
      <x:c r="D749" t="n">
        <x:f>IF(ISBLANK(MiniCase_Data!H749),VLOOKUP(A749,센서로그!$A$2:$C$13,3,FALSE),MiniCase_Data!H749)</x:f>
        <x:v>30.13</x:v>
      </x:c>
      <x:c r="E749" t="n">
        <x:f>IF(AND(MiniCase_Data!C749="야간",MiniCase_Data!F749="M03"),1,0)</x:f>
        <x:v>0</x:v>
      </x:c>
      <x:c r="F749" t="n">
        <x:f>IF(C749="밖",1,0)</x:f>
        <x:v>0</x:v>
      </x:c>
      <x:c r="G749" t="n">
        <x:f>IF(OR(F749=1,E749=1),1,0)</x:f>
        <x:v>0</x:v>
      </x:c>
      <x:c r="H749" t="str">
        <x:f>IF(B749=1,IF(F749=1,"TP","FN"),IF(F749=1,"FP","TN"))</x:f>
        <x:v>TN</x:v>
      </x:c>
      <x:c r="I749" t="str">
        <x:f>IF(B749=1,IF(G749=1,"TP","FN"),IF(G749=1,"FP","TN"))</x:f>
        <x:v>TN</x:v>
      </x:c>
    </x:row>
    <x:row r="750">
      <x:c r="A750" t="str">
        <x:f>MiniCase_Data!A750</x:f>
        <x:v>R00749</x:v>
      </x:c>
      <x:c r="B750" t="n">
        <x:f>IF(MiniCase_Data!O750="불합격",1,0)</x:f>
        <x:v>0</x:v>
      </x:c>
      <x:c r="C750" t="str">
        <x:f>IF(ISBLANK(MiniCase_Data!H750),"missing",IF(OR(MiniCase_Data!H750&lt;27,MiniCase_Data!H750&gt;33),"밖","안"))</x:f>
        <x:v>안</x:v>
      </x:c>
      <x:c r="D750" t="n">
        <x:f>IF(ISBLANK(MiniCase_Data!H750),VLOOKUP(A750,센서로그!$A$2:$C$13,3,FALSE),MiniCase_Data!H750)</x:f>
        <x:v>28.78</x:v>
      </x:c>
      <x:c r="E750" t="n">
        <x:f>IF(AND(MiniCase_Data!C750="야간",MiniCase_Data!F750="M03"),1,0)</x:f>
        <x:v>0</x:v>
      </x:c>
      <x:c r="F750" t="n">
        <x:f>IF(C750="밖",1,0)</x:f>
        <x:v>0</x:v>
      </x:c>
      <x:c r="G750" t="n">
        <x:f>IF(OR(F750=1,E750=1),1,0)</x:f>
        <x:v>0</x:v>
      </x:c>
      <x:c r="H750" t="str">
        <x:f>IF(B750=1,IF(F750=1,"TP","FN"),IF(F750=1,"FP","TN"))</x:f>
        <x:v>TN</x:v>
      </x:c>
      <x:c r="I750" t="str">
        <x:f>IF(B750=1,IF(G750=1,"TP","FN"),IF(G750=1,"FP","TN"))</x:f>
        <x:v>TN</x:v>
      </x:c>
    </x:row>
    <x:row r="751">
      <x:c r="A751" t="str">
        <x:f>MiniCase_Data!A751</x:f>
        <x:v>R00750</x:v>
      </x:c>
      <x:c r="B751" t="n">
        <x:f>IF(MiniCase_Data!O751="불합격",1,0)</x:f>
        <x:v>0</x:v>
      </x:c>
      <x:c r="C751" t="str">
        <x:f>IF(ISBLANK(MiniCase_Data!H751),"missing",IF(OR(MiniCase_Data!H751&lt;27,MiniCase_Data!H751&gt;33),"밖","안"))</x:f>
        <x:v>안</x:v>
      </x:c>
      <x:c r="D751" t="n">
        <x:f>IF(ISBLANK(MiniCase_Data!H751),VLOOKUP(A751,센서로그!$A$2:$C$13,3,FALSE),MiniCase_Data!H751)</x:f>
        <x:v>30.98</x:v>
      </x:c>
      <x:c r="E751" t="n">
        <x:f>IF(AND(MiniCase_Data!C751="야간",MiniCase_Data!F751="M03"),1,0)</x:f>
        <x:v>0</x:v>
      </x:c>
      <x:c r="F751" t="n">
        <x:f>IF(C751="밖",1,0)</x:f>
        <x:v>0</x:v>
      </x:c>
      <x:c r="G751" t="n">
        <x:f>IF(OR(F751=1,E751=1),1,0)</x:f>
        <x:v>0</x:v>
      </x:c>
      <x:c r="H751" t="str">
        <x:f>IF(B751=1,IF(F751=1,"TP","FN"),IF(F751=1,"FP","TN"))</x:f>
        <x:v>TN</x:v>
      </x:c>
      <x:c r="I751" t="str">
        <x:f>IF(B751=1,IF(G751=1,"TP","FN"),IF(G751=1,"FP","TN"))</x:f>
        <x:v>TN</x:v>
      </x:c>
    </x:row>
    <x:row r="752">
      <x:c r="A752" t="str">
        <x:f>MiniCase_Data!A752</x:f>
        <x:v>R00751</x:v>
      </x:c>
      <x:c r="B752" t="n">
        <x:f>IF(MiniCase_Data!O752="불합격",1,0)</x:f>
        <x:v>0</x:v>
      </x:c>
      <x:c r="C752" t="str">
        <x:f>IF(ISBLANK(MiniCase_Data!H752),"missing",IF(OR(MiniCase_Data!H752&lt;27,MiniCase_Data!H752&gt;33),"밖","안"))</x:f>
        <x:v>안</x:v>
      </x:c>
      <x:c r="D752" t="n">
        <x:f>IF(ISBLANK(MiniCase_Data!H752),VLOOKUP(A752,센서로그!$A$2:$C$13,3,FALSE),MiniCase_Data!H752)</x:f>
        <x:v>30.94</x:v>
      </x:c>
      <x:c r="E752" t="n">
        <x:f>IF(AND(MiniCase_Data!C752="야간",MiniCase_Data!F752="M03"),1,0)</x:f>
        <x:v>0</x:v>
      </x:c>
      <x:c r="F752" t="n">
        <x:f>IF(C752="밖",1,0)</x:f>
        <x:v>0</x:v>
      </x:c>
      <x:c r="G752" t="n">
        <x:f>IF(OR(F752=1,E752=1),1,0)</x:f>
        <x:v>0</x:v>
      </x:c>
      <x:c r="H752" t="str">
        <x:f>IF(B752=1,IF(F752=1,"TP","FN"),IF(F752=1,"FP","TN"))</x:f>
        <x:v>TN</x:v>
      </x:c>
      <x:c r="I752" t="str">
        <x:f>IF(B752=1,IF(G752=1,"TP","FN"),IF(G752=1,"FP","TN"))</x:f>
        <x:v>TN</x:v>
      </x:c>
    </x:row>
    <x:row r="753">
      <x:c r="A753" t="str">
        <x:f>MiniCase_Data!A753</x:f>
        <x:v>R00752</x:v>
      </x:c>
      <x:c r="B753" t="n">
        <x:f>IF(MiniCase_Data!O753="불합격",1,0)</x:f>
        <x:v>0</x:v>
      </x:c>
      <x:c r="C753" t="str">
        <x:f>IF(ISBLANK(MiniCase_Data!H753),"missing",IF(OR(MiniCase_Data!H753&lt;27,MiniCase_Data!H753&gt;33),"밖","안"))</x:f>
        <x:v>안</x:v>
      </x:c>
      <x:c r="D753" t="n">
        <x:f>IF(ISBLANK(MiniCase_Data!H753),VLOOKUP(A753,센서로그!$A$2:$C$13,3,FALSE),MiniCase_Data!H753)</x:f>
        <x:v>29.28</x:v>
      </x:c>
      <x:c r="E753" t="n">
        <x:f>IF(AND(MiniCase_Data!C753="야간",MiniCase_Data!F753="M03"),1,0)</x:f>
        <x:v>0</x:v>
      </x:c>
      <x:c r="F753" t="n">
        <x:f>IF(C753="밖",1,0)</x:f>
        <x:v>0</x:v>
      </x:c>
      <x:c r="G753" t="n">
        <x:f>IF(OR(F753=1,E753=1),1,0)</x:f>
        <x:v>0</x:v>
      </x:c>
      <x:c r="H753" t="str">
        <x:f>IF(B753=1,IF(F753=1,"TP","FN"),IF(F753=1,"FP","TN"))</x:f>
        <x:v>TN</x:v>
      </x:c>
      <x:c r="I753" t="str">
        <x:f>IF(B753=1,IF(G753=1,"TP","FN"),IF(G753=1,"FP","TN"))</x:f>
        <x:v>TN</x:v>
      </x:c>
    </x:row>
    <x:row r="754">
      <x:c r="A754" t="str">
        <x:f>MiniCase_Data!A754</x:f>
        <x:v>R00753</x:v>
      </x:c>
      <x:c r="B754" t="n">
        <x:f>IF(MiniCase_Data!O754="불합격",1,0)</x:f>
        <x:v>0</x:v>
      </x:c>
      <x:c r="C754" t="str">
        <x:f>IF(ISBLANK(MiniCase_Data!H754),"missing",IF(OR(MiniCase_Data!H754&lt;27,MiniCase_Data!H754&gt;33),"밖","안"))</x:f>
        <x:v>안</x:v>
      </x:c>
      <x:c r="D754" t="n">
        <x:f>IF(ISBLANK(MiniCase_Data!H754),VLOOKUP(A754,센서로그!$A$2:$C$13,3,FALSE),MiniCase_Data!H754)</x:f>
        <x:v>30.18</x:v>
      </x:c>
      <x:c r="E754" t="n">
        <x:f>IF(AND(MiniCase_Data!C754="야간",MiniCase_Data!F754="M03"),1,0)</x:f>
        <x:v>0</x:v>
      </x:c>
      <x:c r="F754" t="n">
        <x:f>IF(C754="밖",1,0)</x:f>
        <x:v>0</x:v>
      </x:c>
      <x:c r="G754" t="n">
        <x:f>IF(OR(F754=1,E754=1),1,0)</x:f>
        <x:v>0</x:v>
      </x:c>
      <x:c r="H754" t="str">
        <x:f>IF(B754=1,IF(F754=1,"TP","FN"),IF(F754=1,"FP","TN"))</x:f>
        <x:v>TN</x:v>
      </x:c>
      <x:c r="I754" t="str">
        <x:f>IF(B754=1,IF(G754=1,"TP","FN"),IF(G754=1,"FP","TN"))</x:f>
        <x:v>TN</x:v>
      </x:c>
    </x:row>
    <x:row r="755">
      <x:c r="A755" t="str">
        <x:f>MiniCase_Data!A755</x:f>
        <x:v>R00754</x:v>
      </x:c>
      <x:c r="B755" t="n">
        <x:f>IF(MiniCase_Data!O755="불합격",1,0)</x:f>
        <x:v>0</x:v>
      </x:c>
      <x:c r="C755" t="str">
        <x:f>IF(ISBLANK(MiniCase_Data!H755),"missing",IF(OR(MiniCase_Data!H755&lt;27,MiniCase_Data!H755&gt;33),"밖","안"))</x:f>
        <x:v>안</x:v>
      </x:c>
      <x:c r="D755" t="n">
        <x:f>IF(ISBLANK(MiniCase_Data!H755),VLOOKUP(A755,센서로그!$A$2:$C$13,3,FALSE),MiniCase_Data!H755)</x:f>
        <x:v>32.75</x:v>
      </x:c>
      <x:c r="E755" t="n">
        <x:f>IF(AND(MiniCase_Data!C755="야간",MiniCase_Data!F755="M03"),1,0)</x:f>
        <x:v>0</x:v>
      </x:c>
      <x:c r="F755" t="n">
        <x:f>IF(C755="밖",1,0)</x:f>
        <x:v>0</x:v>
      </x:c>
      <x:c r="G755" t="n">
        <x:f>IF(OR(F755=1,E755=1),1,0)</x:f>
        <x:v>0</x:v>
      </x:c>
      <x:c r="H755" t="str">
        <x:f>IF(B755=1,IF(F755=1,"TP","FN"),IF(F755=1,"FP","TN"))</x:f>
        <x:v>TN</x:v>
      </x:c>
      <x:c r="I755" t="str">
        <x:f>IF(B755=1,IF(G755=1,"TP","FN"),IF(G755=1,"FP","TN"))</x:f>
        <x:v>TN</x:v>
      </x:c>
    </x:row>
    <x:row r="756">
      <x:c r="A756" t="str">
        <x:f>MiniCase_Data!A756</x:f>
        <x:v>R00755</x:v>
      </x:c>
      <x:c r="B756" t="n">
        <x:f>IF(MiniCase_Data!O756="불합격",1,0)</x:f>
        <x:v>1</x:v>
      </x:c>
      <x:c r="C756" t="str">
        <x:f>IF(ISBLANK(MiniCase_Data!H756),"missing",IF(OR(MiniCase_Data!H756&lt;27,MiniCase_Data!H756&gt;33),"밖","안"))</x:f>
        <x:v>안</x:v>
      </x:c>
      <x:c r="D756" t="n">
        <x:f>IF(ISBLANK(MiniCase_Data!H756),VLOOKUP(A756,센서로그!$A$2:$C$13,3,FALSE),MiniCase_Data!H756)</x:f>
        <x:v>30.29</x:v>
      </x:c>
      <x:c r="E756" t="n">
        <x:f>IF(AND(MiniCase_Data!C756="야간",MiniCase_Data!F756="M03"),1,0)</x:f>
        <x:v>1</x:v>
      </x:c>
      <x:c r="F756" t="n">
        <x:f>IF(C756="밖",1,0)</x:f>
        <x:v>0</x:v>
      </x:c>
      <x:c r="G756" t="n">
        <x:f>IF(OR(F756=1,E756=1),1,0)</x:f>
        <x:v>1</x:v>
      </x:c>
      <x:c r="H756" t="str">
        <x:f>IF(B756=1,IF(F756=1,"TP","FN"),IF(F756=1,"FP","TN"))</x:f>
        <x:v>FN</x:v>
      </x:c>
      <x:c r="I756" t="str">
        <x:f>IF(B756=1,IF(G756=1,"TP","FN"),IF(G756=1,"FP","TN"))</x:f>
        <x:v>TP</x:v>
      </x:c>
    </x:row>
    <x:row r="757">
      <x:c r="A757" t="str">
        <x:f>MiniCase_Data!A757</x:f>
        <x:v>R00756</x:v>
      </x:c>
      <x:c r="B757" t="n">
        <x:f>IF(MiniCase_Data!O757="불합격",1,0)</x:f>
        <x:v>0</x:v>
      </x:c>
      <x:c r="C757" t="str">
        <x:f>IF(ISBLANK(MiniCase_Data!H757),"missing",IF(OR(MiniCase_Data!H757&lt;27,MiniCase_Data!H757&gt;33),"밖","안"))</x:f>
        <x:v>안</x:v>
      </x:c>
      <x:c r="D757" t="n">
        <x:f>IF(ISBLANK(MiniCase_Data!H757),VLOOKUP(A757,센서로그!$A$2:$C$13,3,FALSE),MiniCase_Data!H757)</x:f>
        <x:v>28.18</x:v>
      </x:c>
      <x:c r="E757" t="n">
        <x:f>IF(AND(MiniCase_Data!C757="야간",MiniCase_Data!F757="M03"),1,0)</x:f>
        <x:v>0</x:v>
      </x:c>
      <x:c r="F757" t="n">
        <x:f>IF(C757="밖",1,0)</x:f>
        <x:v>0</x:v>
      </x:c>
      <x:c r="G757" t="n">
        <x:f>IF(OR(F757=1,E757=1),1,0)</x:f>
        <x:v>0</x:v>
      </x:c>
      <x:c r="H757" t="str">
        <x:f>IF(B757=1,IF(F757=1,"TP","FN"),IF(F757=1,"FP","TN"))</x:f>
        <x:v>TN</x:v>
      </x:c>
      <x:c r="I757" t="str">
        <x:f>IF(B757=1,IF(G757=1,"TP","FN"),IF(G757=1,"FP","TN"))</x:f>
        <x:v>TN</x:v>
      </x:c>
    </x:row>
    <x:row r="758">
      <x:c r="A758" t="str">
        <x:f>MiniCase_Data!A758</x:f>
        <x:v>R00757</x:v>
      </x:c>
      <x:c r="B758" t="n">
        <x:f>IF(MiniCase_Data!O758="불합격",1,0)</x:f>
        <x:v>0</x:v>
      </x:c>
      <x:c r="C758" t="str">
        <x:f>IF(ISBLANK(MiniCase_Data!H758),"missing",IF(OR(MiniCase_Data!H758&lt;27,MiniCase_Data!H758&gt;33),"밖","안"))</x:f>
        <x:v>안</x:v>
      </x:c>
      <x:c r="D758" t="n">
        <x:f>IF(ISBLANK(MiniCase_Data!H758),VLOOKUP(A758,센서로그!$A$2:$C$13,3,FALSE),MiniCase_Data!H758)</x:f>
        <x:v>29.9</x:v>
      </x:c>
      <x:c r="E758" t="n">
        <x:f>IF(AND(MiniCase_Data!C758="야간",MiniCase_Data!F758="M03"),1,0)</x:f>
        <x:v>0</x:v>
      </x:c>
      <x:c r="F758" t="n">
        <x:f>IF(C758="밖",1,0)</x:f>
        <x:v>0</x:v>
      </x:c>
      <x:c r="G758" t="n">
        <x:f>IF(OR(F758=1,E758=1),1,0)</x:f>
        <x:v>0</x:v>
      </x:c>
      <x:c r="H758" t="str">
        <x:f>IF(B758=1,IF(F758=1,"TP","FN"),IF(F758=1,"FP","TN"))</x:f>
        <x:v>TN</x:v>
      </x:c>
      <x:c r="I758" t="str">
        <x:f>IF(B758=1,IF(G758=1,"TP","FN"),IF(G758=1,"FP","TN"))</x:f>
        <x:v>TN</x:v>
      </x:c>
    </x:row>
    <x:row r="759">
      <x:c r="A759" t="str">
        <x:f>MiniCase_Data!A759</x:f>
        <x:v>R00758</x:v>
      </x:c>
      <x:c r="B759" t="n">
        <x:f>IF(MiniCase_Data!O759="불합격",1,0)</x:f>
        <x:v>0</x:v>
      </x:c>
      <x:c r="C759" t="str">
        <x:f>IF(ISBLANK(MiniCase_Data!H759),"missing",IF(OR(MiniCase_Data!H759&lt;27,MiniCase_Data!H759&gt;33),"밖","안"))</x:f>
        <x:v>안</x:v>
      </x:c>
      <x:c r="D759" t="n">
        <x:f>IF(ISBLANK(MiniCase_Data!H759),VLOOKUP(A759,센서로그!$A$2:$C$13,3,FALSE),MiniCase_Data!H759)</x:f>
        <x:v>28.78</x:v>
      </x:c>
      <x:c r="E759" t="n">
        <x:f>IF(AND(MiniCase_Data!C759="야간",MiniCase_Data!F759="M03"),1,0)</x:f>
        <x:v>0</x:v>
      </x:c>
      <x:c r="F759" t="n">
        <x:f>IF(C759="밖",1,0)</x:f>
        <x:v>0</x:v>
      </x:c>
      <x:c r="G759" t="n">
        <x:f>IF(OR(F759=1,E759=1),1,0)</x:f>
        <x:v>0</x:v>
      </x:c>
      <x:c r="H759" t="str">
        <x:f>IF(B759=1,IF(F759=1,"TP","FN"),IF(F759=1,"FP","TN"))</x:f>
        <x:v>TN</x:v>
      </x:c>
      <x:c r="I759" t="str">
        <x:f>IF(B759=1,IF(G759=1,"TP","FN"),IF(G759=1,"FP","TN"))</x:f>
        <x:v>TN</x:v>
      </x:c>
    </x:row>
    <x:row r="760">
      <x:c r="A760" t="str">
        <x:f>MiniCase_Data!A760</x:f>
        <x:v>R00759</x:v>
      </x:c>
      <x:c r="B760" t="n">
        <x:f>IF(MiniCase_Data!O760="불합격",1,0)</x:f>
        <x:v>0</x:v>
      </x:c>
      <x:c r="C760" t="str">
        <x:f>IF(ISBLANK(MiniCase_Data!H760),"missing",IF(OR(MiniCase_Data!H760&lt;27,MiniCase_Data!H760&gt;33),"밖","안"))</x:f>
        <x:v>안</x:v>
      </x:c>
      <x:c r="D760" t="n">
        <x:f>IF(ISBLANK(MiniCase_Data!H760),VLOOKUP(A760,센서로그!$A$2:$C$13,3,FALSE),MiniCase_Data!H760)</x:f>
        <x:v>27.87</x:v>
      </x:c>
      <x:c r="E760" t="n">
        <x:f>IF(AND(MiniCase_Data!C760="야간",MiniCase_Data!F760="M03"),1,0)</x:f>
        <x:v>0</x:v>
      </x:c>
      <x:c r="F760" t="n">
        <x:f>IF(C760="밖",1,0)</x:f>
        <x:v>0</x:v>
      </x:c>
      <x:c r="G760" t="n">
        <x:f>IF(OR(F760=1,E760=1),1,0)</x:f>
        <x:v>0</x:v>
      </x:c>
      <x:c r="H760" t="str">
        <x:f>IF(B760=1,IF(F760=1,"TP","FN"),IF(F760=1,"FP","TN"))</x:f>
        <x:v>TN</x:v>
      </x:c>
      <x:c r="I760" t="str">
        <x:f>IF(B760=1,IF(G760=1,"TP","FN"),IF(G760=1,"FP","TN"))</x:f>
        <x:v>TN</x:v>
      </x:c>
    </x:row>
    <x:row r="761">
      <x:c r="A761" t="str">
        <x:f>MiniCase_Data!A761</x:f>
        <x:v>R00760</x:v>
      </x:c>
      <x:c r="B761" t="n">
        <x:f>IF(MiniCase_Data!O761="불합격",1,0)</x:f>
        <x:v>0</x:v>
      </x:c>
      <x:c r="C761" t="str">
        <x:f>IF(ISBLANK(MiniCase_Data!H761),"missing",IF(OR(MiniCase_Data!H761&lt;27,MiniCase_Data!H761&gt;33),"밖","안"))</x:f>
        <x:v>안</x:v>
      </x:c>
      <x:c r="D761" t="n">
        <x:f>IF(ISBLANK(MiniCase_Data!H761),VLOOKUP(A761,센서로그!$A$2:$C$13,3,FALSE),MiniCase_Data!H761)</x:f>
        <x:v>32.4</x:v>
      </x:c>
      <x:c r="E761" t="n">
        <x:f>IF(AND(MiniCase_Data!C761="야간",MiniCase_Data!F761="M03"),1,0)</x:f>
        <x:v>0</x:v>
      </x:c>
      <x:c r="F761" t="n">
        <x:f>IF(C761="밖",1,0)</x:f>
        <x:v>0</x:v>
      </x:c>
      <x:c r="G761" t="n">
        <x:f>IF(OR(F761=1,E761=1),1,0)</x:f>
        <x:v>0</x:v>
      </x:c>
      <x:c r="H761" t="str">
        <x:f>IF(B761=1,IF(F761=1,"TP","FN"),IF(F761=1,"FP","TN"))</x:f>
        <x:v>TN</x:v>
      </x:c>
      <x:c r="I761" t="str">
        <x:f>IF(B761=1,IF(G761=1,"TP","FN"),IF(G761=1,"FP","TN"))</x:f>
        <x:v>TN</x:v>
      </x:c>
    </x:row>
    <x:row r="762">
      <x:c r="A762" t="str">
        <x:f>MiniCase_Data!A762</x:f>
        <x:v>R00761</x:v>
      </x:c>
      <x:c r="B762" t="n">
        <x:f>IF(MiniCase_Data!O762="불합격",1,0)</x:f>
        <x:v>0</x:v>
      </x:c>
      <x:c r="C762" t="str">
        <x:f>IF(ISBLANK(MiniCase_Data!H762),"missing",IF(OR(MiniCase_Data!H762&lt;27,MiniCase_Data!H762&gt;33),"밖","안"))</x:f>
        <x:v>안</x:v>
      </x:c>
      <x:c r="D762" t="n">
        <x:f>IF(ISBLANK(MiniCase_Data!H762),VLOOKUP(A762,센서로그!$A$2:$C$13,3,FALSE),MiniCase_Data!H762)</x:f>
        <x:v>28.55</x:v>
      </x:c>
      <x:c r="E762" t="n">
        <x:f>IF(AND(MiniCase_Data!C762="야간",MiniCase_Data!F762="M03"),1,0)</x:f>
        <x:v>0</x:v>
      </x:c>
      <x:c r="F762" t="n">
        <x:f>IF(C762="밖",1,0)</x:f>
        <x:v>0</x:v>
      </x:c>
      <x:c r="G762" t="n">
        <x:f>IF(OR(F762=1,E762=1),1,0)</x:f>
        <x:v>0</x:v>
      </x:c>
      <x:c r="H762" t="str">
        <x:f>IF(B762=1,IF(F762=1,"TP","FN"),IF(F762=1,"FP","TN"))</x:f>
        <x:v>TN</x:v>
      </x:c>
      <x:c r="I762" t="str">
        <x:f>IF(B762=1,IF(G762=1,"TP","FN"),IF(G762=1,"FP","TN"))</x:f>
        <x:v>TN</x:v>
      </x:c>
    </x:row>
    <x:row r="763">
      <x:c r="A763" t="str">
        <x:f>MiniCase_Data!A763</x:f>
        <x:v>R00762</x:v>
      </x:c>
      <x:c r="B763" t="n">
        <x:f>IF(MiniCase_Data!O763="불합격",1,0)</x:f>
        <x:v>0</x:v>
      </x:c>
      <x:c r="C763" t="str">
        <x:f>IF(ISBLANK(MiniCase_Data!H763),"missing",IF(OR(MiniCase_Data!H763&lt;27,MiniCase_Data!H763&gt;33),"밖","안"))</x:f>
        <x:v>안</x:v>
      </x:c>
      <x:c r="D763" t="n">
        <x:f>IF(ISBLANK(MiniCase_Data!H763),VLOOKUP(A763,센서로그!$A$2:$C$13,3,FALSE),MiniCase_Data!H763)</x:f>
        <x:v>29.85</x:v>
      </x:c>
      <x:c r="E763" t="n">
        <x:f>IF(AND(MiniCase_Data!C763="야간",MiniCase_Data!F763="M03"),1,0)</x:f>
        <x:v>0</x:v>
      </x:c>
      <x:c r="F763" t="n">
        <x:f>IF(C763="밖",1,0)</x:f>
        <x:v>0</x:v>
      </x:c>
      <x:c r="G763" t="n">
        <x:f>IF(OR(F763=1,E763=1),1,0)</x:f>
        <x:v>0</x:v>
      </x:c>
      <x:c r="H763" t="str">
        <x:f>IF(B763=1,IF(F763=1,"TP","FN"),IF(F763=1,"FP","TN"))</x:f>
        <x:v>TN</x:v>
      </x:c>
      <x:c r="I763" t="str">
        <x:f>IF(B763=1,IF(G763=1,"TP","FN"),IF(G763=1,"FP","TN"))</x:f>
        <x:v>TN</x:v>
      </x:c>
    </x:row>
    <x:row r="764">
      <x:c r="A764" t="str">
        <x:f>MiniCase_Data!A764</x:f>
        <x:v>R00763</x:v>
      </x:c>
      <x:c r="B764" t="n">
        <x:f>IF(MiniCase_Data!O764="불합격",1,0)</x:f>
        <x:v>0</x:v>
      </x:c>
      <x:c r="C764" t="str">
        <x:f>IF(ISBLANK(MiniCase_Data!H764),"missing",IF(OR(MiniCase_Data!H764&lt;27,MiniCase_Data!H764&gt;33),"밖","안"))</x:f>
        <x:v>안</x:v>
      </x:c>
      <x:c r="D764" t="n">
        <x:f>IF(ISBLANK(MiniCase_Data!H764),VLOOKUP(A764,센서로그!$A$2:$C$13,3,FALSE),MiniCase_Data!H764)</x:f>
        <x:v>27.39</x:v>
      </x:c>
      <x:c r="E764" t="n">
        <x:f>IF(AND(MiniCase_Data!C764="야간",MiniCase_Data!F764="M03"),1,0)</x:f>
        <x:v>0</x:v>
      </x:c>
      <x:c r="F764" t="n">
        <x:f>IF(C764="밖",1,0)</x:f>
        <x:v>0</x:v>
      </x:c>
      <x:c r="G764" t="n">
        <x:f>IF(OR(F764=1,E764=1),1,0)</x:f>
        <x:v>0</x:v>
      </x:c>
      <x:c r="H764" t="str">
        <x:f>IF(B764=1,IF(F764=1,"TP","FN"),IF(F764=1,"FP","TN"))</x:f>
        <x:v>TN</x:v>
      </x:c>
      <x:c r="I764" t="str">
        <x:f>IF(B764=1,IF(G764=1,"TP","FN"),IF(G764=1,"FP","TN"))</x:f>
        <x:v>TN</x:v>
      </x:c>
    </x:row>
    <x:row r="765">
      <x:c r="A765" t="str">
        <x:f>MiniCase_Data!A765</x:f>
        <x:v>R00764</x:v>
      </x:c>
      <x:c r="B765" t="n">
        <x:f>IF(MiniCase_Data!O765="불합격",1,0)</x:f>
        <x:v>0</x:v>
      </x:c>
      <x:c r="C765" t="str">
        <x:f>IF(ISBLANK(MiniCase_Data!H765),"missing",IF(OR(MiniCase_Data!H765&lt;27,MiniCase_Data!H765&gt;33),"밖","안"))</x:f>
        <x:v>안</x:v>
      </x:c>
      <x:c r="D765" t="n">
        <x:f>IF(ISBLANK(MiniCase_Data!H765),VLOOKUP(A765,센서로그!$A$2:$C$13,3,FALSE),MiniCase_Data!H765)</x:f>
        <x:v>28.52</x:v>
      </x:c>
      <x:c r="E765" t="n">
        <x:f>IF(AND(MiniCase_Data!C765="야간",MiniCase_Data!F765="M03"),1,0)</x:f>
        <x:v>0</x:v>
      </x:c>
      <x:c r="F765" t="n">
        <x:f>IF(C765="밖",1,0)</x:f>
        <x:v>0</x:v>
      </x:c>
      <x:c r="G765" t="n">
        <x:f>IF(OR(F765=1,E765=1),1,0)</x:f>
        <x:v>0</x:v>
      </x:c>
      <x:c r="H765" t="str">
        <x:f>IF(B765=1,IF(F765=1,"TP","FN"),IF(F765=1,"FP","TN"))</x:f>
        <x:v>TN</x:v>
      </x:c>
      <x:c r="I765" t="str">
        <x:f>IF(B765=1,IF(G765=1,"TP","FN"),IF(G765=1,"FP","TN"))</x:f>
        <x:v>TN</x:v>
      </x:c>
    </x:row>
    <x:row r="766">
      <x:c r="A766" t="str">
        <x:f>MiniCase_Data!A766</x:f>
        <x:v>R00765</x:v>
      </x:c>
      <x:c r="B766" t="n">
        <x:f>IF(MiniCase_Data!O766="불합격",1,0)</x:f>
        <x:v>0</x:v>
      </x:c>
      <x:c r="C766" t="str">
        <x:f>IF(ISBLANK(MiniCase_Data!H766),"missing",IF(OR(MiniCase_Data!H766&lt;27,MiniCase_Data!H766&gt;33),"밖","안"))</x:f>
        <x:v>안</x:v>
      </x:c>
      <x:c r="D766" t="n">
        <x:f>IF(ISBLANK(MiniCase_Data!H766),VLOOKUP(A766,센서로그!$A$2:$C$13,3,FALSE),MiniCase_Data!H766)</x:f>
        <x:v>27.9</x:v>
      </x:c>
      <x:c r="E766" t="n">
        <x:f>IF(AND(MiniCase_Data!C766="야간",MiniCase_Data!F766="M03"),1,0)</x:f>
        <x:v>0</x:v>
      </x:c>
      <x:c r="F766" t="n">
        <x:f>IF(C766="밖",1,0)</x:f>
        <x:v>0</x:v>
      </x:c>
      <x:c r="G766" t="n">
        <x:f>IF(OR(F766=1,E766=1),1,0)</x:f>
        <x:v>0</x:v>
      </x:c>
      <x:c r="H766" t="str">
        <x:f>IF(B766=1,IF(F766=1,"TP","FN"),IF(F766=1,"FP","TN"))</x:f>
        <x:v>TN</x:v>
      </x:c>
      <x:c r="I766" t="str">
        <x:f>IF(B766=1,IF(G766=1,"TP","FN"),IF(G766=1,"FP","TN"))</x:f>
        <x:v>TN</x:v>
      </x:c>
    </x:row>
    <x:row r="767">
      <x:c r="A767" t="str">
        <x:f>MiniCase_Data!A767</x:f>
        <x:v>R00766</x:v>
      </x:c>
      <x:c r="B767" t="n">
        <x:f>IF(MiniCase_Data!O767="불합격",1,0)</x:f>
        <x:v>0</x:v>
      </x:c>
      <x:c r="C767" t="str">
        <x:f>IF(ISBLANK(MiniCase_Data!H767),"missing",IF(OR(MiniCase_Data!H767&lt;27,MiniCase_Data!H767&gt;33),"밖","안"))</x:f>
        <x:v>안</x:v>
      </x:c>
      <x:c r="D767" t="n">
        <x:f>IF(ISBLANK(MiniCase_Data!H767),VLOOKUP(A767,센서로그!$A$2:$C$13,3,FALSE),MiniCase_Data!H767)</x:f>
        <x:v>29.14</x:v>
      </x:c>
      <x:c r="E767" t="n">
        <x:f>IF(AND(MiniCase_Data!C767="야간",MiniCase_Data!F767="M03"),1,0)</x:f>
        <x:v>0</x:v>
      </x:c>
      <x:c r="F767" t="n">
        <x:f>IF(C767="밖",1,0)</x:f>
        <x:v>0</x:v>
      </x:c>
      <x:c r="G767" t="n">
        <x:f>IF(OR(F767=1,E767=1),1,0)</x:f>
        <x:v>0</x:v>
      </x:c>
      <x:c r="H767" t="str">
        <x:f>IF(B767=1,IF(F767=1,"TP","FN"),IF(F767=1,"FP","TN"))</x:f>
        <x:v>TN</x:v>
      </x:c>
      <x:c r="I767" t="str">
        <x:f>IF(B767=1,IF(G767=1,"TP","FN"),IF(G767=1,"FP","TN"))</x:f>
        <x:v>TN</x:v>
      </x:c>
    </x:row>
    <x:row r="768">
      <x:c r="A768" t="str">
        <x:f>MiniCase_Data!A768</x:f>
        <x:v>R00767</x:v>
      </x:c>
      <x:c r="B768" t="n">
        <x:f>IF(MiniCase_Data!O768="불합격",1,0)</x:f>
        <x:v>0</x:v>
      </x:c>
      <x:c r="C768" t="str">
        <x:f>IF(ISBLANK(MiniCase_Data!H768),"missing",IF(OR(MiniCase_Data!H768&lt;27,MiniCase_Data!H768&gt;33),"밖","안"))</x:f>
        <x:v>안</x:v>
      </x:c>
      <x:c r="D768" t="n">
        <x:f>IF(ISBLANK(MiniCase_Data!H768),VLOOKUP(A768,센서로그!$A$2:$C$13,3,FALSE),MiniCase_Data!H768)</x:f>
        <x:v>28.5</x:v>
      </x:c>
      <x:c r="E768" t="n">
        <x:f>IF(AND(MiniCase_Data!C768="야간",MiniCase_Data!F768="M03"),1,0)</x:f>
        <x:v>0</x:v>
      </x:c>
      <x:c r="F768" t="n">
        <x:f>IF(C768="밖",1,0)</x:f>
        <x:v>0</x:v>
      </x:c>
      <x:c r="G768" t="n">
        <x:f>IF(OR(F768=1,E768=1),1,0)</x:f>
        <x:v>0</x:v>
      </x:c>
      <x:c r="H768" t="str">
        <x:f>IF(B768=1,IF(F768=1,"TP","FN"),IF(F768=1,"FP","TN"))</x:f>
        <x:v>TN</x:v>
      </x:c>
      <x:c r="I768" t="str">
        <x:f>IF(B768=1,IF(G768=1,"TP","FN"),IF(G768=1,"FP","TN"))</x:f>
        <x:v>TN</x:v>
      </x:c>
    </x:row>
    <x:row r="769">
      <x:c r="A769" t="str">
        <x:f>MiniCase_Data!A769</x:f>
        <x:v>R00768</x:v>
      </x:c>
      <x:c r="B769" t="n">
        <x:f>IF(MiniCase_Data!O769="불합격",1,0)</x:f>
        <x:v>0</x:v>
      </x:c>
      <x:c r="C769" t="str">
        <x:f>IF(ISBLANK(MiniCase_Data!H769),"missing",IF(OR(MiniCase_Data!H769&lt;27,MiniCase_Data!H769&gt;33),"밖","안"))</x:f>
        <x:v>안</x:v>
      </x:c>
      <x:c r="D769" t="n">
        <x:f>IF(ISBLANK(MiniCase_Data!H769),VLOOKUP(A769,센서로그!$A$2:$C$13,3,FALSE),MiniCase_Data!H769)</x:f>
        <x:v>32.12</x:v>
      </x:c>
      <x:c r="E769" t="n">
        <x:f>IF(AND(MiniCase_Data!C769="야간",MiniCase_Data!F769="M03"),1,0)</x:f>
        <x:v>0</x:v>
      </x:c>
      <x:c r="F769" t="n">
        <x:f>IF(C769="밖",1,0)</x:f>
        <x:v>0</x:v>
      </x:c>
      <x:c r="G769" t="n">
        <x:f>IF(OR(F769=1,E769=1),1,0)</x:f>
        <x:v>0</x:v>
      </x:c>
      <x:c r="H769" t="str">
        <x:f>IF(B769=1,IF(F769=1,"TP","FN"),IF(F769=1,"FP","TN"))</x:f>
        <x:v>TN</x:v>
      </x:c>
      <x:c r="I769" t="str">
        <x:f>IF(B769=1,IF(G769=1,"TP","FN"),IF(G769=1,"FP","TN"))</x:f>
        <x:v>TN</x:v>
      </x:c>
    </x:row>
    <x:row r="770">
      <x:c r="A770" t="str">
        <x:f>MiniCase_Data!A770</x:f>
        <x:v>R00769</x:v>
      </x:c>
      <x:c r="B770" t="n">
        <x:f>IF(MiniCase_Data!O770="불합격",1,0)</x:f>
        <x:v>0</x:v>
      </x:c>
      <x:c r="C770" t="str">
        <x:f>IF(ISBLANK(MiniCase_Data!H770),"missing",IF(OR(MiniCase_Data!H770&lt;27,MiniCase_Data!H770&gt;33),"밖","안"))</x:f>
        <x:v>안</x:v>
      </x:c>
      <x:c r="D770" t="n">
        <x:f>IF(ISBLANK(MiniCase_Data!H770),VLOOKUP(A770,센서로그!$A$2:$C$13,3,FALSE),MiniCase_Data!H770)</x:f>
        <x:v>28.86</x:v>
      </x:c>
      <x:c r="E770" t="n">
        <x:f>IF(AND(MiniCase_Data!C770="야간",MiniCase_Data!F770="M03"),1,0)</x:f>
        <x:v>0</x:v>
      </x:c>
      <x:c r="F770" t="n">
        <x:f>IF(C770="밖",1,0)</x:f>
        <x:v>0</x:v>
      </x:c>
      <x:c r="G770" t="n">
        <x:f>IF(OR(F770=1,E770=1),1,0)</x:f>
        <x:v>0</x:v>
      </x:c>
      <x:c r="H770" t="str">
        <x:f>IF(B770=1,IF(F770=1,"TP","FN"),IF(F770=1,"FP","TN"))</x:f>
        <x:v>TN</x:v>
      </x:c>
      <x:c r="I770" t="str">
        <x:f>IF(B770=1,IF(G770=1,"TP","FN"),IF(G770=1,"FP","TN"))</x:f>
        <x:v>TN</x:v>
      </x:c>
    </x:row>
    <x:row r="771">
      <x:c r="A771" t="str">
        <x:f>MiniCase_Data!A771</x:f>
        <x:v>R00770</x:v>
      </x:c>
      <x:c r="B771" t="n">
        <x:f>IF(MiniCase_Data!O771="불합격",1,0)</x:f>
        <x:v>0</x:v>
      </x:c>
      <x:c r="C771" t="str">
        <x:f>IF(ISBLANK(MiniCase_Data!H771),"missing",IF(OR(MiniCase_Data!H771&lt;27,MiniCase_Data!H771&gt;33),"밖","안"))</x:f>
        <x:v>안</x:v>
      </x:c>
      <x:c r="D771" t="n">
        <x:f>IF(ISBLANK(MiniCase_Data!H771),VLOOKUP(A771,센서로그!$A$2:$C$13,3,FALSE),MiniCase_Data!H771)</x:f>
        <x:v>27.81</x:v>
      </x:c>
      <x:c r="E771" t="n">
        <x:f>IF(AND(MiniCase_Data!C771="야간",MiniCase_Data!F771="M03"),1,0)</x:f>
        <x:v>1</x:v>
      </x:c>
      <x:c r="F771" t="n">
        <x:f>IF(C771="밖",1,0)</x:f>
        <x:v>0</x:v>
      </x:c>
      <x:c r="G771" t="n">
        <x:f>IF(OR(F771=1,E771=1),1,0)</x:f>
        <x:v>1</x:v>
      </x:c>
      <x:c r="H771" t="str">
        <x:f>IF(B771=1,IF(F771=1,"TP","FN"),IF(F771=1,"FP","TN"))</x:f>
        <x:v>TN</x:v>
      </x:c>
      <x:c r="I771" t="str">
        <x:f>IF(B771=1,IF(G771=1,"TP","FN"),IF(G771=1,"FP","TN"))</x:f>
        <x:v>FP</x:v>
      </x:c>
    </x:row>
    <x:row r="772">
      <x:c r="A772" t="str">
        <x:f>MiniCase_Data!A772</x:f>
        <x:v>R00771</x:v>
      </x:c>
      <x:c r="B772" t="n">
        <x:f>IF(MiniCase_Data!O772="불합격",1,0)</x:f>
        <x:v>0</x:v>
      </x:c>
      <x:c r="C772" t="str">
        <x:f>IF(ISBLANK(MiniCase_Data!H772),"missing",IF(OR(MiniCase_Data!H772&lt;27,MiniCase_Data!H772&gt;33),"밖","안"))</x:f>
        <x:v>안</x:v>
      </x:c>
      <x:c r="D772" t="n">
        <x:f>IF(ISBLANK(MiniCase_Data!H772),VLOOKUP(A772,센서로그!$A$2:$C$13,3,FALSE),MiniCase_Data!H772)</x:f>
        <x:v>29.52</x:v>
      </x:c>
      <x:c r="E772" t="n">
        <x:f>IF(AND(MiniCase_Data!C772="야간",MiniCase_Data!F772="M03"),1,0)</x:f>
        <x:v>0</x:v>
      </x:c>
      <x:c r="F772" t="n">
        <x:f>IF(C772="밖",1,0)</x:f>
        <x:v>0</x:v>
      </x:c>
      <x:c r="G772" t="n">
        <x:f>IF(OR(F772=1,E772=1),1,0)</x:f>
        <x:v>0</x:v>
      </x:c>
      <x:c r="H772" t="str">
        <x:f>IF(B772=1,IF(F772=1,"TP","FN"),IF(F772=1,"FP","TN"))</x:f>
        <x:v>TN</x:v>
      </x:c>
      <x:c r="I772" t="str">
        <x:f>IF(B772=1,IF(G772=1,"TP","FN"),IF(G772=1,"FP","TN"))</x:f>
        <x:v>TN</x:v>
      </x:c>
    </x:row>
    <x:row r="773">
      <x:c r="A773" t="str">
        <x:f>MiniCase_Data!A773</x:f>
        <x:v>R00772</x:v>
      </x:c>
      <x:c r="B773" t="n">
        <x:f>IF(MiniCase_Data!O773="불합격",1,0)</x:f>
        <x:v>0</x:v>
      </x:c>
      <x:c r="C773" t="str">
        <x:f>IF(ISBLANK(MiniCase_Data!H773),"missing",IF(OR(MiniCase_Data!H773&lt;27,MiniCase_Data!H773&gt;33),"밖","안"))</x:f>
        <x:v>안</x:v>
      </x:c>
      <x:c r="D773" t="n">
        <x:f>IF(ISBLANK(MiniCase_Data!H773),VLOOKUP(A773,센서로그!$A$2:$C$13,3,FALSE),MiniCase_Data!H773)</x:f>
        <x:v>30.33</x:v>
      </x:c>
      <x:c r="E773" t="n">
        <x:f>IF(AND(MiniCase_Data!C773="야간",MiniCase_Data!F773="M03"),1,0)</x:f>
        <x:v>0</x:v>
      </x:c>
      <x:c r="F773" t="n">
        <x:f>IF(C773="밖",1,0)</x:f>
        <x:v>0</x:v>
      </x:c>
      <x:c r="G773" t="n">
        <x:f>IF(OR(F773=1,E773=1),1,0)</x:f>
        <x:v>0</x:v>
      </x:c>
      <x:c r="H773" t="str">
        <x:f>IF(B773=1,IF(F773=1,"TP","FN"),IF(F773=1,"FP","TN"))</x:f>
        <x:v>TN</x:v>
      </x:c>
      <x:c r="I773" t="str">
        <x:f>IF(B773=1,IF(G773=1,"TP","FN"),IF(G773=1,"FP","TN"))</x:f>
        <x:v>TN</x:v>
      </x:c>
    </x:row>
    <x:row r="774">
      <x:c r="A774" t="str">
        <x:f>MiniCase_Data!A774</x:f>
        <x:v>R00773</x:v>
      </x:c>
      <x:c r="B774" t="n">
        <x:f>IF(MiniCase_Data!O774="불합격",1,0)</x:f>
        <x:v>0</x:v>
      </x:c>
      <x:c r="C774" t="str">
        <x:f>IF(ISBLANK(MiniCase_Data!H774),"missing",IF(OR(MiniCase_Data!H774&lt;27,MiniCase_Data!H774&gt;33),"밖","안"))</x:f>
        <x:v>밖</x:v>
      </x:c>
      <x:c r="D774" t="n">
        <x:f>IF(ISBLANK(MiniCase_Data!H774),VLOOKUP(A774,센서로그!$A$2:$C$13,3,FALSE),MiniCase_Data!H774)</x:f>
        <x:v>33.92</x:v>
      </x:c>
      <x:c r="E774" t="n">
        <x:f>IF(AND(MiniCase_Data!C774="야간",MiniCase_Data!F774="M03"),1,0)</x:f>
        <x:v>1</x:v>
      </x:c>
      <x:c r="F774" t="n">
        <x:f>IF(C774="밖",1,0)</x:f>
        <x:v>1</x:v>
      </x:c>
      <x:c r="G774" t="n">
        <x:f>IF(OR(F774=1,E774=1),1,0)</x:f>
        <x:v>1</x:v>
      </x:c>
      <x:c r="H774" t="str">
        <x:f>IF(B774=1,IF(F774=1,"TP","FN"),IF(F774=1,"FP","TN"))</x:f>
        <x:v>FP</x:v>
      </x:c>
      <x:c r="I774" t="str">
        <x:f>IF(B774=1,IF(G774=1,"TP","FN"),IF(G774=1,"FP","TN"))</x:f>
        <x:v>FP</x:v>
      </x:c>
    </x:row>
    <x:row r="775">
      <x:c r="A775" t="str">
        <x:f>MiniCase_Data!A775</x:f>
        <x:v>R00774</x:v>
      </x:c>
      <x:c r="B775" t="n">
        <x:f>IF(MiniCase_Data!O775="불합격",1,0)</x:f>
        <x:v>0</x:v>
      </x:c>
      <x:c r="C775" t="str">
        <x:f>IF(ISBLANK(MiniCase_Data!H775),"missing",IF(OR(MiniCase_Data!H775&lt;27,MiniCase_Data!H775&gt;33),"밖","안"))</x:f>
        <x:v>안</x:v>
      </x:c>
      <x:c r="D775" t="n">
        <x:f>IF(ISBLANK(MiniCase_Data!H775),VLOOKUP(A775,센서로그!$A$2:$C$13,3,FALSE),MiniCase_Data!H775)</x:f>
        <x:v>32.05</x:v>
      </x:c>
      <x:c r="E775" t="n">
        <x:f>IF(AND(MiniCase_Data!C775="야간",MiniCase_Data!F775="M03"),1,0)</x:f>
        <x:v>0</x:v>
      </x:c>
      <x:c r="F775" t="n">
        <x:f>IF(C775="밖",1,0)</x:f>
        <x:v>0</x:v>
      </x:c>
      <x:c r="G775" t="n">
        <x:f>IF(OR(F775=1,E775=1),1,0)</x:f>
        <x:v>0</x:v>
      </x:c>
      <x:c r="H775" t="str">
        <x:f>IF(B775=1,IF(F775=1,"TP","FN"),IF(F775=1,"FP","TN"))</x:f>
        <x:v>TN</x:v>
      </x:c>
      <x:c r="I775" t="str">
        <x:f>IF(B775=1,IF(G775=1,"TP","FN"),IF(G775=1,"FP","TN"))</x:f>
        <x:v>TN</x:v>
      </x:c>
    </x:row>
    <x:row r="776">
      <x:c r="A776" t="str">
        <x:f>MiniCase_Data!A776</x:f>
        <x:v>R00775</x:v>
      </x:c>
      <x:c r="B776" t="n">
        <x:f>IF(MiniCase_Data!O776="불합격",1,0)</x:f>
        <x:v>0</x:v>
      </x:c>
      <x:c r="C776" t="str">
        <x:f>IF(ISBLANK(MiniCase_Data!H776),"missing",IF(OR(MiniCase_Data!H776&lt;27,MiniCase_Data!H776&gt;33),"밖","안"))</x:f>
        <x:v>안</x:v>
      </x:c>
      <x:c r="D776" t="n">
        <x:f>IF(ISBLANK(MiniCase_Data!H776),VLOOKUP(A776,센서로그!$A$2:$C$13,3,FALSE),MiniCase_Data!H776)</x:f>
        <x:v>29.86</x:v>
      </x:c>
      <x:c r="E776" t="n">
        <x:f>IF(AND(MiniCase_Data!C776="야간",MiniCase_Data!F776="M03"),1,0)</x:f>
        <x:v>0</x:v>
      </x:c>
      <x:c r="F776" t="n">
        <x:f>IF(C776="밖",1,0)</x:f>
        <x:v>0</x:v>
      </x:c>
      <x:c r="G776" t="n">
        <x:f>IF(OR(F776=1,E776=1),1,0)</x:f>
        <x:v>0</x:v>
      </x:c>
      <x:c r="H776" t="str">
        <x:f>IF(B776=1,IF(F776=1,"TP","FN"),IF(F776=1,"FP","TN"))</x:f>
        <x:v>TN</x:v>
      </x:c>
      <x:c r="I776" t="str">
        <x:f>IF(B776=1,IF(G776=1,"TP","FN"),IF(G776=1,"FP","TN"))</x:f>
        <x:v>TN</x:v>
      </x:c>
    </x:row>
    <x:row r="777">
      <x:c r="A777" t="str">
        <x:f>MiniCase_Data!A777</x:f>
        <x:v>R00776</x:v>
      </x:c>
      <x:c r="B777" t="n">
        <x:f>IF(MiniCase_Data!O777="불합격",1,0)</x:f>
        <x:v>0</x:v>
      </x:c>
      <x:c r="C777" t="str">
        <x:f>IF(ISBLANK(MiniCase_Data!H777),"missing",IF(OR(MiniCase_Data!H777&lt;27,MiniCase_Data!H777&gt;33),"밖","안"))</x:f>
        <x:v>안</x:v>
      </x:c>
      <x:c r="D777" t="n">
        <x:f>IF(ISBLANK(MiniCase_Data!H777),VLOOKUP(A777,센서로그!$A$2:$C$13,3,FALSE),MiniCase_Data!H777)</x:f>
        <x:v>30.46</x:v>
      </x:c>
      <x:c r="E777" t="n">
        <x:f>IF(AND(MiniCase_Data!C777="야간",MiniCase_Data!F777="M03"),1,0)</x:f>
        <x:v>0</x:v>
      </x:c>
      <x:c r="F777" t="n">
        <x:f>IF(C777="밖",1,0)</x:f>
        <x:v>0</x:v>
      </x:c>
      <x:c r="G777" t="n">
        <x:f>IF(OR(F777=1,E777=1),1,0)</x:f>
        <x:v>0</x:v>
      </x:c>
      <x:c r="H777" t="str">
        <x:f>IF(B777=1,IF(F777=1,"TP","FN"),IF(F777=1,"FP","TN"))</x:f>
        <x:v>TN</x:v>
      </x:c>
      <x:c r="I777" t="str">
        <x:f>IF(B777=1,IF(G777=1,"TP","FN"),IF(G777=1,"FP","TN"))</x:f>
        <x:v>TN</x:v>
      </x:c>
    </x:row>
    <x:row r="778">
      <x:c r="A778" t="str">
        <x:f>MiniCase_Data!A778</x:f>
        <x:v>R00777</x:v>
      </x:c>
      <x:c r="B778" t="n">
        <x:f>IF(MiniCase_Data!O778="불합격",1,0)</x:f>
        <x:v>0</x:v>
      </x:c>
      <x:c r="C778" t="str">
        <x:f>IF(ISBLANK(MiniCase_Data!H778),"missing",IF(OR(MiniCase_Data!H778&lt;27,MiniCase_Data!H778&gt;33),"밖","안"))</x:f>
        <x:v>안</x:v>
      </x:c>
      <x:c r="D778" t="n">
        <x:f>IF(ISBLANK(MiniCase_Data!H778),VLOOKUP(A778,센서로그!$A$2:$C$13,3,FALSE),MiniCase_Data!H778)</x:f>
        <x:v>28.43</x:v>
      </x:c>
      <x:c r="E778" t="n">
        <x:f>IF(AND(MiniCase_Data!C778="야간",MiniCase_Data!F778="M03"),1,0)</x:f>
        <x:v>0</x:v>
      </x:c>
      <x:c r="F778" t="n">
        <x:f>IF(C778="밖",1,0)</x:f>
        <x:v>0</x:v>
      </x:c>
      <x:c r="G778" t="n">
        <x:f>IF(OR(F778=1,E778=1),1,0)</x:f>
        <x:v>0</x:v>
      </x:c>
      <x:c r="H778" t="str">
        <x:f>IF(B778=1,IF(F778=1,"TP","FN"),IF(F778=1,"FP","TN"))</x:f>
        <x:v>TN</x:v>
      </x:c>
      <x:c r="I778" t="str">
        <x:f>IF(B778=1,IF(G778=1,"TP","FN"),IF(G778=1,"FP","TN"))</x:f>
        <x:v>TN</x:v>
      </x:c>
    </x:row>
    <x:row r="779">
      <x:c r="A779" t="str">
        <x:f>MiniCase_Data!A779</x:f>
        <x:v>R00778</x:v>
      </x:c>
      <x:c r="B779" t="n">
        <x:f>IF(MiniCase_Data!O779="불합격",1,0)</x:f>
        <x:v>0</x:v>
      </x:c>
      <x:c r="C779" t="str">
        <x:f>IF(ISBLANK(MiniCase_Data!H779),"missing",IF(OR(MiniCase_Data!H779&lt;27,MiniCase_Data!H779&gt;33),"밖","안"))</x:f>
        <x:v>밖</x:v>
      </x:c>
      <x:c r="D779" t="n">
        <x:f>IF(ISBLANK(MiniCase_Data!H779),VLOOKUP(A779,센서로그!$A$2:$C$13,3,FALSE),MiniCase_Data!H779)</x:f>
        <x:v>26.27</x:v>
      </x:c>
      <x:c r="E779" t="n">
        <x:f>IF(AND(MiniCase_Data!C779="야간",MiniCase_Data!F779="M03"),1,0)</x:f>
        <x:v>1</x:v>
      </x:c>
      <x:c r="F779" t="n">
        <x:f>IF(C779="밖",1,0)</x:f>
        <x:v>1</x:v>
      </x:c>
      <x:c r="G779" t="n">
        <x:f>IF(OR(F779=1,E779=1),1,0)</x:f>
        <x:v>1</x:v>
      </x:c>
      <x:c r="H779" t="str">
        <x:f>IF(B779=1,IF(F779=1,"TP","FN"),IF(F779=1,"FP","TN"))</x:f>
        <x:v>FP</x:v>
      </x:c>
      <x:c r="I779" t="str">
        <x:f>IF(B779=1,IF(G779=1,"TP","FN"),IF(G779=1,"FP","TN"))</x:f>
        <x:v>FP</x:v>
      </x:c>
    </x:row>
    <x:row r="780">
      <x:c r="A780" t="str">
        <x:f>MiniCase_Data!A780</x:f>
        <x:v>R00779</x:v>
      </x:c>
      <x:c r="B780" t="n">
        <x:f>IF(MiniCase_Data!O780="불합격",1,0)</x:f>
        <x:v>0</x:v>
      </x:c>
      <x:c r="C780" t="str">
        <x:f>IF(ISBLANK(MiniCase_Data!H780),"missing",IF(OR(MiniCase_Data!H780&lt;27,MiniCase_Data!H780&gt;33),"밖","안"))</x:f>
        <x:v>안</x:v>
      </x:c>
      <x:c r="D780" t="n">
        <x:f>IF(ISBLANK(MiniCase_Data!H780),VLOOKUP(A780,센서로그!$A$2:$C$13,3,FALSE),MiniCase_Data!H780)</x:f>
        <x:v>32.36</x:v>
      </x:c>
      <x:c r="E780" t="n">
        <x:f>IF(AND(MiniCase_Data!C780="야간",MiniCase_Data!F780="M03"),1,0)</x:f>
        <x:v>0</x:v>
      </x:c>
      <x:c r="F780" t="n">
        <x:f>IF(C780="밖",1,0)</x:f>
        <x:v>0</x:v>
      </x:c>
      <x:c r="G780" t="n">
        <x:f>IF(OR(F780=1,E780=1),1,0)</x:f>
        <x:v>0</x:v>
      </x:c>
      <x:c r="H780" t="str">
        <x:f>IF(B780=1,IF(F780=1,"TP","FN"),IF(F780=1,"FP","TN"))</x:f>
        <x:v>TN</x:v>
      </x:c>
      <x:c r="I780" t="str">
        <x:f>IF(B780=1,IF(G780=1,"TP","FN"),IF(G780=1,"FP","TN"))</x:f>
        <x:v>TN</x:v>
      </x:c>
    </x:row>
    <x:row r="781">
      <x:c r="A781" t="str">
        <x:f>MiniCase_Data!A781</x:f>
        <x:v>R00780</x:v>
      </x:c>
      <x:c r="B781" t="n">
        <x:f>IF(MiniCase_Data!O781="불합격",1,0)</x:f>
        <x:v>0</x:v>
      </x:c>
      <x:c r="C781" t="str">
        <x:f>IF(ISBLANK(MiniCase_Data!H781),"missing",IF(OR(MiniCase_Data!H781&lt;27,MiniCase_Data!H781&gt;33),"밖","안"))</x:f>
        <x:v>안</x:v>
      </x:c>
      <x:c r="D781" t="n">
        <x:f>IF(ISBLANK(MiniCase_Data!H781),VLOOKUP(A781,센서로그!$A$2:$C$13,3,FALSE),MiniCase_Data!H781)</x:f>
        <x:v>31.82</x:v>
      </x:c>
      <x:c r="E781" t="n">
        <x:f>IF(AND(MiniCase_Data!C781="야간",MiniCase_Data!F781="M03"),1,0)</x:f>
        <x:v>0</x:v>
      </x:c>
      <x:c r="F781" t="n">
        <x:f>IF(C781="밖",1,0)</x:f>
        <x:v>0</x:v>
      </x:c>
      <x:c r="G781" t="n">
        <x:f>IF(OR(F781=1,E781=1),1,0)</x:f>
        <x:v>0</x:v>
      </x:c>
      <x:c r="H781" t="str">
        <x:f>IF(B781=1,IF(F781=1,"TP","FN"),IF(F781=1,"FP","TN"))</x:f>
        <x:v>TN</x:v>
      </x:c>
      <x:c r="I781" t="str">
        <x:f>IF(B781=1,IF(G781=1,"TP","FN"),IF(G781=1,"FP","TN"))</x:f>
        <x:v>TN</x:v>
      </x:c>
    </x:row>
    <x:row r="782">
      <x:c r="A782" t="str">
        <x:f>MiniCase_Data!A782</x:f>
        <x:v>R00781</x:v>
      </x:c>
      <x:c r="B782" t="n">
        <x:f>IF(MiniCase_Data!O782="불합격",1,0)</x:f>
        <x:v>0</x:v>
      </x:c>
      <x:c r="C782" t="str">
        <x:f>IF(ISBLANK(MiniCase_Data!H782),"missing",IF(OR(MiniCase_Data!H782&lt;27,MiniCase_Data!H782&gt;33),"밖","안"))</x:f>
        <x:v>안</x:v>
      </x:c>
      <x:c r="D782" t="n">
        <x:f>IF(ISBLANK(MiniCase_Data!H782),VLOOKUP(A782,센서로그!$A$2:$C$13,3,FALSE),MiniCase_Data!H782)</x:f>
        <x:v>28.81</x:v>
      </x:c>
      <x:c r="E782" t="n">
        <x:f>IF(AND(MiniCase_Data!C782="야간",MiniCase_Data!F782="M03"),1,0)</x:f>
        <x:v>0</x:v>
      </x:c>
      <x:c r="F782" t="n">
        <x:f>IF(C782="밖",1,0)</x:f>
        <x:v>0</x:v>
      </x:c>
      <x:c r="G782" t="n">
        <x:f>IF(OR(F782=1,E782=1),1,0)</x:f>
        <x:v>0</x:v>
      </x:c>
      <x:c r="H782" t="str">
        <x:f>IF(B782=1,IF(F782=1,"TP","FN"),IF(F782=1,"FP","TN"))</x:f>
        <x:v>TN</x:v>
      </x:c>
      <x:c r="I782" t="str">
        <x:f>IF(B782=1,IF(G782=1,"TP","FN"),IF(G782=1,"FP","TN"))</x:f>
        <x:v>TN</x:v>
      </x:c>
    </x:row>
    <x:row r="783">
      <x:c r="A783" t="str">
        <x:f>MiniCase_Data!A783</x:f>
        <x:v>R00782</x:v>
      </x:c>
      <x:c r="B783" t="n">
        <x:f>IF(MiniCase_Data!O783="불합격",1,0)</x:f>
        <x:v>0</x:v>
      </x:c>
      <x:c r="C783" t="str">
        <x:f>IF(ISBLANK(MiniCase_Data!H783),"missing",IF(OR(MiniCase_Data!H783&lt;27,MiniCase_Data!H783&gt;33),"밖","안"))</x:f>
        <x:v>안</x:v>
      </x:c>
      <x:c r="D783" t="n">
        <x:f>IF(ISBLANK(MiniCase_Data!H783),VLOOKUP(A783,센서로그!$A$2:$C$13,3,FALSE),MiniCase_Data!H783)</x:f>
        <x:v>29.7</x:v>
      </x:c>
      <x:c r="E783" t="n">
        <x:f>IF(AND(MiniCase_Data!C783="야간",MiniCase_Data!F783="M03"),1,0)</x:f>
        <x:v>0</x:v>
      </x:c>
      <x:c r="F783" t="n">
        <x:f>IF(C783="밖",1,0)</x:f>
        <x:v>0</x:v>
      </x:c>
      <x:c r="G783" t="n">
        <x:f>IF(OR(F783=1,E783=1),1,0)</x:f>
        <x:v>0</x:v>
      </x:c>
      <x:c r="H783" t="str">
        <x:f>IF(B783=1,IF(F783=1,"TP","FN"),IF(F783=1,"FP","TN"))</x:f>
        <x:v>TN</x:v>
      </x:c>
      <x:c r="I783" t="str">
        <x:f>IF(B783=1,IF(G783=1,"TP","FN"),IF(G783=1,"FP","TN"))</x:f>
        <x:v>TN</x:v>
      </x:c>
    </x:row>
    <x:row r="784">
      <x:c r="A784" t="str">
        <x:f>MiniCase_Data!A784</x:f>
        <x:v>R00783</x:v>
      </x:c>
      <x:c r="B784" t="n">
        <x:f>IF(MiniCase_Data!O784="불합격",1,0)</x:f>
        <x:v>0</x:v>
      </x:c>
      <x:c r="C784" t="str">
        <x:f>IF(ISBLANK(MiniCase_Data!H784),"missing",IF(OR(MiniCase_Data!H784&lt;27,MiniCase_Data!H784&gt;33),"밖","안"))</x:f>
        <x:v>안</x:v>
      </x:c>
      <x:c r="D784" t="n">
        <x:f>IF(ISBLANK(MiniCase_Data!H784),VLOOKUP(A784,센서로그!$A$2:$C$13,3,FALSE),MiniCase_Data!H784)</x:f>
        <x:v>31.91</x:v>
      </x:c>
      <x:c r="E784" t="n">
        <x:f>IF(AND(MiniCase_Data!C784="야간",MiniCase_Data!F784="M03"),1,0)</x:f>
        <x:v>0</x:v>
      </x:c>
      <x:c r="F784" t="n">
        <x:f>IF(C784="밖",1,0)</x:f>
        <x:v>0</x:v>
      </x:c>
      <x:c r="G784" t="n">
        <x:f>IF(OR(F784=1,E784=1),1,0)</x:f>
        <x:v>0</x:v>
      </x:c>
      <x:c r="H784" t="str">
        <x:f>IF(B784=1,IF(F784=1,"TP","FN"),IF(F784=1,"FP","TN"))</x:f>
        <x:v>TN</x:v>
      </x:c>
      <x:c r="I784" t="str">
        <x:f>IF(B784=1,IF(G784=1,"TP","FN"),IF(G784=1,"FP","TN"))</x:f>
        <x:v>TN</x:v>
      </x:c>
    </x:row>
    <x:row r="785">
      <x:c r="A785" t="str">
        <x:f>MiniCase_Data!A785</x:f>
        <x:v>R00784</x:v>
      </x:c>
      <x:c r="B785" t="n">
        <x:f>IF(MiniCase_Data!O785="불합격",1,0)</x:f>
        <x:v>0</x:v>
      </x:c>
      <x:c r="C785" t="str">
        <x:f>IF(ISBLANK(MiniCase_Data!H785),"missing",IF(OR(MiniCase_Data!H785&lt;27,MiniCase_Data!H785&gt;33),"밖","안"))</x:f>
        <x:v>안</x:v>
      </x:c>
      <x:c r="D785" t="n">
        <x:f>IF(ISBLANK(MiniCase_Data!H785),VLOOKUP(A785,센서로그!$A$2:$C$13,3,FALSE),MiniCase_Data!H785)</x:f>
        <x:v>27.42</x:v>
      </x:c>
      <x:c r="E785" t="n">
        <x:f>IF(AND(MiniCase_Data!C785="야간",MiniCase_Data!F785="M03"),1,0)</x:f>
        <x:v>0</x:v>
      </x:c>
      <x:c r="F785" t="n">
        <x:f>IF(C785="밖",1,0)</x:f>
        <x:v>0</x:v>
      </x:c>
      <x:c r="G785" t="n">
        <x:f>IF(OR(F785=1,E785=1),1,0)</x:f>
        <x:v>0</x:v>
      </x:c>
      <x:c r="H785" t="str">
        <x:f>IF(B785=1,IF(F785=1,"TP","FN"),IF(F785=1,"FP","TN"))</x:f>
        <x:v>TN</x:v>
      </x:c>
      <x:c r="I785" t="str">
        <x:f>IF(B785=1,IF(G785=1,"TP","FN"),IF(G785=1,"FP","TN"))</x:f>
        <x:v>TN</x:v>
      </x:c>
    </x:row>
    <x:row r="786">
      <x:c r="A786" t="str">
        <x:f>MiniCase_Data!A786</x:f>
        <x:v>R00785</x:v>
      </x:c>
      <x:c r="B786" t="n">
        <x:f>IF(MiniCase_Data!O786="불합격",1,0)</x:f>
        <x:v>0</x:v>
      </x:c>
      <x:c r="C786" t="str">
        <x:f>IF(ISBLANK(MiniCase_Data!H786),"missing",IF(OR(MiniCase_Data!H786&lt;27,MiniCase_Data!H786&gt;33),"밖","안"))</x:f>
        <x:v>밖</x:v>
      </x:c>
      <x:c r="D786" t="n">
        <x:f>IF(ISBLANK(MiniCase_Data!H786),VLOOKUP(A786,센서로그!$A$2:$C$13,3,FALSE),MiniCase_Data!H786)</x:f>
        <x:v>34.09</x:v>
      </x:c>
      <x:c r="E786" t="n">
        <x:f>IF(AND(MiniCase_Data!C786="야간",MiniCase_Data!F786="M03"),1,0)</x:f>
        <x:v>1</x:v>
      </x:c>
      <x:c r="F786" t="n">
        <x:f>IF(C786="밖",1,0)</x:f>
        <x:v>1</x:v>
      </x:c>
      <x:c r="G786" t="n">
        <x:f>IF(OR(F786=1,E786=1),1,0)</x:f>
        <x:v>1</x:v>
      </x:c>
      <x:c r="H786" t="str">
        <x:f>IF(B786=1,IF(F786=1,"TP","FN"),IF(F786=1,"FP","TN"))</x:f>
        <x:v>FP</x:v>
      </x:c>
      <x:c r="I786" t="str">
        <x:f>IF(B786=1,IF(G786=1,"TP","FN"),IF(G786=1,"FP","TN"))</x:f>
        <x:v>FP</x:v>
      </x:c>
    </x:row>
    <x:row r="787">
      <x:c r="A787" t="str">
        <x:f>MiniCase_Data!A787</x:f>
        <x:v>R00786</x:v>
      </x:c>
      <x:c r="B787" t="n">
        <x:f>IF(MiniCase_Data!O787="불합격",1,0)</x:f>
        <x:v>0</x:v>
      </x:c>
      <x:c r="C787" t="str">
        <x:f>IF(ISBLANK(MiniCase_Data!H787),"missing",IF(OR(MiniCase_Data!H787&lt;27,MiniCase_Data!H787&gt;33),"밖","안"))</x:f>
        <x:v>안</x:v>
      </x:c>
      <x:c r="D787" t="n">
        <x:f>IF(ISBLANK(MiniCase_Data!H787),VLOOKUP(A787,센서로그!$A$2:$C$13,3,FALSE),MiniCase_Data!H787)</x:f>
        <x:v>31.03</x:v>
      </x:c>
      <x:c r="E787" t="n">
        <x:f>IF(AND(MiniCase_Data!C787="야간",MiniCase_Data!F787="M03"),1,0)</x:f>
        <x:v>0</x:v>
      </x:c>
      <x:c r="F787" t="n">
        <x:f>IF(C787="밖",1,0)</x:f>
        <x:v>0</x:v>
      </x:c>
      <x:c r="G787" t="n">
        <x:f>IF(OR(F787=1,E787=1),1,0)</x:f>
        <x:v>0</x:v>
      </x:c>
      <x:c r="H787" t="str">
        <x:f>IF(B787=1,IF(F787=1,"TP","FN"),IF(F787=1,"FP","TN"))</x:f>
        <x:v>TN</x:v>
      </x:c>
      <x:c r="I787" t="str">
        <x:f>IF(B787=1,IF(G787=1,"TP","FN"),IF(G787=1,"FP","TN"))</x:f>
        <x:v>TN</x:v>
      </x:c>
    </x:row>
    <x:row r="788">
      <x:c r="A788" t="str">
        <x:f>MiniCase_Data!A788</x:f>
        <x:v>R00787</x:v>
      </x:c>
      <x:c r="B788" t="n">
        <x:f>IF(MiniCase_Data!O788="불합격",1,0)</x:f>
        <x:v>0</x:v>
      </x:c>
      <x:c r="C788" t="str">
        <x:f>IF(ISBLANK(MiniCase_Data!H788),"missing",IF(OR(MiniCase_Data!H788&lt;27,MiniCase_Data!H788&gt;33),"밖","안"))</x:f>
        <x:v>안</x:v>
      </x:c>
      <x:c r="D788" t="n">
        <x:f>IF(ISBLANK(MiniCase_Data!H788),VLOOKUP(A788,센서로그!$A$2:$C$13,3,FALSE),MiniCase_Data!H788)</x:f>
        <x:v>32.07</x:v>
      </x:c>
      <x:c r="E788" t="n">
        <x:f>IF(AND(MiniCase_Data!C788="야간",MiniCase_Data!F788="M03"),1,0)</x:f>
        <x:v>0</x:v>
      </x:c>
      <x:c r="F788" t="n">
        <x:f>IF(C788="밖",1,0)</x:f>
        <x:v>0</x:v>
      </x:c>
      <x:c r="G788" t="n">
        <x:f>IF(OR(F788=1,E788=1),1,0)</x:f>
        <x:v>0</x:v>
      </x:c>
      <x:c r="H788" t="str">
        <x:f>IF(B788=1,IF(F788=1,"TP","FN"),IF(F788=1,"FP","TN"))</x:f>
        <x:v>TN</x:v>
      </x:c>
      <x:c r="I788" t="str">
        <x:f>IF(B788=1,IF(G788=1,"TP","FN"),IF(G788=1,"FP","TN"))</x:f>
        <x:v>TN</x:v>
      </x:c>
    </x:row>
    <x:row r="789">
      <x:c r="A789" t="str">
        <x:f>MiniCase_Data!A789</x:f>
        <x:v>R00788</x:v>
      </x:c>
      <x:c r="B789" t="n">
        <x:f>IF(MiniCase_Data!O789="불합격",1,0)</x:f>
        <x:v>0</x:v>
      </x:c>
      <x:c r="C789" t="str">
        <x:f>IF(ISBLANK(MiniCase_Data!H789),"missing",IF(OR(MiniCase_Data!H789&lt;27,MiniCase_Data!H789&gt;33),"밖","안"))</x:f>
        <x:v>안</x:v>
      </x:c>
      <x:c r="D789" t="n">
        <x:f>IF(ISBLANK(MiniCase_Data!H789),VLOOKUP(A789,센서로그!$A$2:$C$13,3,FALSE),MiniCase_Data!H789)</x:f>
        <x:v>31.22</x:v>
      </x:c>
      <x:c r="E789" t="n">
        <x:f>IF(AND(MiniCase_Data!C789="야간",MiniCase_Data!F789="M03"),1,0)</x:f>
        <x:v>0</x:v>
      </x:c>
      <x:c r="F789" t="n">
        <x:f>IF(C789="밖",1,0)</x:f>
        <x:v>0</x:v>
      </x:c>
      <x:c r="G789" t="n">
        <x:f>IF(OR(F789=1,E789=1),1,0)</x:f>
        <x:v>0</x:v>
      </x:c>
      <x:c r="H789" t="str">
        <x:f>IF(B789=1,IF(F789=1,"TP","FN"),IF(F789=1,"FP","TN"))</x:f>
        <x:v>TN</x:v>
      </x:c>
      <x:c r="I789" t="str">
        <x:f>IF(B789=1,IF(G789=1,"TP","FN"),IF(G789=1,"FP","TN"))</x:f>
        <x:v>TN</x:v>
      </x:c>
    </x:row>
    <x:row r="790">
      <x:c r="A790" t="str">
        <x:f>MiniCase_Data!A790</x:f>
        <x:v>R00789</x:v>
      </x:c>
      <x:c r="B790" t="n">
        <x:f>IF(MiniCase_Data!O790="불합격",1,0)</x:f>
        <x:v>0</x:v>
      </x:c>
      <x:c r="C790" t="str">
        <x:f>IF(ISBLANK(MiniCase_Data!H790),"missing",IF(OR(MiniCase_Data!H790&lt;27,MiniCase_Data!H790&gt;33),"밖","안"))</x:f>
        <x:v>안</x:v>
      </x:c>
      <x:c r="D790" t="n">
        <x:f>IF(ISBLANK(MiniCase_Data!H790),VLOOKUP(A790,센서로그!$A$2:$C$13,3,FALSE),MiniCase_Data!H790)</x:f>
        <x:v>30.25</x:v>
      </x:c>
      <x:c r="E790" t="n">
        <x:f>IF(AND(MiniCase_Data!C790="야간",MiniCase_Data!F790="M03"),1,0)</x:f>
        <x:v>0</x:v>
      </x:c>
      <x:c r="F790" t="n">
        <x:f>IF(C790="밖",1,0)</x:f>
        <x:v>0</x:v>
      </x:c>
      <x:c r="G790" t="n">
        <x:f>IF(OR(F790=1,E790=1),1,0)</x:f>
        <x:v>0</x:v>
      </x:c>
      <x:c r="H790" t="str">
        <x:f>IF(B790=1,IF(F790=1,"TP","FN"),IF(F790=1,"FP","TN"))</x:f>
        <x:v>TN</x:v>
      </x:c>
      <x:c r="I790" t="str">
        <x:f>IF(B790=1,IF(G790=1,"TP","FN"),IF(G790=1,"FP","TN"))</x:f>
        <x:v>TN</x:v>
      </x:c>
    </x:row>
    <x:row r="791">
      <x:c r="A791" t="str">
        <x:f>MiniCase_Data!A791</x:f>
        <x:v>R00790</x:v>
      </x:c>
      <x:c r="B791" t="n">
        <x:f>IF(MiniCase_Data!O791="불합격",1,0)</x:f>
        <x:v>0</x:v>
      </x:c>
      <x:c r="C791" t="str">
        <x:f>IF(ISBLANK(MiniCase_Data!H791),"missing",IF(OR(MiniCase_Data!H791&lt;27,MiniCase_Data!H791&gt;33),"밖","안"))</x:f>
        <x:v>안</x:v>
      </x:c>
      <x:c r="D791" t="n">
        <x:f>IF(ISBLANK(MiniCase_Data!H791),VLOOKUP(A791,센서로그!$A$2:$C$13,3,FALSE),MiniCase_Data!H791)</x:f>
        <x:v>27.47</x:v>
      </x:c>
      <x:c r="E791" t="n">
        <x:f>IF(AND(MiniCase_Data!C791="야간",MiniCase_Data!F791="M03"),1,0)</x:f>
        <x:v>0</x:v>
      </x:c>
      <x:c r="F791" t="n">
        <x:f>IF(C791="밖",1,0)</x:f>
        <x:v>0</x:v>
      </x:c>
      <x:c r="G791" t="n">
        <x:f>IF(OR(F791=1,E791=1),1,0)</x:f>
        <x:v>0</x:v>
      </x:c>
      <x:c r="H791" t="str">
        <x:f>IF(B791=1,IF(F791=1,"TP","FN"),IF(F791=1,"FP","TN"))</x:f>
        <x:v>TN</x:v>
      </x:c>
      <x:c r="I791" t="str">
        <x:f>IF(B791=1,IF(G791=1,"TP","FN"),IF(G791=1,"FP","TN"))</x:f>
        <x:v>TN</x:v>
      </x:c>
    </x:row>
    <x:row r="792">
      <x:c r="A792" t="str">
        <x:f>MiniCase_Data!A792</x:f>
        <x:v>R00791</x:v>
      </x:c>
      <x:c r="B792" t="n">
        <x:f>IF(MiniCase_Data!O792="불합격",1,0)</x:f>
        <x:v>0</x:v>
      </x:c>
      <x:c r="C792" t="str">
        <x:f>IF(ISBLANK(MiniCase_Data!H792),"missing",IF(OR(MiniCase_Data!H792&lt;27,MiniCase_Data!H792&gt;33),"밖","안"))</x:f>
        <x:v>안</x:v>
      </x:c>
      <x:c r="D792" t="n">
        <x:f>IF(ISBLANK(MiniCase_Data!H792),VLOOKUP(A792,센서로그!$A$2:$C$13,3,FALSE),MiniCase_Data!H792)</x:f>
        <x:v>30.06</x:v>
      </x:c>
      <x:c r="E792" t="n">
        <x:f>IF(AND(MiniCase_Data!C792="야간",MiniCase_Data!F792="M03"),1,0)</x:f>
        <x:v>0</x:v>
      </x:c>
      <x:c r="F792" t="n">
        <x:f>IF(C792="밖",1,0)</x:f>
        <x:v>0</x:v>
      </x:c>
      <x:c r="G792" t="n">
        <x:f>IF(OR(F792=1,E792=1),1,0)</x:f>
        <x:v>0</x:v>
      </x:c>
      <x:c r="H792" t="str">
        <x:f>IF(B792=1,IF(F792=1,"TP","FN"),IF(F792=1,"FP","TN"))</x:f>
        <x:v>TN</x:v>
      </x:c>
      <x:c r="I792" t="str">
        <x:f>IF(B792=1,IF(G792=1,"TP","FN"),IF(G792=1,"FP","TN"))</x:f>
        <x:v>TN</x:v>
      </x:c>
    </x:row>
    <x:row r="793">
      <x:c r="A793" t="str">
        <x:f>MiniCase_Data!A793</x:f>
        <x:v>R00792</x:v>
      </x:c>
      <x:c r="B793" t="n">
        <x:f>IF(MiniCase_Data!O793="불합격",1,0)</x:f>
        <x:v>0</x:v>
      </x:c>
      <x:c r="C793" t="str">
        <x:f>IF(ISBLANK(MiniCase_Data!H793),"missing",IF(OR(MiniCase_Data!H793&lt;27,MiniCase_Data!H793&gt;33),"밖","안"))</x:f>
        <x:v>안</x:v>
      </x:c>
      <x:c r="D793" t="n">
        <x:f>IF(ISBLANK(MiniCase_Data!H793),VLOOKUP(A793,센서로그!$A$2:$C$13,3,FALSE),MiniCase_Data!H793)</x:f>
        <x:v>29.21</x:v>
      </x:c>
      <x:c r="E793" t="n">
        <x:f>IF(AND(MiniCase_Data!C793="야간",MiniCase_Data!F793="M03"),1,0)</x:f>
        <x:v>0</x:v>
      </x:c>
      <x:c r="F793" t="n">
        <x:f>IF(C793="밖",1,0)</x:f>
        <x:v>0</x:v>
      </x:c>
      <x:c r="G793" t="n">
        <x:f>IF(OR(F793=1,E793=1),1,0)</x:f>
        <x:v>0</x:v>
      </x:c>
      <x:c r="H793" t="str">
        <x:f>IF(B793=1,IF(F793=1,"TP","FN"),IF(F793=1,"FP","TN"))</x:f>
        <x:v>TN</x:v>
      </x:c>
      <x:c r="I793" t="str">
        <x:f>IF(B793=1,IF(G793=1,"TP","FN"),IF(G793=1,"FP","TN"))</x:f>
        <x:v>TN</x:v>
      </x:c>
    </x:row>
    <x:row r="794">
      <x:c r="A794" t="str">
        <x:f>MiniCase_Data!A794</x:f>
        <x:v>R00793</x:v>
      </x:c>
      <x:c r="B794" t="n">
        <x:f>IF(MiniCase_Data!O794="불합격",1,0)</x:f>
        <x:v>0</x:v>
      </x:c>
      <x:c r="C794" t="str">
        <x:f>IF(ISBLANK(MiniCase_Data!H794),"missing",IF(OR(MiniCase_Data!H794&lt;27,MiniCase_Data!H794&gt;33),"밖","안"))</x:f>
        <x:v>안</x:v>
      </x:c>
      <x:c r="D794" t="n">
        <x:f>IF(ISBLANK(MiniCase_Data!H794),VLOOKUP(A794,센서로그!$A$2:$C$13,3,FALSE),MiniCase_Data!H794)</x:f>
        <x:v>30.21</x:v>
      </x:c>
      <x:c r="E794" t="n">
        <x:f>IF(AND(MiniCase_Data!C794="야간",MiniCase_Data!F794="M03"),1,0)</x:f>
        <x:v>0</x:v>
      </x:c>
      <x:c r="F794" t="n">
        <x:f>IF(C794="밖",1,0)</x:f>
        <x:v>0</x:v>
      </x:c>
      <x:c r="G794" t="n">
        <x:f>IF(OR(F794=1,E794=1),1,0)</x:f>
        <x:v>0</x:v>
      </x:c>
      <x:c r="H794" t="str">
        <x:f>IF(B794=1,IF(F794=1,"TP","FN"),IF(F794=1,"FP","TN"))</x:f>
        <x:v>TN</x:v>
      </x:c>
      <x:c r="I794" t="str">
        <x:f>IF(B794=1,IF(G794=1,"TP","FN"),IF(G794=1,"FP","TN"))</x:f>
        <x:v>TN</x:v>
      </x:c>
    </x:row>
    <x:row r="795">
      <x:c r="A795" t="str">
        <x:f>MiniCase_Data!A795</x:f>
        <x:v>R00794</x:v>
      </x:c>
      <x:c r="B795" t="n">
        <x:f>IF(MiniCase_Data!O795="불합격",1,0)</x:f>
        <x:v>0</x:v>
      </x:c>
      <x:c r="C795" t="str">
        <x:f>IF(ISBLANK(MiniCase_Data!H795),"missing",IF(OR(MiniCase_Data!H795&lt;27,MiniCase_Data!H795&gt;33),"밖","안"))</x:f>
        <x:v>안</x:v>
      </x:c>
      <x:c r="D795" t="n">
        <x:f>IF(ISBLANK(MiniCase_Data!H795),VLOOKUP(A795,센서로그!$A$2:$C$13,3,FALSE),MiniCase_Data!H795)</x:f>
        <x:v>27.8</x:v>
      </x:c>
      <x:c r="E795" t="n">
        <x:f>IF(AND(MiniCase_Data!C795="야간",MiniCase_Data!F795="M03"),1,0)</x:f>
        <x:v>0</x:v>
      </x:c>
      <x:c r="F795" t="n">
        <x:f>IF(C795="밖",1,0)</x:f>
        <x:v>0</x:v>
      </x:c>
      <x:c r="G795" t="n">
        <x:f>IF(OR(F795=1,E795=1),1,0)</x:f>
        <x:v>0</x:v>
      </x:c>
      <x:c r="H795" t="str">
        <x:f>IF(B795=1,IF(F795=1,"TP","FN"),IF(F795=1,"FP","TN"))</x:f>
        <x:v>TN</x:v>
      </x:c>
      <x:c r="I795" t="str">
        <x:f>IF(B795=1,IF(G795=1,"TP","FN"),IF(G795=1,"FP","TN"))</x:f>
        <x:v>TN</x:v>
      </x:c>
    </x:row>
    <x:row r="796">
      <x:c r="A796" t="str">
        <x:f>MiniCase_Data!A796</x:f>
        <x:v>R00795</x:v>
      </x:c>
      <x:c r="B796" t="n">
        <x:f>IF(MiniCase_Data!O796="불합격",1,0)</x:f>
        <x:v>0</x:v>
      </x:c>
      <x:c r="C796" t="str">
        <x:f>IF(ISBLANK(MiniCase_Data!H796),"missing",IF(OR(MiniCase_Data!H796&lt;27,MiniCase_Data!H796&gt;33),"밖","안"))</x:f>
        <x:v>밖</x:v>
      </x:c>
      <x:c r="D796" t="n">
        <x:f>IF(ISBLANK(MiniCase_Data!H796),VLOOKUP(A796,센서로그!$A$2:$C$13,3,FALSE),MiniCase_Data!H796)</x:f>
        <x:v>34.15</x:v>
      </x:c>
      <x:c r="E796" t="n">
        <x:f>IF(AND(MiniCase_Data!C796="야간",MiniCase_Data!F796="M03"),1,0)</x:f>
        <x:v>1</x:v>
      </x:c>
      <x:c r="F796" t="n">
        <x:f>IF(C796="밖",1,0)</x:f>
        <x:v>1</x:v>
      </x:c>
      <x:c r="G796" t="n">
        <x:f>IF(OR(F796=1,E796=1),1,0)</x:f>
        <x:v>1</x:v>
      </x:c>
      <x:c r="H796" t="str">
        <x:f>IF(B796=1,IF(F796=1,"TP","FN"),IF(F796=1,"FP","TN"))</x:f>
        <x:v>FP</x:v>
      </x:c>
      <x:c r="I796" t="str">
        <x:f>IF(B796=1,IF(G796=1,"TP","FN"),IF(G796=1,"FP","TN"))</x:f>
        <x:v>FP</x:v>
      </x:c>
    </x:row>
    <x:row r="797">
      <x:c r="A797" t="str">
        <x:f>MiniCase_Data!A797</x:f>
        <x:v>R00796</x:v>
      </x:c>
      <x:c r="B797" t="n">
        <x:f>IF(MiniCase_Data!O797="불합격",1,0)</x:f>
        <x:v>0</x:v>
      </x:c>
      <x:c r="C797" t="str">
        <x:f>IF(ISBLANK(MiniCase_Data!H797),"missing",IF(OR(MiniCase_Data!H797&lt;27,MiniCase_Data!H797&gt;33),"밖","안"))</x:f>
        <x:v>안</x:v>
      </x:c>
      <x:c r="D797" t="n">
        <x:f>IF(ISBLANK(MiniCase_Data!H797),VLOOKUP(A797,센서로그!$A$2:$C$13,3,FALSE),MiniCase_Data!H797)</x:f>
        <x:v>27.98</x:v>
      </x:c>
      <x:c r="E797" t="n">
        <x:f>IF(AND(MiniCase_Data!C797="야간",MiniCase_Data!F797="M03"),1,0)</x:f>
        <x:v>0</x:v>
      </x:c>
      <x:c r="F797" t="n">
        <x:f>IF(C797="밖",1,0)</x:f>
        <x:v>0</x:v>
      </x:c>
      <x:c r="G797" t="n">
        <x:f>IF(OR(F797=1,E797=1),1,0)</x:f>
        <x:v>0</x:v>
      </x:c>
      <x:c r="H797" t="str">
        <x:f>IF(B797=1,IF(F797=1,"TP","FN"),IF(F797=1,"FP","TN"))</x:f>
        <x:v>TN</x:v>
      </x:c>
      <x:c r="I797" t="str">
        <x:f>IF(B797=1,IF(G797=1,"TP","FN"),IF(G797=1,"FP","TN"))</x:f>
        <x:v>TN</x:v>
      </x:c>
    </x:row>
    <x:row r="798">
      <x:c r="A798" t="str">
        <x:f>MiniCase_Data!A798</x:f>
        <x:v>R00797</x:v>
      </x:c>
      <x:c r="B798" t="n">
        <x:f>IF(MiniCase_Data!O798="불합격",1,0)</x:f>
        <x:v>0</x:v>
      </x:c>
      <x:c r="C798" t="str">
        <x:f>IF(ISBLANK(MiniCase_Data!H798),"missing",IF(OR(MiniCase_Data!H798&lt;27,MiniCase_Data!H798&gt;33),"밖","안"))</x:f>
        <x:v>안</x:v>
      </x:c>
      <x:c r="D798" t="n">
        <x:f>IF(ISBLANK(MiniCase_Data!H798),VLOOKUP(A798,센서로그!$A$2:$C$13,3,FALSE),MiniCase_Data!H798)</x:f>
        <x:v>32.53</x:v>
      </x:c>
      <x:c r="E798" t="n">
        <x:f>IF(AND(MiniCase_Data!C798="야간",MiniCase_Data!F798="M03"),1,0)</x:f>
        <x:v>1</x:v>
      </x:c>
      <x:c r="F798" t="n">
        <x:f>IF(C798="밖",1,0)</x:f>
        <x:v>0</x:v>
      </x:c>
      <x:c r="G798" t="n">
        <x:f>IF(OR(F798=1,E798=1),1,0)</x:f>
        <x:v>1</x:v>
      </x:c>
      <x:c r="H798" t="str">
        <x:f>IF(B798=1,IF(F798=1,"TP","FN"),IF(F798=1,"FP","TN"))</x:f>
        <x:v>TN</x:v>
      </x:c>
      <x:c r="I798" t="str">
        <x:f>IF(B798=1,IF(G798=1,"TP","FN"),IF(G798=1,"FP","TN"))</x:f>
        <x:v>FP</x:v>
      </x:c>
    </x:row>
    <x:row r="799">
      <x:c r="A799" t="str">
        <x:f>MiniCase_Data!A799</x:f>
        <x:v>R00798</x:v>
      </x:c>
      <x:c r="B799" t="n">
        <x:f>IF(MiniCase_Data!O799="불합격",1,0)</x:f>
        <x:v>0</x:v>
      </x:c>
      <x:c r="C799" t="str">
        <x:f>IF(ISBLANK(MiniCase_Data!H799),"missing",IF(OR(MiniCase_Data!H799&lt;27,MiniCase_Data!H799&gt;33),"밖","안"))</x:f>
        <x:v>안</x:v>
      </x:c>
      <x:c r="D799" t="n">
        <x:f>IF(ISBLANK(MiniCase_Data!H799),VLOOKUP(A799,센서로그!$A$2:$C$13,3,FALSE),MiniCase_Data!H799)</x:f>
        <x:v>28.59</x:v>
      </x:c>
      <x:c r="E799" t="n">
        <x:f>IF(AND(MiniCase_Data!C799="야간",MiniCase_Data!F799="M03"),1,0)</x:f>
        <x:v>0</x:v>
      </x:c>
      <x:c r="F799" t="n">
        <x:f>IF(C799="밖",1,0)</x:f>
        <x:v>0</x:v>
      </x:c>
      <x:c r="G799" t="n">
        <x:f>IF(OR(F799=1,E799=1),1,0)</x:f>
        <x:v>0</x:v>
      </x:c>
      <x:c r="H799" t="str">
        <x:f>IF(B799=1,IF(F799=1,"TP","FN"),IF(F799=1,"FP","TN"))</x:f>
        <x:v>TN</x:v>
      </x:c>
      <x:c r="I799" t="str">
        <x:f>IF(B799=1,IF(G799=1,"TP","FN"),IF(G799=1,"FP","TN"))</x:f>
        <x:v>TN</x:v>
      </x:c>
    </x:row>
    <x:row r="800">
      <x:c r="A800" t="str">
        <x:f>MiniCase_Data!A800</x:f>
        <x:v>R00799</x:v>
      </x:c>
      <x:c r="B800" t="n">
        <x:f>IF(MiniCase_Data!O800="불합격",1,0)</x:f>
        <x:v>0</x:v>
      </x:c>
      <x:c r="C800" t="str">
        <x:f>IF(ISBLANK(MiniCase_Data!H800),"missing",IF(OR(MiniCase_Data!H800&lt;27,MiniCase_Data!H800&gt;33),"밖","안"))</x:f>
        <x:v>안</x:v>
      </x:c>
      <x:c r="D800" t="n">
        <x:f>IF(ISBLANK(MiniCase_Data!H800),VLOOKUP(A800,센서로그!$A$2:$C$13,3,FALSE),MiniCase_Data!H800)</x:f>
        <x:v>28.99</x:v>
      </x:c>
      <x:c r="E800" t="n">
        <x:f>IF(AND(MiniCase_Data!C800="야간",MiniCase_Data!F800="M03"),1,0)</x:f>
        <x:v>0</x:v>
      </x:c>
      <x:c r="F800" t="n">
        <x:f>IF(C800="밖",1,0)</x:f>
        <x:v>0</x:v>
      </x:c>
      <x:c r="G800" t="n">
        <x:f>IF(OR(F800=1,E800=1),1,0)</x:f>
        <x:v>0</x:v>
      </x:c>
      <x:c r="H800" t="str">
        <x:f>IF(B800=1,IF(F800=1,"TP","FN"),IF(F800=1,"FP","TN"))</x:f>
        <x:v>TN</x:v>
      </x:c>
      <x:c r="I800" t="str">
        <x:f>IF(B800=1,IF(G800=1,"TP","FN"),IF(G800=1,"FP","TN"))</x:f>
        <x:v>TN</x:v>
      </x:c>
    </x:row>
    <x:row r="801">
      <x:c r="A801" t="str">
        <x:f>MiniCase_Data!A801</x:f>
        <x:v>R00800</x:v>
      </x:c>
      <x:c r="B801" t="n">
        <x:f>IF(MiniCase_Data!O801="불합격",1,0)</x:f>
        <x:v>0</x:v>
      </x:c>
      <x:c r="C801" t="str">
        <x:f>IF(ISBLANK(MiniCase_Data!H801),"missing",IF(OR(MiniCase_Data!H801&lt;27,MiniCase_Data!H801&gt;33),"밖","안"))</x:f>
        <x:v>안</x:v>
      </x:c>
      <x:c r="D801" t="n">
        <x:f>IF(ISBLANK(MiniCase_Data!H801),VLOOKUP(A801,센서로그!$A$2:$C$13,3,FALSE),MiniCase_Data!H801)</x:f>
        <x:v>27.45</x:v>
      </x:c>
      <x:c r="E801" t="n">
        <x:f>IF(AND(MiniCase_Data!C801="야간",MiniCase_Data!F801="M03"),1,0)</x:f>
        <x:v>0</x:v>
      </x:c>
      <x:c r="F801" t="n">
        <x:f>IF(C801="밖",1,0)</x:f>
        <x:v>0</x:v>
      </x:c>
      <x:c r="G801" t="n">
        <x:f>IF(OR(F801=1,E801=1),1,0)</x:f>
        <x:v>0</x:v>
      </x:c>
      <x:c r="H801" t="str">
        <x:f>IF(B801=1,IF(F801=1,"TP","FN"),IF(F801=1,"FP","TN"))</x:f>
        <x:v>TN</x:v>
      </x:c>
      <x:c r="I801" t="str">
        <x:f>IF(B801=1,IF(G801=1,"TP","FN"),IF(G801=1,"FP","TN"))</x:f>
        <x:v>TN</x:v>
      </x:c>
    </x:row>
    <x:row r="802">
      <x:c r="A802" t="str">
        <x:f>MiniCase_Data!A802</x:f>
        <x:v>R00801</x:v>
      </x:c>
      <x:c r="B802" t="n">
        <x:f>IF(MiniCase_Data!O802="불합격",1,0)</x:f>
        <x:v>0</x:v>
      </x:c>
      <x:c r="C802" t="str">
        <x:f>IF(ISBLANK(MiniCase_Data!H802),"missing",IF(OR(MiniCase_Data!H802&lt;27,MiniCase_Data!H802&gt;33),"밖","안"))</x:f>
        <x:v>밖</x:v>
      </x:c>
      <x:c r="D802" t="n">
        <x:f>IF(ISBLANK(MiniCase_Data!H802),VLOOKUP(A802,센서로그!$A$2:$C$13,3,FALSE),MiniCase_Data!H802)</x:f>
        <x:v>33.52</x:v>
      </x:c>
      <x:c r="E802" t="n">
        <x:f>IF(AND(MiniCase_Data!C802="야간",MiniCase_Data!F802="M03"),1,0)</x:f>
        <x:v>1</x:v>
      </x:c>
      <x:c r="F802" t="n">
        <x:f>IF(C802="밖",1,0)</x:f>
        <x:v>1</x:v>
      </x:c>
      <x:c r="G802" t="n">
        <x:f>IF(OR(F802=1,E802=1),1,0)</x:f>
        <x:v>1</x:v>
      </x:c>
      <x:c r="H802" t="str">
        <x:f>IF(B802=1,IF(F802=1,"TP","FN"),IF(F802=1,"FP","TN"))</x:f>
        <x:v>FP</x:v>
      </x:c>
      <x:c r="I802" t="str">
        <x:f>IF(B802=1,IF(G802=1,"TP","FN"),IF(G802=1,"FP","TN"))</x:f>
        <x:v>FP</x:v>
      </x:c>
    </x:row>
    <x:row r="803">
      <x:c r="A803" t="str">
        <x:f>MiniCase_Data!A803</x:f>
        <x:v>R00802</x:v>
      </x:c>
      <x:c r="B803" t="n">
        <x:f>IF(MiniCase_Data!O803="불합격",1,0)</x:f>
        <x:v>0</x:v>
      </x:c>
      <x:c r="C803" t="str">
        <x:f>IF(ISBLANK(MiniCase_Data!H803),"missing",IF(OR(MiniCase_Data!H803&lt;27,MiniCase_Data!H803&gt;33),"밖","안"))</x:f>
        <x:v>안</x:v>
      </x:c>
      <x:c r="D803" t="n">
        <x:f>IF(ISBLANK(MiniCase_Data!H803),VLOOKUP(A803,센서로그!$A$2:$C$13,3,FALSE),MiniCase_Data!H803)</x:f>
        <x:v>28.04</x:v>
      </x:c>
      <x:c r="E803" t="n">
        <x:f>IF(AND(MiniCase_Data!C803="야간",MiniCase_Data!F803="M03"),1,0)</x:f>
        <x:v>0</x:v>
      </x:c>
      <x:c r="F803" t="n">
        <x:f>IF(C803="밖",1,0)</x:f>
        <x:v>0</x:v>
      </x:c>
      <x:c r="G803" t="n">
        <x:f>IF(OR(F803=1,E803=1),1,0)</x:f>
        <x:v>0</x:v>
      </x:c>
      <x:c r="H803" t="str">
        <x:f>IF(B803=1,IF(F803=1,"TP","FN"),IF(F803=1,"FP","TN"))</x:f>
        <x:v>TN</x:v>
      </x:c>
      <x:c r="I803" t="str">
        <x:f>IF(B803=1,IF(G803=1,"TP","FN"),IF(G803=1,"FP","TN"))</x:f>
        <x:v>TN</x:v>
      </x:c>
    </x:row>
    <x:row r="804">
      <x:c r="A804" t="str">
        <x:f>MiniCase_Data!A804</x:f>
        <x:v>R00803</x:v>
      </x:c>
      <x:c r="B804" t="n">
        <x:f>IF(MiniCase_Data!O804="불합격",1,0)</x:f>
        <x:v>0</x:v>
      </x:c>
      <x:c r="C804" t="str">
        <x:f>IF(ISBLANK(MiniCase_Data!H804),"missing",IF(OR(MiniCase_Data!H804&lt;27,MiniCase_Data!H804&gt;33),"밖","안"))</x:f>
        <x:v>안</x:v>
      </x:c>
      <x:c r="D804" t="n">
        <x:f>IF(ISBLANK(MiniCase_Data!H804),VLOOKUP(A804,센서로그!$A$2:$C$13,3,FALSE),MiniCase_Data!H804)</x:f>
        <x:v>28.34</x:v>
      </x:c>
      <x:c r="E804" t="n">
        <x:f>IF(AND(MiniCase_Data!C804="야간",MiniCase_Data!F804="M03"),1,0)</x:f>
        <x:v>0</x:v>
      </x:c>
      <x:c r="F804" t="n">
        <x:f>IF(C804="밖",1,0)</x:f>
        <x:v>0</x:v>
      </x:c>
      <x:c r="G804" t="n">
        <x:f>IF(OR(F804=1,E804=1),1,0)</x:f>
        <x:v>0</x:v>
      </x:c>
      <x:c r="H804" t="str">
        <x:f>IF(B804=1,IF(F804=1,"TP","FN"),IF(F804=1,"FP","TN"))</x:f>
        <x:v>TN</x:v>
      </x:c>
      <x:c r="I804" t="str">
        <x:f>IF(B804=1,IF(G804=1,"TP","FN"),IF(G804=1,"FP","TN"))</x:f>
        <x:v>TN</x:v>
      </x:c>
    </x:row>
    <x:row r="805">
      <x:c r="A805" t="str">
        <x:f>MiniCase_Data!A805</x:f>
        <x:v>R00804</x:v>
      </x:c>
      <x:c r="B805" t="n">
        <x:f>IF(MiniCase_Data!O805="불합격",1,0)</x:f>
        <x:v>0</x:v>
      </x:c>
      <x:c r="C805" t="str">
        <x:f>IF(ISBLANK(MiniCase_Data!H805),"missing",IF(OR(MiniCase_Data!H805&lt;27,MiniCase_Data!H805&gt;33),"밖","안"))</x:f>
        <x:v>안</x:v>
      </x:c>
      <x:c r="D805" t="n">
        <x:f>IF(ISBLANK(MiniCase_Data!H805),VLOOKUP(A805,센서로그!$A$2:$C$13,3,FALSE),MiniCase_Data!H805)</x:f>
        <x:v>29.32</x:v>
      </x:c>
      <x:c r="E805" t="n">
        <x:f>IF(AND(MiniCase_Data!C805="야간",MiniCase_Data!F805="M03"),1,0)</x:f>
        <x:v>0</x:v>
      </x:c>
      <x:c r="F805" t="n">
        <x:f>IF(C805="밖",1,0)</x:f>
        <x:v>0</x:v>
      </x:c>
      <x:c r="G805" t="n">
        <x:f>IF(OR(F805=1,E805=1),1,0)</x:f>
        <x:v>0</x:v>
      </x:c>
      <x:c r="H805" t="str">
        <x:f>IF(B805=1,IF(F805=1,"TP","FN"),IF(F805=1,"FP","TN"))</x:f>
        <x:v>TN</x:v>
      </x:c>
      <x:c r="I805" t="str">
        <x:f>IF(B805=1,IF(G805=1,"TP","FN"),IF(G805=1,"FP","TN"))</x:f>
        <x:v>TN</x:v>
      </x:c>
    </x:row>
    <x:row r="806">
      <x:c r="A806" t="str">
        <x:f>MiniCase_Data!A806</x:f>
        <x:v>R00805</x:v>
      </x:c>
      <x:c r="B806" t="n">
        <x:f>IF(MiniCase_Data!O806="불합격",1,0)</x:f>
        <x:v>0</x:v>
      </x:c>
      <x:c r="C806" t="str">
        <x:f>IF(ISBLANK(MiniCase_Data!H806),"missing",IF(OR(MiniCase_Data!H806&lt;27,MiniCase_Data!H806&gt;33),"밖","안"))</x:f>
        <x:v>안</x:v>
      </x:c>
      <x:c r="D806" t="n">
        <x:f>IF(ISBLANK(MiniCase_Data!H806),VLOOKUP(A806,센서로그!$A$2:$C$13,3,FALSE),MiniCase_Data!H806)</x:f>
        <x:v>30.37</x:v>
      </x:c>
      <x:c r="E806" t="n">
        <x:f>IF(AND(MiniCase_Data!C806="야간",MiniCase_Data!F806="M03"),1,0)</x:f>
        <x:v>0</x:v>
      </x:c>
      <x:c r="F806" t="n">
        <x:f>IF(C806="밖",1,0)</x:f>
        <x:v>0</x:v>
      </x:c>
      <x:c r="G806" t="n">
        <x:f>IF(OR(F806=1,E806=1),1,0)</x:f>
        <x:v>0</x:v>
      </x:c>
      <x:c r="H806" t="str">
        <x:f>IF(B806=1,IF(F806=1,"TP","FN"),IF(F806=1,"FP","TN"))</x:f>
        <x:v>TN</x:v>
      </x:c>
      <x:c r="I806" t="str">
        <x:f>IF(B806=1,IF(G806=1,"TP","FN"),IF(G806=1,"FP","TN"))</x:f>
        <x:v>TN</x:v>
      </x:c>
    </x:row>
    <x:row r="807">
      <x:c r="A807" t="str">
        <x:f>MiniCase_Data!A807</x:f>
        <x:v>R00806</x:v>
      </x:c>
      <x:c r="B807" t="n">
        <x:f>IF(MiniCase_Data!O807="불합격",1,0)</x:f>
        <x:v>1</x:v>
      </x:c>
      <x:c r="C807" t="str">
        <x:f>IF(ISBLANK(MiniCase_Data!H807),"missing",IF(OR(MiniCase_Data!H807&lt;27,MiniCase_Data!H807&gt;33),"밖","안"))</x:f>
        <x:v>안</x:v>
      </x:c>
      <x:c r="D807" t="n">
        <x:f>IF(ISBLANK(MiniCase_Data!H807),VLOOKUP(A807,센서로그!$A$2:$C$13,3,FALSE),MiniCase_Data!H807)</x:f>
        <x:v>29.76</x:v>
      </x:c>
      <x:c r="E807" t="n">
        <x:f>IF(AND(MiniCase_Data!C807="야간",MiniCase_Data!F807="M03"),1,0)</x:f>
        <x:v>1</x:v>
      </x:c>
      <x:c r="F807" t="n">
        <x:f>IF(C807="밖",1,0)</x:f>
        <x:v>0</x:v>
      </x:c>
      <x:c r="G807" t="n">
        <x:f>IF(OR(F807=1,E807=1),1,0)</x:f>
        <x:v>1</x:v>
      </x:c>
      <x:c r="H807" t="str">
        <x:f>IF(B807=1,IF(F807=1,"TP","FN"),IF(F807=1,"FP","TN"))</x:f>
        <x:v>FN</x:v>
      </x:c>
      <x:c r="I807" t="str">
        <x:f>IF(B807=1,IF(G807=1,"TP","FN"),IF(G807=1,"FP","TN"))</x:f>
        <x:v>TP</x:v>
      </x:c>
    </x:row>
    <x:row r="808">
      <x:c r="A808" t="str">
        <x:f>MiniCase_Data!A808</x:f>
        <x:v>R00807</x:v>
      </x:c>
      <x:c r="B808" t="n">
        <x:f>IF(MiniCase_Data!O808="불합격",1,0)</x:f>
        <x:v>0</x:v>
      </x:c>
      <x:c r="C808" t="str">
        <x:f>IF(ISBLANK(MiniCase_Data!H808),"missing",IF(OR(MiniCase_Data!H808&lt;27,MiniCase_Data!H808&gt;33),"밖","안"))</x:f>
        <x:v>안</x:v>
      </x:c>
      <x:c r="D808" t="n">
        <x:f>IF(ISBLANK(MiniCase_Data!H808),VLOOKUP(A808,센서로그!$A$2:$C$13,3,FALSE),MiniCase_Data!H808)</x:f>
        <x:v>30.85</x:v>
      </x:c>
      <x:c r="E808" t="n">
        <x:f>IF(AND(MiniCase_Data!C808="야간",MiniCase_Data!F808="M03"),1,0)</x:f>
        <x:v>0</x:v>
      </x:c>
      <x:c r="F808" t="n">
        <x:f>IF(C808="밖",1,0)</x:f>
        <x:v>0</x:v>
      </x:c>
      <x:c r="G808" t="n">
        <x:f>IF(OR(F808=1,E808=1),1,0)</x:f>
        <x:v>0</x:v>
      </x:c>
      <x:c r="H808" t="str">
        <x:f>IF(B808=1,IF(F808=1,"TP","FN"),IF(F808=1,"FP","TN"))</x:f>
        <x:v>TN</x:v>
      </x:c>
      <x:c r="I808" t="str">
        <x:f>IF(B808=1,IF(G808=1,"TP","FN"),IF(G808=1,"FP","TN"))</x:f>
        <x:v>TN</x:v>
      </x:c>
    </x:row>
    <x:row r="809">
      <x:c r="A809" t="str">
        <x:f>MiniCase_Data!A809</x:f>
        <x:v>R00808</x:v>
      </x:c>
      <x:c r="B809" t="n">
        <x:f>IF(MiniCase_Data!O809="불합격",1,0)</x:f>
        <x:v>0</x:v>
      </x:c>
      <x:c r="C809" t="str">
        <x:f>IF(ISBLANK(MiniCase_Data!H809),"missing",IF(OR(MiniCase_Data!H809&lt;27,MiniCase_Data!H809&gt;33),"밖","안"))</x:f>
        <x:v>안</x:v>
      </x:c>
      <x:c r="D809" t="n">
        <x:f>IF(ISBLANK(MiniCase_Data!H809),VLOOKUP(A809,센서로그!$A$2:$C$13,3,FALSE),MiniCase_Data!H809)</x:f>
        <x:v>27.36</x:v>
      </x:c>
      <x:c r="E809" t="n">
        <x:f>IF(AND(MiniCase_Data!C809="야간",MiniCase_Data!F809="M03"),1,0)</x:f>
        <x:v>0</x:v>
      </x:c>
      <x:c r="F809" t="n">
        <x:f>IF(C809="밖",1,0)</x:f>
        <x:v>0</x:v>
      </x:c>
      <x:c r="G809" t="n">
        <x:f>IF(OR(F809=1,E809=1),1,0)</x:f>
        <x:v>0</x:v>
      </x:c>
      <x:c r="H809" t="str">
        <x:f>IF(B809=1,IF(F809=1,"TP","FN"),IF(F809=1,"FP","TN"))</x:f>
        <x:v>TN</x:v>
      </x:c>
      <x:c r="I809" t="str">
        <x:f>IF(B809=1,IF(G809=1,"TP","FN"),IF(G809=1,"FP","TN"))</x:f>
        <x:v>TN</x:v>
      </x:c>
    </x:row>
    <x:row r="810">
      <x:c r="A810" t="str">
        <x:f>MiniCase_Data!A810</x:f>
        <x:v>R00809</x:v>
      </x:c>
      <x:c r="B810" t="n">
        <x:f>IF(MiniCase_Data!O810="불합격",1,0)</x:f>
        <x:v>0</x:v>
      </x:c>
      <x:c r="C810" t="str">
        <x:f>IF(ISBLANK(MiniCase_Data!H810),"missing",IF(OR(MiniCase_Data!H810&lt;27,MiniCase_Data!H810&gt;33),"밖","안"))</x:f>
        <x:v>안</x:v>
      </x:c>
      <x:c r="D810" t="n">
        <x:f>IF(ISBLANK(MiniCase_Data!H810),VLOOKUP(A810,센서로그!$A$2:$C$13,3,FALSE),MiniCase_Data!H810)</x:f>
        <x:v>30.02</x:v>
      </x:c>
      <x:c r="E810" t="n">
        <x:f>IF(AND(MiniCase_Data!C810="야간",MiniCase_Data!F810="M03"),1,0)</x:f>
        <x:v>0</x:v>
      </x:c>
      <x:c r="F810" t="n">
        <x:f>IF(C810="밖",1,0)</x:f>
        <x:v>0</x:v>
      </x:c>
      <x:c r="G810" t="n">
        <x:f>IF(OR(F810=1,E810=1),1,0)</x:f>
        <x:v>0</x:v>
      </x:c>
      <x:c r="H810" t="str">
        <x:f>IF(B810=1,IF(F810=1,"TP","FN"),IF(F810=1,"FP","TN"))</x:f>
        <x:v>TN</x:v>
      </x:c>
      <x:c r="I810" t="str">
        <x:f>IF(B810=1,IF(G810=1,"TP","FN"),IF(G810=1,"FP","TN"))</x:f>
        <x:v>TN</x:v>
      </x:c>
    </x:row>
    <x:row r="811">
      <x:c r="A811" t="str">
        <x:f>MiniCase_Data!A811</x:f>
        <x:v>R00810</x:v>
      </x:c>
      <x:c r="B811" t="n">
        <x:f>IF(MiniCase_Data!O811="불합격",1,0)</x:f>
        <x:v>0</x:v>
      </x:c>
      <x:c r="C811" t="str">
        <x:f>IF(ISBLANK(MiniCase_Data!H811),"missing",IF(OR(MiniCase_Data!H811&lt;27,MiniCase_Data!H811&gt;33),"밖","안"))</x:f>
        <x:v>안</x:v>
      </x:c>
      <x:c r="D811" t="n">
        <x:f>IF(ISBLANK(MiniCase_Data!H811),VLOOKUP(A811,센서로그!$A$2:$C$13,3,FALSE),MiniCase_Data!H811)</x:f>
        <x:v>30.06</x:v>
      </x:c>
      <x:c r="E811" t="n">
        <x:f>IF(AND(MiniCase_Data!C811="야간",MiniCase_Data!F811="M03"),1,0)</x:f>
        <x:v>0</x:v>
      </x:c>
      <x:c r="F811" t="n">
        <x:f>IF(C811="밖",1,0)</x:f>
        <x:v>0</x:v>
      </x:c>
      <x:c r="G811" t="n">
        <x:f>IF(OR(F811=1,E811=1),1,0)</x:f>
        <x:v>0</x:v>
      </x:c>
      <x:c r="H811" t="str">
        <x:f>IF(B811=1,IF(F811=1,"TP","FN"),IF(F811=1,"FP","TN"))</x:f>
        <x:v>TN</x:v>
      </x:c>
      <x:c r="I811" t="str">
        <x:f>IF(B811=1,IF(G811=1,"TP","FN"),IF(G811=1,"FP","TN"))</x:f>
        <x:v>TN</x:v>
      </x:c>
    </x:row>
    <x:row r="812">
      <x:c r="A812" t="str">
        <x:f>MiniCase_Data!A812</x:f>
        <x:v>R00811</x:v>
      </x:c>
      <x:c r="B812" t="n">
        <x:f>IF(MiniCase_Data!O812="불합격",1,0)</x:f>
        <x:v>0</x:v>
      </x:c>
      <x:c r="C812" t="str">
        <x:f>IF(ISBLANK(MiniCase_Data!H812),"missing",IF(OR(MiniCase_Data!H812&lt;27,MiniCase_Data!H812&gt;33),"밖","안"))</x:f>
        <x:v>안</x:v>
      </x:c>
      <x:c r="D812" t="n">
        <x:f>IF(ISBLANK(MiniCase_Data!H812),VLOOKUP(A812,센서로그!$A$2:$C$13,3,FALSE),MiniCase_Data!H812)</x:f>
        <x:v>32.26</x:v>
      </x:c>
      <x:c r="E812" t="n">
        <x:f>IF(AND(MiniCase_Data!C812="야간",MiniCase_Data!F812="M03"),1,0)</x:f>
        <x:v>0</x:v>
      </x:c>
      <x:c r="F812" t="n">
        <x:f>IF(C812="밖",1,0)</x:f>
        <x:v>0</x:v>
      </x:c>
      <x:c r="G812" t="n">
        <x:f>IF(OR(F812=1,E812=1),1,0)</x:f>
        <x:v>0</x:v>
      </x:c>
      <x:c r="H812" t="str">
        <x:f>IF(B812=1,IF(F812=1,"TP","FN"),IF(F812=1,"FP","TN"))</x:f>
        <x:v>TN</x:v>
      </x:c>
      <x:c r="I812" t="str">
        <x:f>IF(B812=1,IF(G812=1,"TP","FN"),IF(G812=1,"FP","TN"))</x:f>
        <x:v>TN</x:v>
      </x:c>
    </x:row>
    <x:row r="813">
      <x:c r="A813" t="str">
        <x:f>MiniCase_Data!A813</x:f>
        <x:v>R00812</x:v>
      </x:c>
      <x:c r="B813" t="n">
        <x:f>IF(MiniCase_Data!O813="불합격",1,0)</x:f>
        <x:v>0</x:v>
      </x:c>
      <x:c r="C813" t="str">
        <x:f>IF(ISBLANK(MiniCase_Data!H813),"missing",IF(OR(MiniCase_Data!H813&lt;27,MiniCase_Data!H813&gt;33),"밖","안"))</x:f>
        <x:v>안</x:v>
      </x:c>
      <x:c r="D813" t="n">
        <x:f>IF(ISBLANK(MiniCase_Data!H813),VLOOKUP(A813,센서로그!$A$2:$C$13,3,FALSE),MiniCase_Data!H813)</x:f>
        <x:v>29.91</x:v>
      </x:c>
      <x:c r="E813" t="n">
        <x:f>IF(AND(MiniCase_Data!C813="야간",MiniCase_Data!F813="M03"),1,0)</x:f>
        <x:v>1</x:v>
      </x:c>
      <x:c r="F813" t="n">
        <x:f>IF(C813="밖",1,0)</x:f>
        <x:v>0</x:v>
      </x:c>
      <x:c r="G813" t="n">
        <x:f>IF(OR(F813=1,E813=1),1,0)</x:f>
        <x:v>1</x:v>
      </x:c>
      <x:c r="H813" t="str">
        <x:f>IF(B813=1,IF(F813=1,"TP","FN"),IF(F813=1,"FP","TN"))</x:f>
        <x:v>TN</x:v>
      </x:c>
      <x:c r="I813" t="str">
        <x:f>IF(B813=1,IF(G813=1,"TP","FN"),IF(G813=1,"FP","TN"))</x:f>
        <x:v>FP</x:v>
      </x:c>
    </x:row>
    <x:row r="814">
      <x:c r="A814" t="str">
        <x:f>MiniCase_Data!A814</x:f>
        <x:v>R00813</x:v>
      </x:c>
      <x:c r="B814" t="n">
        <x:f>IF(MiniCase_Data!O814="불합격",1,0)</x:f>
        <x:v>1</x:v>
      </x:c>
      <x:c r="C814" t="str">
        <x:f>IF(ISBLANK(MiniCase_Data!H814),"missing",IF(OR(MiniCase_Data!H814&lt;27,MiniCase_Data!H814&gt;33),"밖","안"))</x:f>
        <x:v>안</x:v>
      </x:c>
      <x:c r="D814" t="n">
        <x:f>IF(ISBLANK(MiniCase_Data!H814),VLOOKUP(A814,센서로그!$A$2:$C$13,3,FALSE),MiniCase_Data!H814)</x:f>
        <x:v>31.04</x:v>
      </x:c>
      <x:c r="E814" t="n">
        <x:f>IF(AND(MiniCase_Data!C814="야간",MiniCase_Data!F814="M03"),1,0)</x:f>
        <x:v>0</x:v>
      </x:c>
      <x:c r="F814" t="n">
        <x:f>IF(C814="밖",1,0)</x:f>
        <x:v>0</x:v>
      </x:c>
      <x:c r="G814" t="n">
        <x:f>IF(OR(F814=1,E814=1),1,0)</x:f>
        <x:v>0</x:v>
      </x:c>
      <x:c r="H814" t="str">
        <x:f>IF(B814=1,IF(F814=1,"TP","FN"),IF(F814=1,"FP","TN"))</x:f>
        <x:v>FN</x:v>
      </x:c>
      <x:c r="I814" t="str">
        <x:f>IF(B814=1,IF(G814=1,"TP","FN"),IF(G814=1,"FP","TN"))</x:f>
        <x:v>FN</x:v>
      </x:c>
    </x:row>
    <x:row r="815">
      <x:c r="A815" t="str">
        <x:f>MiniCase_Data!A815</x:f>
        <x:v>R00814</x:v>
      </x:c>
      <x:c r="B815" t="n">
        <x:f>IF(MiniCase_Data!O815="불합격",1,0)</x:f>
        <x:v>0</x:v>
      </x:c>
      <x:c r="C815" t="str">
        <x:f>IF(ISBLANK(MiniCase_Data!H815),"missing",IF(OR(MiniCase_Data!H815&lt;27,MiniCase_Data!H815&gt;33),"밖","안"))</x:f>
        <x:v>안</x:v>
      </x:c>
      <x:c r="D815" t="n">
        <x:f>IF(ISBLANK(MiniCase_Data!H815),VLOOKUP(A815,센서로그!$A$2:$C$13,3,FALSE),MiniCase_Data!H815)</x:f>
        <x:v>31.59</x:v>
      </x:c>
      <x:c r="E815" t="n">
        <x:f>IF(AND(MiniCase_Data!C815="야간",MiniCase_Data!F815="M03"),1,0)</x:f>
        <x:v>0</x:v>
      </x:c>
      <x:c r="F815" t="n">
        <x:f>IF(C815="밖",1,0)</x:f>
        <x:v>0</x:v>
      </x:c>
      <x:c r="G815" t="n">
        <x:f>IF(OR(F815=1,E815=1),1,0)</x:f>
        <x:v>0</x:v>
      </x:c>
      <x:c r="H815" t="str">
        <x:f>IF(B815=1,IF(F815=1,"TP","FN"),IF(F815=1,"FP","TN"))</x:f>
        <x:v>TN</x:v>
      </x:c>
      <x:c r="I815" t="str">
        <x:f>IF(B815=1,IF(G815=1,"TP","FN"),IF(G815=1,"FP","TN"))</x:f>
        <x:v>TN</x:v>
      </x:c>
    </x:row>
    <x:row r="816">
      <x:c r="A816" t="str">
        <x:f>MiniCase_Data!A816</x:f>
        <x:v>R00815</x:v>
      </x:c>
      <x:c r="B816" t="n">
        <x:f>IF(MiniCase_Data!O816="불합격",1,0)</x:f>
        <x:v>0</x:v>
      </x:c>
      <x:c r="C816" t="str">
        <x:f>IF(ISBLANK(MiniCase_Data!H816),"missing",IF(OR(MiniCase_Data!H816&lt;27,MiniCase_Data!H816&gt;33),"밖","안"))</x:f>
        <x:v>안</x:v>
      </x:c>
      <x:c r="D816" t="n">
        <x:f>IF(ISBLANK(MiniCase_Data!H816),VLOOKUP(A816,센서로그!$A$2:$C$13,3,FALSE),MiniCase_Data!H816)</x:f>
        <x:v>29.9</x:v>
      </x:c>
      <x:c r="E816" t="n">
        <x:f>IF(AND(MiniCase_Data!C816="야간",MiniCase_Data!F816="M03"),1,0)</x:f>
        <x:v>0</x:v>
      </x:c>
      <x:c r="F816" t="n">
        <x:f>IF(C816="밖",1,0)</x:f>
        <x:v>0</x:v>
      </x:c>
      <x:c r="G816" t="n">
        <x:f>IF(OR(F816=1,E816=1),1,0)</x:f>
        <x:v>0</x:v>
      </x:c>
      <x:c r="H816" t="str">
        <x:f>IF(B816=1,IF(F816=1,"TP","FN"),IF(F816=1,"FP","TN"))</x:f>
        <x:v>TN</x:v>
      </x:c>
      <x:c r="I816" t="str">
        <x:f>IF(B816=1,IF(G816=1,"TP","FN"),IF(G816=1,"FP","TN"))</x:f>
        <x:v>TN</x:v>
      </x:c>
    </x:row>
    <x:row r="817">
      <x:c r="A817" t="str">
        <x:f>MiniCase_Data!A817</x:f>
        <x:v>R00816</x:v>
      </x:c>
      <x:c r="B817" t="n">
        <x:f>IF(MiniCase_Data!O817="불합격",1,0)</x:f>
        <x:v>0</x:v>
      </x:c>
      <x:c r="C817" t="str">
        <x:f>IF(ISBLANK(MiniCase_Data!H817),"missing",IF(OR(MiniCase_Data!H817&lt;27,MiniCase_Data!H817&gt;33),"밖","안"))</x:f>
        <x:v>안</x:v>
      </x:c>
      <x:c r="D817" t="n">
        <x:f>IF(ISBLANK(MiniCase_Data!H817),VLOOKUP(A817,센서로그!$A$2:$C$13,3,FALSE),MiniCase_Data!H817)</x:f>
        <x:v>29.55</x:v>
      </x:c>
      <x:c r="E817" t="n">
        <x:f>IF(AND(MiniCase_Data!C817="야간",MiniCase_Data!F817="M03"),1,0)</x:f>
        <x:v>0</x:v>
      </x:c>
      <x:c r="F817" t="n">
        <x:f>IF(C817="밖",1,0)</x:f>
        <x:v>0</x:v>
      </x:c>
      <x:c r="G817" t="n">
        <x:f>IF(OR(F817=1,E817=1),1,0)</x:f>
        <x:v>0</x:v>
      </x:c>
      <x:c r="H817" t="str">
        <x:f>IF(B817=1,IF(F817=1,"TP","FN"),IF(F817=1,"FP","TN"))</x:f>
        <x:v>TN</x:v>
      </x:c>
      <x:c r="I817" t="str">
        <x:f>IF(B817=1,IF(G817=1,"TP","FN"),IF(G817=1,"FP","TN"))</x:f>
        <x:v>TN</x:v>
      </x:c>
    </x:row>
    <x:row r="818">
      <x:c r="A818" t="str">
        <x:f>MiniCase_Data!A818</x:f>
        <x:v>R00817</x:v>
      </x:c>
      <x:c r="B818" t="n">
        <x:f>IF(MiniCase_Data!O818="불합격",1,0)</x:f>
        <x:v>0</x:v>
      </x:c>
      <x:c r="C818" t="str">
        <x:f>IF(ISBLANK(MiniCase_Data!H818),"missing",IF(OR(MiniCase_Data!H818&lt;27,MiniCase_Data!H818&gt;33),"밖","안"))</x:f>
        <x:v>안</x:v>
      </x:c>
      <x:c r="D818" t="n">
        <x:f>IF(ISBLANK(MiniCase_Data!H818),VLOOKUP(A818,센서로그!$A$2:$C$13,3,FALSE),MiniCase_Data!H818)</x:f>
        <x:v>29.46</x:v>
      </x:c>
      <x:c r="E818" t="n">
        <x:f>IF(AND(MiniCase_Data!C818="야간",MiniCase_Data!F818="M03"),1,0)</x:f>
        <x:v>0</x:v>
      </x:c>
      <x:c r="F818" t="n">
        <x:f>IF(C818="밖",1,0)</x:f>
        <x:v>0</x:v>
      </x:c>
      <x:c r="G818" t="n">
        <x:f>IF(OR(F818=1,E818=1),1,0)</x:f>
        <x:v>0</x:v>
      </x:c>
      <x:c r="H818" t="str">
        <x:f>IF(B818=1,IF(F818=1,"TP","FN"),IF(F818=1,"FP","TN"))</x:f>
        <x:v>TN</x:v>
      </x:c>
      <x:c r="I818" t="str">
        <x:f>IF(B818=1,IF(G818=1,"TP","FN"),IF(G818=1,"FP","TN"))</x:f>
        <x:v>TN</x:v>
      </x:c>
    </x:row>
    <x:row r="819">
      <x:c r="A819" t="str">
        <x:f>MiniCase_Data!A819</x:f>
        <x:v>R00818</x:v>
      </x:c>
      <x:c r="B819" t="n">
        <x:f>IF(MiniCase_Data!O819="불합격",1,0)</x:f>
        <x:v>0</x:v>
      </x:c>
      <x:c r="C819" t="str">
        <x:f>IF(ISBLANK(MiniCase_Data!H819),"missing",IF(OR(MiniCase_Data!H819&lt;27,MiniCase_Data!H819&gt;33),"밖","안"))</x:f>
        <x:v>안</x:v>
      </x:c>
      <x:c r="D819" t="n">
        <x:f>IF(ISBLANK(MiniCase_Data!H819),VLOOKUP(A819,센서로그!$A$2:$C$13,3,FALSE),MiniCase_Data!H819)</x:f>
        <x:v>30.15</x:v>
      </x:c>
      <x:c r="E819" t="n">
        <x:f>IF(AND(MiniCase_Data!C819="야간",MiniCase_Data!F819="M03"),1,0)</x:f>
        <x:v>0</x:v>
      </x:c>
      <x:c r="F819" t="n">
        <x:f>IF(C819="밖",1,0)</x:f>
        <x:v>0</x:v>
      </x:c>
      <x:c r="G819" t="n">
        <x:f>IF(OR(F819=1,E819=1),1,0)</x:f>
        <x:v>0</x:v>
      </x:c>
      <x:c r="H819" t="str">
        <x:f>IF(B819=1,IF(F819=1,"TP","FN"),IF(F819=1,"FP","TN"))</x:f>
        <x:v>TN</x:v>
      </x:c>
      <x:c r="I819" t="str">
        <x:f>IF(B819=1,IF(G819=1,"TP","FN"),IF(G819=1,"FP","TN"))</x:f>
        <x:v>TN</x:v>
      </x:c>
    </x:row>
    <x:row r="820">
      <x:c r="A820" t="str">
        <x:f>MiniCase_Data!A820</x:f>
        <x:v>R00819</x:v>
      </x:c>
      <x:c r="B820" t="n">
        <x:f>IF(MiniCase_Data!O820="불합격",1,0)</x:f>
        <x:v>0</x:v>
      </x:c>
      <x:c r="C820" t="str">
        <x:f>IF(ISBLANK(MiniCase_Data!H820),"missing",IF(OR(MiniCase_Data!H820&lt;27,MiniCase_Data!H820&gt;33),"밖","안"))</x:f>
        <x:v>안</x:v>
      </x:c>
      <x:c r="D820" t="n">
        <x:f>IF(ISBLANK(MiniCase_Data!H820),VLOOKUP(A820,센서로그!$A$2:$C$13,3,FALSE),MiniCase_Data!H820)</x:f>
        <x:v>32.25</x:v>
      </x:c>
      <x:c r="E820" t="n">
        <x:f>IF(AND(MiniCase_Data!C820="야간",MiniCase_Data!F820="M03"),1,0)</x:f>
        <x:v>1</x:v>
      </x:c>
      <x:c r="F820" t="n">
        <x:f>IF(C820="밖",1,0)</x:f>
        <x:v>0</x:v>
      </x:c>
      <x:c r="G820" t="n">
        <x:f>IF(OR(F820=1,E820=1),1,0)</x:f>
        <x:v>1</x:v>
      </x:c>
      <x:c r="H820" t="str">
        <x:f>IF(B820=1,IF(F820=1,"TP","FN"),IF(F820=1,"FP","TN"))</x:f>
        <x:v>TN</x:v>
      </x:c>
      <x:c r="I820" t="str">
        <x:f>IF(B820=1,IF(G820=1,"TP","FN"),IF(G820=1,"FP","TN"))</x:f>
        <x:v>FP</x:v>
      </x:c>
    </x:row>
    <x:row r="821">
      <x:c r="A821" t="str">
        <x:f>MiniCase_Data!A821</x:f>
        <x:v>R00820</x:v>
      </x:c>
      <x:c r="B821" t="n">
        <x:f>IF(MiniCase_Data!O821="불합격",1,0)</x:f>
        <x:v>0</x:v>
      </x:c>
      <x:c r="C821" t="str">
        <x:f>IF(ISBLANK(MiniCase_Data!H821),"missing",IF(OR(MiniCase_Data!H821&lt;27,MiniCase_Data!H821&gt;33),"밖","안"))</x:f>
        <x:v>안</x:v>
      </x:c>
      <x:c r="D821" t="n">
        <x:f>IF(ISBLANK(MiniCase_Data!H821),VLOOKUP(A821,센서로그!$A$2:$C$13,3,FALSE),MiniCase_Data!H821)</x:f>
        <x:v>30.97</x:v>
      </x:c>
      <x:c r="E821" t="n">
        <x:f>IF(AND(MiniCase_Data!C821="야간",MiniCase_Data!F821="M03"),1,0)</x:f>
        <x:v>0</x:v>
      </x:c>
      <x:c r="F821" t="n">
        <x:f>IF(C821="밖",1,0)</x:f>
        <x:v>0</x:v>
      </x:c>
      <x:c r="G821" t="n">
        <x:f>IF(OR(F821=1,E821=1),1,0)</x:f>
        <x:v>0</x:v>
      </x:c>
      <x:c r="H821" t="str">
        <x:f>IF(B821=1,IF(F821=1,"TP","FN"),IF(F821=1,"FP","TN"))</x:f>
        <x:v>TN</x:v>
      </x:c>
      <x:c r="I821" t="str">
        <x:f>IF(B821=1,IF(G821=1,"TP","FN"),IF(G821=1,"FP","TN"))</x:f>
        <x:v>TN</x:v>
      </x:c>
    </x:row>
    <x:row r="822">
      <x:c r="A822" t="str">
        <x:f>MiniCase_Data!A822</x:f>
        <x:v>R00821</x:v>
      </x:c>
      <x:c r="B822" t="n">
        <x:f>IF(MiniCase_Data!O822="불합격",1,0)</x:f>
        <x:v>0</x:v>
      </x:c>
      <x:c r="C822" t="str">
        <x:f>IF(ISBLANK(MiniCase_Data!H822),"missing",IF(OR(MiniCase_Data!H822&lt;27,MiniCase_Data!H822&gt;33),"밖","안"))</x:f>
        <x:v>안</x:v>
      </x:c>
      <x:c r="D822" t="n">
        <x:f>IF(ISBLANK(MiniCase_Data!H822),VLOOKUP(A822,센서로그!$A$2:$C$13,3,FALSE),MiniCase_Data!H822)</x:f>
        <x:v>27.49</x:v>
      </x:c>
      <x:c r="E822" t="n">
        <x:f>IF(AND(MiniCase_Data!C822="야간",MiniCase_Data!F822="M03"),1,0)</x:f>
        <x:v>0</x:v>
      </x:c>
      <x:c r="F822" t="n">
        <x:f>IF(C822="밖",1,0)</x:f>
        <x:v>0</x:v>
      </x:c>
      <x:c r="G822" t="n">
        <x:f>IF(OR(F822=1,E822=1),1,0)</x:f>
        <x:v>0</x:v>
      </x:c>
      <x:c r="H822" t="str">
        <x:f>IF(B822=1,IF(F822=1,"TP","FN"),IF(F822=1,"FP","TN"))</x:f>
        <x:v>TN</x:v>
      </x:c>
      <x:c r="I822" t="str">
        <x:f>IF(B822=1,IF(G822=1,"TP","FN"),IF(G822=1,"FP","TN"))</x:f>
        <x:v>TN</x:v>
      </x:c>
    </x:row>
    <x:row r="823">
      <x:c r="A823" t="str">
        <x:f>MiniCase_Data!A823</x:f>
        <x:v>R00822</x:v>
      </x:c>
      <x:c r="B823" t="n">
        <x:f>IF(MiniCase_Data!O823="불합격",1,0)</x:f>
        <x:v>0</x:v>
      </x:c>
      <x:c r="C823" t="str">
        <x:f>IF(ISBLANK(MiniCase_Data!H823),"missing",IF(OR(MiniCase_Data!H823&lt;27,MiniCase_Data!H823&gt;33),"밖","안"))</x:f>
        <x:v>안</x:v>
      </x:c>
      <x:c r="D823" t="n">
        <x:f>IF(ISBLANK(MiniCase_Data!H823),VLOOKUP(A823,센서로그!$A$2:$C$13,3,FALSE),MiniCase_Data!H823)</x:f>
        <x:v>29.24</x:v>
      </x:c>
      <x:c r="E823" t="n">
        <x:f>IF(AND(MiniCase_Data!C823="야간",MiniCase_Data!F823="M03"),1,0)</x:f>
        <x:v>0</x:v>
      </x:c>
      <x:c r="F823" t="n">
        <x:f>IF(C823="밖",1,0)</x:f>
        <x:v>0</x:v>
      </x:c>
      <x:c r="G823" t="n">
        <x:f>IF(OR(F823=1,E823=1),1,0)</x:f>
        <x:v>0</x:v>
      </x:c>
      <x:c r="H823" t="str">
        <x:f>IF(B823=1,IF(F823=1,"TP","FN"),IF(F823=1,"FP","TN"))</x:f>
        <x:v>TN</x:v>
      </x:c>
      <x:c r="I823" t="str">
        <x:f>IF(B823=1,IF(G823=1,"TP","FN"),IF(G823=1,"FP","TN"))</x:f>
        <x:v>TN</x:v>
      </x:c>
    </x:row>
    <x:row r="824">
      <x:c r="A824" t="str">
        <x:f>MiniCase_Data!A824</x:f>
        <x:v>R00823</x:v>
      </x:c>
      <x:c r="B824" t="n">
        <x:f>IF(MiniCase_Data!O824="불합격",1,0)</x:f>
        <x:v>0</x:v>
      </x:c>
      <x:c r="C824" t="str">
        <x:f>IF(ISBLANK(MiniCase_Data!H824),"missing",IF(OR(MiniCase_Data!H824&lt;27,MiniCase_Data!H824&gt;33),"밖","안"))</x:f>
        <x:v>안</x:v>
      </x:c>
      <x:c r="D824" t="n">
        <x:f>IF(ISBLANK(MiniCase_Data!H824),VLOOKUP(A824,센서로그!$A$2:$C$13,3,FALSE),MiniCase_Data!H824)</x:f>
        <x:v>31.65</x:v>
      </x:c>
      <x:c r="E824" t="n">
        <x:f>IF(AND(MiniCase_Data!C824="야간",MiniCase_Data!F824="M03"),1,0)</x:f>
        <x:v>0</x:v>
      </x:c>
      <x:c r="F824" t="n">
        <x:f>IF(C824="밖",1,0)</x:f>
        <x:v>0</x:v>
      </x:c>
      <x:c r="G824" t="n">
        <x:f>IF(OR(F824=1,E824=1),1,0)</x:f>
        <x:v>0</x:v>
      </x:c>
      <x:c r="H824" t="str">
        <x:f>IF(B824=1,IF(F824=1,"TP","FN"),IF(F824=1,"FP","TN"))</x:f>
        <x:v>TN</x:v>
      </x:c>
      <x:c r="I824" t="str">
        <x:f>IF(B824=1,IF(G824=1,"TP","FN"),IF(G824=1,"FP","TN"))</x:f>
        <x:v>TN</x:v>
      </x:c>
    </x:row>
    <x:row r="825">
      <x:c r="A825" t="str">
        <x:f>MiniCase_Data!A825</x:f>
        <x:v>R00824</x:v>
      </x:c>
      <x:c r="B825" t="n">
        <x:f>IF(MiniCase_Data!O825="불합격",1,0)</x:f>
        <x:v>0</x:v>
      </x:c>
      <x:c r="C825" t="str">
        <x:f>IF(ISBLANK(MiniCase_Data!H825),"missing",IF(OR(MiniCase_Data!H825&lt;27,MiniCase_Data!H825&gt;33),"밖","안"))</x:f>
        <x:v>안</x:v>
      </x:c>
      <x:c r="D825" t="n">
        <x:f>IF(ISBLANK(MiniCase_Data!H825),VLOOKUP(A825,센서로그!$A$2:$C$13,3,FALSE),MiniCase_Data!H825)</x:f>
        <x:v>30.29</x:v>
      </x:c>
      <x:c r="E825" t="n">
        <x:f>IF(AND(MiniCase_Data!C825="야간",MiniCase_Data!F825="M03"),1,0)</x:f>
        <x:v>0</x:v>
      </x:c>
      <x:c r="F825" t="n">
        <x:f>IF(C825="밖",1,0)</x:f>
        <x:v>0</x:v>
      </x:c>
      <x:c r="G825" t="n">
        <x:f>IF(OR(F825=1,E825=1),1,0)</x:f>
        <x:v>0</x:v>
      </x:c>
      <x:c r="H825" t="str">
        <x:f>IF(B825=1,IF(F825=1,"TP","FN"),IF(F825=1,"FP","TN"))</x:f>
        <x:v>TN</x:v>
      </x:c>
      <x:c r="I825" t="str">
        <x:f>IF(B825=1,IF(G825=1,"TP","FN"),IF(G825=1,"FP","TN"))</x:f>
        <x:v>TN</x:v>
      </x:c>
    </x:row>
    <x:row r="826">
      <x:c r="A826" t="str">
        <x:f>MiniCase_Data!A826</x:f>
        <x:v>R00825</x:v>
      </x:c>
      <x:c r="B826" t="n">
        <x:f>IF(MiniCase_Data!O826="불합격",1,0)</x:f>
        <x:v>0</x:v>
      </x:c>
      <x:c r="C826" t="str">
        <x:f>IF(ISBLANK(MiniCase_Data!H826),"missing",IF(OR(MiniCase_Data!H826&lt;27,MiniCase_Data!H826&gt;33),"밖","안"))</x:f>
        <x:v>안</x:v>
      </x:c>
      <x:c r="D826" t="n">
        <x:f>IF(ISBLANK(MiniCase_Data!H826),VLOOKUP(A826,센서로그!$A$2:$C$13,3,FALSE),MiniCase_Data!H826)</x:f>
        <x:v>29.14</x:v>
      </x:c>
      <x:c r="E826" t="n">
        <x:f>IF(AND(MiniCase_Data!C826="야간",MiniCase_Data!F826="M03"),1,0)</x:f>
        <x:v>0</x:v>
      </x:c>
      <x:c r="F826" t="n">
        <x:f>IF(C826="밖",1,0)</x:f>
        <x:v>0</x:v>
      </x:c>
      <x:c r="G826" t="n">
        <x:f>IF(OR(F826=1,E826=1),1,0)</x:f>
        <x:v>0</x:v>
      </x:c>
      <x:c r="H826" t="str">
        <x:f>IF(B826=1,IF(F826=1,"TP","FN"),IF(F826=1,"FP","TN"))</x:f>
        <x:v>TN</x:v>
      </x:c>
      <x:c r="I826" t="str">
        <x:f>IF(B826=1,IF(G826=1,"TP","FN"),IF(G826=1,"FP","TN"))</x:f>
        <x:v>TN</x:v>
      </x:c>
    </x:row>
    <x:row r="827">
      <x:c r="A827" t="str">
        <x:f>MiniCase_Data!A827</x:f>
        <x:v>R00826</x:v>
      </x:c>
      <x:c r="B827" t="n">
        <x:f>IF(MiniCase_Data!O827="불합격",1,0)</x:f>
        <x:v>0</x:v>
      </x:c>
      <x:c r="C827" t="str">
        <x:f>IF(ISBLANK(MiniCase_Data!H827),"missing",IF(OR(MiniCase_Data!H827&lt;27,MiniCase_Data!H827&gt;33),"밖","안"))</x:f>
        <x:v>안</x:v>
      </x:c>
      <x:c r="D827" t="n">
        <x:f>IF(ISBLANK(MiniCase_Data!H827),VLOOKUP(A827,센서로그!$A$2:$C$13,3,FALSE),MiniCase_Data!H827)</x:f>
        <x:v>27.21</x:v>
      </x:c>
      <x:c r="E827" t="n">
        <x:f>IF(AND(MiniCase_Data!C827="야간",MiniCase_Data!F827="M03"),1,0)</x:f>
        <x:v>0</x:v>
      </x:c>
      <x:c r="F827" t="n">
        <x:f>IF(C827="밖",1,0)</x:f>
        <x:v>0</x:v>
      </x:c>
      <x:c r="G827" t="n">
        <x:f>IF(OR(F827=1,E827=1),1,0)</x:f>
        <x:v>0</x:v>
      </x:c>
      <x:c r="H827" t="str">
        <x:f>IF(B827=1,IF(F827=1,"TP","FN"),IF(F827=1,"FP","TN"))</x:f>
        <x:v>TN</x:v>
      </x:c>
      <x:c r="I827" t="str">
        <x:f>IF(B827=1,IF(G827=1,"TP","FN"),IF(G827=1,"FP","TN"))</x:f>
        <x:v>TN</x:v>
      </x:c>
    </x:row>
    <x:row r="828">
      <x:c r="A828" t="str">
        <x:f>MiniCase_Data!A828</x:f>
        <x:v>R00827</x:v>
      </x:c>
      <x:c r="B828" t="n">
        <x:f>IF(MiniCase_Data!O828="불합격",1,0)</x:f>
        <x:v>0</x:v>
      </x:c>
      <x:c r="C828" t="str">
        <x:f>IF(ISBLANK(MiniCase_Data!H828),"missing",IF(OR(MiniCase_Data!H828&lt;27,MiniCase_Data!H828&gt;33),"밖","안"))</x:f>
        <x:v>안</x:v>
      </x:c>
      <x:c r="D828" t="n">
        <x:f>IF(ISBLANK(MiniCase_Data!H828),VLOOKUP(A828,센서로그!$A$2:$C$13,3,FALSE),MiniCase_Data!H828)</x:f>
        <x:v>28.66</x:v>
      </x:c>
      <x:c r="E828" t="n">
        <x:f>IF(AND(MiniCase_Data!C828="야간",MiniCase_Data!F828="M03"),1,0)</x:f>
        <x:v>0</x:v>
      </x:c>
      <x:c r="F828" t="n">
        <x:f>IF(C828="밖",1,0)</x:f>
        <x:v>0</x:v>
      </x:c>
      <x:c r="G828" t="n">
        <x:f>IF(OR(F828=1,E828=1),1,0)</x:f>
        <x:v>0</x:v>
      </x:c>
      <x:c r="H828" t="str">
        <x:f>IF(B828=1,IF(F828=1,"TP","FN"),IF(F828=1,"FP","TN"))</x:f>
        <x:v>TN</x:v>
      </x:c>
      <x:c r="I828" t="str">
        <x:f>IF(B828=1,IF(G828=1,"TP","FN"),IF(G828=1,"FP","TN"))</x:f>
        <x:v>TN</x:v>
      </x:c>
    </x:row>
    <x:row r="829">
      <x:c r="A829" t="str">
        <x:f>MiniCase_Data!A829</x:f>
        <x:v>R00828</x:v>
      </x:c>
      <x:c r="B829" t="n">
        <x:f>IF(MiniCase_Data!O829="불합격",1,0)</x:f>
        <x:v>0</x:v>
      </x:c>
      <x:c r="C829" t="str">
        <x:f>IF(ISBLANK(MiniCase_Data!H829),"missing",IF(OR(MiniCase_Data!H829&lt;27,MiniCase_Data!H829&gt;33),"밖","안"))</x:f>
        <x:v>안</x:v>
      </x:c>
      <x:c r="D829" t="n">
        <x:f>IF(ISBLANK(MiniCase_Data!H829),VLOOKUP(A829,센서로그!$A$2:$C$13,3,FALSE),MiniCase_Data!H829)</x:f>
        <x:v>30.91</x:v>
      </x:c>
      <x:c r="E829" t="n">
        <x:f>IF(AND(MiniCase_Data!C829="야간",MiniCase_Data!F829="M03"),1,0)</x:f>
        <x:v>0</x:v>
      </x:c>
      <x:c r="F829" t="n">
        <x:f>IF(C829="밖",1,0)</x:f>
        <x:v>0</x:v>
      </x:c>
      <x:c r="G829" t="n">
        <x:f>IF(OR(F829=1,E829=1),1,0)</x:f>
        <x:v>0</x:v>
      </x:c>
      <x:c r="H829" t="str">
        <x:f>IF(B829=1,IF(F829=1,"TP","FN"),IF(F829=1,"FP","TN"))</x:f>
        <x:v>TN</x:v>
      </x:c>
      <x:c r="I829" t="str">
        <x:f>IF(B829=1,IF(G829=1,"TP","FN"),IF(G829=1,"FP","TN"))</x:f>
        <x:v>TN</x:v>
      </x:c>
    </x:row>
    <x:row r="830">
      <x:c r="A830" t="str">
        <x:f>MiniCase_Data!A830</x:f>
        <x:v>R00829</x:v>
      </x:c>
      <x:c r="B830" t="n">
        <x:f>IF(MiniCase_Data!O830="불합격",1,0)</x:f>
        <x:v>0</x:v>
      </x:c>
      <x:c r="C830" t="str">
        <x:f>IF(ISBLANK(MiniCase_Data!H830),"missing",IF(OR(MiniCase_Data!H830&lt;27,MiniCase_Data!H830&gt;33),"밖","안"))</x:f>
        <x:v>안</x:v>
      </x:c>
      <x:c r="D830" t="n">
        <x:f>IF(ISBLANK(MiniCase_Data!H830),VLOOKUP(A830,센서로그!$A$2:$C$13,3,FALSE),MiniCase_Data!H830)</x:f>
        <x:v>31.18</x:v>
      </x:c>
      <x:c r="E830" t="n">
        <x:f>IF(AND(MiniCase_Data!C830="야간",MiniCase_Data!F830="M03"),1,0)</x:f>
        <x:v>0</x:v>
      </x:c>
      <x:c r="F830" t="n">
        <x:f>IF(C830="밖",1,0)</x:f>
        <x:v>0</x:v>
      </x:c>
      <x:c r="G830" t="n">
        <x:f>IF(OR(F830=1,E830=1),1,0)</x:f>
        <x:v>0</x:v>
      </x:c>
      <x:c r="H830" t="str">
        <x:f>IF(B830=1,IF(F830=1,"TP","FN"),IF(F830=1,"FP","TN"))</x:f>
        <x:v>TN</x:v>
      </x:c>
      <x:c r="I830" t="str">
        <x:f>IF(B830=1,IF(G830=1,"TP","FN"),IF(G830=1,"FP","TN"))</x:f>
        <x:v>TN</x:v>
      </x:c>
    </x:row>
    <x:row r="831">
      <x:c r="A831" t="str">
        <x:f>MiniCase_Data!A831</x:f>
        <x:v>R00830</x:v>
      </x:c>
      <x:c r="B831" t="n">
        <x:f>IF(MiniCase_Data!O831="불합격",1,0)</x:f>
        <x:v>0</x:v>
      </x:c>
      <x:c r="C831" t="str">
        <x:f>IF(ISBLANK(MiniCase_Data!H831),"missing",IF(OR(MiniCase_Data!H831&lt;27,MiniCase_Data!H831&gt;33),"밖","안"))</x:f>
        <x:v>안</x:v>
      </x:c>
      <x:c r="D831" t="n">
        <x:f>IF(ISBLANK(MiniCase_Data!H831),VLOOKUP(A831,센서로그!$A$2:$C$13,3,FALSE),MiniCase_Data!H831)</x:f>
        <x:v>32.36</x:v>
      </x:c>
      <x:c r="E831" t="n">
        <x:f>IF(AND(MiniCase_Data!C831="야간",MiniCase_Data!F831="M03"),1,0)</x:f>
        <x:v>0</x:v>
      </x:c>
      <x:c r="F831" t="n">
        <x:f>IF(C831="밖",1,0)</x:f>
        <x:v>0</x:v>
      </x:c>
      <x:c r="G831" t="n">
        <x:f>IF(OR(F831=1,E831=1),1,0)</x:f>
        <x:v>0</x:v>
      </x:c>
      <x:c r="H831" t="str">
        <x:f>IF(B831=1,IF(F831=1,"TP","FN"),IF(F831=1,"FP","TN"))</x:f>
        <x:v>TN</x:v>
      </x:c>
      <x:c r="I831" t="str">
        <x:f>IF(B831=1,IF(G831=1,"TP","FN"),IF(G831=1,"FP","TN"))</x:f>
        <x:v>TN</x:v>
      </x:c>
    </x:row>
    <x:row r="832">
      <x:c r="A832" t="str">
        <x:f>MiniCase_Data!A832</x:f>
        <x:v>R00831</x:v>
      </x:c>
      <x:c r="B832" t="n">
        <x:f>IF(MiniCase_Data!O832="불합격",1,0)</x:f>
        <x:v>0</x:v>
      </x:c>
      <x:c r="C832" t="str">
        <x:f>IF(ISBLANK(MiniCase_Data!H832),"missing",IF(OR(MiniCase_Data!H832&lt;27,MiniCase_Data!H832&gt;33),"밖","안"))</x:f>
        <x:v>안</x:v>
      </x:c>
      <x:c r="D832" t="n">
        <x:f>IF(ISBLANK(MiniCase_Data!H832),VLOOKUP(A832,센서로그!$A$2:$C$13,3,FALSE),MiniCase_Data!H832)</x:f>
        <x:v>31.3</x:v>
      </x:c>
      <x:c r="E832" t="n">
        <x:f>IF(AND(MiniCase_Data!C832="야간",MiniCase_Data!F832="M03"),1,0)</x:f>
        <x:v>0</x:v>
      </x:c>
      <x:c r="F832" t="n">
        <x:f>IF(C832="밖",1,0)</x:f>
        <x:v>0</x:v>
      </x:c>
      <x:c r="G832" t="n">
        <x:f>IF(OR(F832=1,E832=1),1,0)</x:f>
        <x:v>0</x:v>
      </x:c>
      <x:c r="H832" t="str">
        <x:f>IF(B832=1,IF(F832=1,"TP","FN"),IF(F832=1,"FP","TN"))</x:f>
        <x:v>TN</x:v>
      </x:c>
      <x:c r="I832" t="str">
        <x:f>IF(B832=1,IF(G832=1,"TP","FN"),IF(G832=1,"FP","TN"))</x:f>
        <x:v>TN</x:v>
      </x:c>
    </x:row>
    <x:row r="833">
      <x:c r="A833" t="str">
        <x:f>MiniCase_Data!A833</x:f>
        <x:v>R00832</x:v>
      </x:c>
      <x:c r="B833" t="n">
        <x:f>IF(MiniCase_Data!O833="불합격",1,0)</x:f>
        <x:v>0</x:v>
      </x:c>
      <x:c r="C833" t="str">
        <x:f>IF(ISBLANK(MiniCase_Data!H833),"missing",IF(OR(MiniCase_Data!H833&lt;27,MiniCase_Data!H833&gt;33),"밖","안"))</x:f>
        <x:v>안</x:v>
      </x:c>
      <x:c r="D833" t="n">
        <x:f>IF(ISBLANK(MiniCase_Data!H833),VLOOKUP(A833,센서로그!$A$2:$C$13,3,FALSE),MiniCase_Data!H833)</x:f>
        <x:v>30.27</x:v>
      </x:c>
      <x:c r="E833" t="n">
        <x:f>IF(AND(MiniCase_Data!C833="야간",MiniCase_Data!F833="M03"),1,0)</x:f>
        <x:v>0</x:v>
      </x:c>
      <x:c r="F833" t="n">
        <x:f>IF(C833="밖",1,0)</x:f>
        <x:v>0</x:v>
      </x:c>
      <x:c r="G833" t="n">
        <x:f>IF(OR(F833=1,E833=1),1,0)</x:f>
        <x:v>0</x:v>
      </x:c>
      <x:c r="H833" t="str">
        <x:f>IF(B833=1,IF(F833=1,"TP","FN"),IF(F833=1,"FP","TN"))</x:f>
        <x:v>TN</x:v>
      </x:c>
      <x:c r="I833" t="str">
        <x:f>IF(B833=1,IF(G833=1,"TP","FN"),IF(G833=1,"FP","TN"))</x:f>
        <x:v>TN</x:v>
      </x:c>
    </x:row>
    <x:row r="834">
      <x:c r="A834" t="str">
        <x:f>MiniCase_Data!A834</x:f>
        <x:v>R00833</x:v>
      </x:c>
      <x:c r="B834" t="n">
        <x:f>IF(MiniCase_Data!O834="불합격",1,0)</x:f>
        <x:v>1</x:v>
      </x:c>
      <x:c r="C834" t="str">
        <x:f>IF(ISBLANK(MiniCase_Data!H834),"missing",IF(OR(MiniCase_Data!H834&lt;27,MiniCase_Data!H834&gt;33),"밖","안"))</x:f>
        <x:v>안</x:v>
      </x:c>
      <x:c r="D834" t="n">
        <x:f>IF(ISBLANK(MiniCase_Data!H834),VLOOKUP(A834,센서로그!$A$2:$C$13,3,FALSE),MiniCase_Data!H834)</x:f>
        <x:v>31.55</x:v>
      </x:c>
      <x:c r="E834" t="n">
        <x:f>IF(AND(MiniCase_Data!C834="야간",MiniCase_Data!F834="M03"),1,0)</x:f>
        <x:v>1</x:v>
      </x:c>
      <x:c r="F834" t="n">
        <x:f>IF(C834="밖",1,0)</x:f>
        <x:v>0</x:v>
      </x:c>
      <x:c r="G834" t="n">
        <x:f>IF(OR(F834=1,E834=1),1,0)</x:f>
        <x:v>1</x:v>
      </x:c>
      <x:c r="H834" t="str">
        <x:f>IF(B834=1,IF(F834=1,"TP","FN"),IF(F834=1,"FP","TN"))</x:f>
        <x:v>FN</x:v>
      </x:c>
      <x:c r="I834" t="str">
        <x:f>IF(B834=1,IF(G834=1,"TP","FN"),IF(G834=1,"FP","TN"))</x:f>
        <x:v>TP</x:v>
      </x:c>
    </x:row>
    <x:row r="835">
      <x:c r="A835" t="str">
        <x:f>MiniCase_Data!A835</x:f>
        <x:v>R00834</x:v>
      </x:c>
      <x:c r="B835" t="n">
        <x:f>IF(MiniCase_Data!O835="불합격",1,0)</x:f>
        <x:v>0</x:v>
      </x:c>
      <x:c r="C835" t="str">
        <x:f>IF(ISBLANK(MiniCase_Data!H835),"missing",IF(OR(MiniCase_Data!H835&lt;27,MiniCase_Data!H835&gt;33),"밖","안"))</x:f>
        <x:v>안</x:v>
      </x:c>
      <x:c r="D835" t="n">
        <x:f>IF(ISBLANK(MiniCase_Data!H835),VLOOKUP(A835,센서로그!$A$2:$C$13,3,FALSE),MiniCase_Data!H835)</x:f>
        <x:v>30.45</x:v>
      </x:c>
      <x:c r="E835" t="n">
        <x:f>IF(AND(MiniCase_Data!C835="야간",MiniCase_Data!F835="M03"),1,0)</x:f>
        <x:v>0</x:v>
      </x:c>
      <x:c r="F835" t="n">
        <x:f>IF(C835="밖",1,0)</x:f>
        <x:v>0</x:v>
      </x:c>
      <x:c r="G835" t="n">
        <x:f>IF(OR(F835=1,E835=1),1,0)</x:f>
        <x:v>0</x:v>
      </x:c>
      <x:c r="H835" t="str">
        <x:f>IF(B835=1,IF(F835=1,"TP","FN"),IF(F835=1,"FP","TN"))</x:f>
        <x:v>TN</x:v>
      </x:c>
      <x:c r="I835" t="str">
        <x:f>IF(B835=1,IF(G835=1,"TP","FN"),IF(G835=1,"FP","TN"))</x:f>
        <x:v>TN</x:v>
      </x:c>
    </x:row>
    <x:row r="836">
      <x:c r="A836" t="str">
        <x:f>MiniCase_Data!A836</x:f>
        <x:v>R00835</x:v>
      </x:c>
      <x:c r="B836" t="n">
        <x:f>IF(MiniCase_Data!O836="불합격",1,0)</x:f>
        <x:v>0</x:v>
      </x:c>
      <x:c r="C836" t="str">
        <x:f>IF(ISBLANK(MiniCase_Data!H836),"missing",IF(OR(MiniCase_Data!H836&lt;27,MiniCase_Data!H836&gt;33),"밖","안"))</x:f>
        <x:v>안</x:v>
      </x:c>
      <x:c r="D836" t="n">
        <x:f>IF(ISBLANK(MiniCase_Data!H836),VLOOKUP(A836,센서로그!$A$2:$C$13,3,FALSE),MiniCase_Data!H836)</x:f>
        <x:v>32.12</x:v>
      </x:c>
      <x:c r="E836" t="n">
        <x:f>IF(AND(MiniCase_Data!C836="야간",MiniCase_Data!F836="M03"),1,0)</x:f>
        <x:v>0</x:v>
      </x:c>
      <x:c r="F836" t="n">
        <x:f>IF(C836="밖",1,0)</x:f>
        <x:v>0</x:v>
      </x:c>
      <x:c r="G836" t="n">
        <x:f>IF(OR(F836=1,E836=1),1,0)</x:f>
        <x:v>0</x:v>
      </x:c>
      <x:c r="H836" t="str">
        <x:f>IF(B836=1,IF(F836=1,"TP","FN"),IF(F836=1,"FP","TN"))</x:f>
        <x:v>TN</x:v>
      </x:c>
      <x:c r="I836" t="str">
        <x:f>IF(B836=1,IF(G836=1,"TP","FN"),IF(G836=1,"FP","TN"))</x:f>
        <x:v>TN</x:v>
      </x:c>
    </x:row>
    <x:row r="837">
      <x:c r="A837" t="str">
        <x:f>MiniCase_Data!A837</x:f>
        <x:v>R00836</x:v>
      </x:c>
      <x:c r="B837" t="n">
        <x:f>IF(MiniCase_Data!O837="불합격",1,0)</x:f>
        <x:v>0</x:v>
      </x:c>
      <x:c r="C837" t="str">
        <x:f>IF(ISBLANK(MiniCase_Data!H837),"missing",IF(OR(MiniCase_Data!H837&lt;27,MiniCase_Data!H837&gt;33),"밖","안"))</x:f>
        <x:v>안</x:v>
      </x:c>
      <x:c r="D837" t="n">
        <x:f>IF(ISBLANK(MiniCase_Data!H837),VLOOKUP(A837,센서로그!$A$2:$C$13,3,FALSE),MiniCase_Data!H837)</x:f>
        <x:v>28.07</x:v>
      </x:c>
      <x:c r="E837" t="n">
        <x:f>IF(AND(MiniCase_Data!C837="야간",MiniCase_Data!F837="M03"),1,0)</x:f>
        <x:v>0</x:v>
      </x:c>
      <x:c r="F837" t="n">
        <x:f>IF(C837="밖",1,0)</x:f>
        <x:v>0</x:v>
      </x:c>
      <x:c r="G837" t="n">
        <x:f>IF(OR(F837=1,E837=1),1,0)</x:f>
        <x:v>0</x:v>
      </x:c>
      <x:c r="H837" t="str">
        <x:f>IF(B837=1,IF(F837=1,"TP","FN"),IF(F837=1,"FP","TN"))</x:f>
        <x:v>TN</x:v>
      </x:c>
      <x:c r="I837" t="str">
        <x:f>IF(B837=1,IF(G837=1,"TP","FN"),IF(G837=1,"FP","TN"))</x:f>
        <x:v>TN</x:v>
      </x:c>
    </x:row>
    <x:row r="838">
      <x:c r="A838" t="str">
        <x:f>MiniCase_Data!A838</x:f>
        <x:v>R00837</x:v>
      </x:c>
      <x:c r="B838" t="n">
        <x:f>IF(MiniCase_Data!O838="불합격",1,0)</x:f>
        <x:v>0</x:v>
      </x:c>
      <x:c r="C838" t="str">
        <x:f>IF(ISBLANK(MiniCase_Data!H838),"missing",IF(OR(MiniCase_Data!H838&lt;27,MiniCase_Data!H838&gt;33),"밖","안"))</x:f>
        <x:v>안</x:v>
      </x:c>
      <x:c r="D838" t="n">
        <x:f>IF(ISBLANK(MiniCase_Data!H838),VLOOKUP(A838,센서로그!$A$2:$C$13,3,FALSE),MiniCase_Data!H838)</x:f>
        <x:v>30.09</x:v>
      </x:c>
      <x:c r="E838" t="n">
        <x:f>IF(AND(MiniCase_Data!C838="야간",MiniCase_Data!F838="M03"),1,0)</x:f>
        <x:v>0</x:v>
      </x:c>
      <x:c r="F838" t="n">
        <x:f>IF(C838="밖",1,0)</x:f>
        <x:v>0</x:v>
      </x:c>
      <x:c r="G838" t="n">
        <x:f>IF(OR(F838=1,E838=1),1,0)</x:f>
        <x:v>0</x:v>
      </x:c>
      <x:c r="H838" t="str">
        <x:f>IF(B838=1,IF(F838=1,"TP","FN"),IF(F838=1,"FP","TN"))</x:f>
        <x:v>TN</x:v>
      </x:c>
      <x:c r="I838" t="str">
        <x:f>IF(B838=1,IF(G838=1,"TP","FN"),IF(G838=1,"FP","TN"))</x:f>
        <x:v>TN</x:v>
      </x:c>
    </x:row>
    <x:row r="839">
      <x:c r="A839" t="str">
        <x:f>MiniCase_Data!A839</x:f>
        <x:v>R00838</x:v>
      </x:c>
      <x:c r="B839" t="n">
        <x:f>IF(MiniCase_Data!O839="불합격",1,0)</x:f>
        <x:v>0</x:v>
      </x:c>
      <x:c r="C839" t="str">
        <x:f>IF(ISBLANK(MiniCase_Data!H839),"missing",IF(OR(MiniCase_Data!H839&lt;27,MiniCase_Data!H839&gt;33),"밖","안"))</x:f>
        <x:v>안</x:v>
      </x:c>
      <x:c r="D839" t="n">
        <x:f>IF(ISBLANK(MiniCase_Data!H839),VLOOKUP(A839,센서로그!$A$2:$C$13,3,FALSE),MiniCase_Data!H839)</x:f>
        <x:v>28.47</x:v>
      </x:c>
      <x:c r="E839" t="n">
        <x:f>IF(AND(MiniCase_Data!C839="야간",MiniCase_Data!F839="M03"),1,0)</x:f>
        <x:v>0</x:v>
      </x:c>
      <x:c r="F839" t="n">
        <x:f>IF(C839="밖",1,0)</x:f>
        <x:v>0</x:v>
      </x:c>
      <x:c r="G839" t="n">
        <x:f>IF(OR(F839=1,E839=1),1,0)</x:f>
        <x:v>0</x:v>
      </x:c>
      <x:c r="H839" t="str">
        <x:f>IF(B839=1,IF(F839=1,"TP","FN"),IF(F839=1,"FP","TN"))</x:f>
        <x:v>TN</x:v>
      </x:c>
      <x:c r="I839" t="str">
        <x:f>IF(B839=1,IF(G839=1,"TP","FN"),IF(G839=1,"FP","TN"))</x:f>
        <x:v>TN</x:v>
      </x:c>
    </x:row>
    <x:row r="840">
      <x:c r="A840" t="str">
        <x:f>MiniCase_Data!A840</x:f>
        <x:v>R00839</x:v>
      </x:c>
      <x:c r="B840" t="n">
        <x:f>IF(MiniCase_Data!O840="불합격",1,0)</x:f>
        <x:v>0</x:v>
      </x:c>
      <x:c r="C840" t="str">
        <x:f>IF(ISBLANK(MiniCase_Data!H840),"missing",IF(OR(MiniCase_Data!H840&lt;27,MiniCase_Data!H840&gt;33),"밖","안"))</x:f>
        <x:v>안</x:v>
      </x:c>
      <x:c r="D840" t="n">
        <x:f>IF(ISBLANK(MiniCase_Data!H840),VLOOKUP(A840,센서로그!$A$2:$C$13,3,FALSE),MiniCase_Data!H840)</x:f>
        <x:v>30.74</x:v>
      </x:c>
      <x:c r="E840" t="n">
        <x:f>IF(AND(MiniCase_Data!C840="야간",MiniCase_Data!F840="M03"),1,0)</x:f>
        <x:v>0</x:v>
      </x:c>
      <x:c r="F840" t="n">
        <x:f>IF(C840="밖",1,0)</x:f>
        <x:v>0</x:v>
      </x:c>
      <x:c r="G840" t="n">
        <x:f>IF(OR(F840=1,E840=1),1,0)</x:f>
        <x:v>0</x:v>
      </x:c>
      <x:c r="H840" t="str">
        <x:f>IF(B840=1,IF(F840=1,"TP","FN"),IF(F840=1,"FP","TN"))</x:f>
        <x:v>TN</x:v>
      </x:c>
      <x:c r="I840" t="str">
        <x:f>IF(B840=1,IF(G840=1,"TP","FN"),IF(G840=1,"FP","TN"))</x:f>
        <x:v>TN</x:v>
      </x:c>
    </x:row>
    <x:row r="841">
      <x:c r="A841" t="str">
        <x:f>MiniCase_Data!A841</x:f>
        <x:v>R00840</x:v>
      </x:c>
      <x:c r="B841" t="n">
        <x:f>IF(MiniCase_Data!O841="불합격",1,0)</x:f>
        <x:v>0</x:v>
      </x:c>
      <x:c r="C841" t="str">
        <x:f>IF(ISBLANK(MiniCase_Data!H841),"missing",IF(OR(MiniCase_Data!H841&lt;27,MiniCase_Data!H841&gt;33),"밖","안"))</x:f>
        <x:v>안</x:v>
      </x:c>
      <x:c r="D841" t="n">
        <x:f>IF(ISBLANK(MiniCase_Data!H841),VLOOKUP(A841,센서로그!$A$2:$C$13,3,FALSE),MiniCase_Data!H841)</x:f>
        <x:v>29.71</x:v>
      </x:c>
      <x:c r="E841" t="n">
        <x:f>IF(AND(MiniCase_Data!C841="야간",MiniCase_Data!F841="M03"),1,0)</x:f>
        <x:v>0</x:v>
      </x:c>
      <x:c r="F841" t="n">
        <x:f>IF(C841="밖",1,0)</x:f>
        <x:v>0</x:v>
      </x:c>
      <x:c r="G841" t="n">
        <x:f>IF(OR(F841=1,E841=1),1,0)</x:f>
        <x:v>0</x:v>
      </x:c>
      <x:c r="H841" t="str">
        <x:f>IF(B841=1,IF(F841=1,"TP","FN"),IF(F841=1,"FP","TN"))</x:f>
        <x:v>TN</x:v>
      </x:c>
      <x:c r="I841" t="str">
        <x:f>IF(B841=1,IF(G841=1,"TP","FN"),IF(G841=1,"FP","TN"))</x:f>
        <x:v>TN</x:v>
      </x:c>
    </x:row>
    <x:row r="842">
      <x:c r="A842" t="str">
        <x:f>MiniCase_Data!A842</x:f>
        <x:v>R00841</x:v>
      </x:c>
      <x:c r="B842" t="n">
        <x:f>IF(MiniCase_Data!O842="불합격",1,0)</x:f>
        <x:v>0</x:v>
      </x:c>
      <x:c r="C842" t="str">
        <x:f>IF(ISBLANK(MiniCase_Data!H842),"missing",IF(OR(MiniCase_Data!H842&lt;27,MiniCase_Data!H842&gt;33),"밖","안"))</x:f>
        <x:v>안</x:v>
      </x:c>
      <x:c r="D842" t="n">
        <x:f>IF(ISBLANK(MiniCase_Data!H842),VLOOKUP(A842,센서로그!$A$2:$C$13,3,FALSE),MiniCase_Data!H842)</x:f>
        <x:v>29.87</x:v>
      </x:c>
      <x:c r="E842" t="n">
        <x:f>IF(AND(MiniCase_Data!C842="야간",MiniCase_Data!F842="M03"),1,0)</x:f>
        <x:v>0</x:v>
      </x:c>
      <x:c r="F842" t="n">
        <x:f>IF(C842="밖",1,0)</x:f>
        <x:v>0</x:v>
      </x:c>
      <x:c r="G842" t="n">
        <x:f>IF(OR(F842=1,E842=1),1,0)</x:f>
        <x:v>0</x:v>
      </x:c>
      <x:c r="H842" t="str">
        <x:f>IF(B842=1,IF(F842=1,"TP","FN"),IF(F842=1,"FP","TN"))</x:f>
        <x:v>TN</x:v>
      </x:c>
      <x:c r="I842" t="str">
        <x:f>IF(B842=1,IF(G842=1,"TP","FN"),IF(G842=1,"FP","TN"))</x:f>
        <x:v>TN</x:v>
      </x:c>
    </x:row>
    <x:row r="843">
      <x:c r="A843" t="str">
        <x:f>MiniCase_Data!A843</x:f>
        <x:v>R00842</x:v>
      </x:c>
      <x:c r="B843" t="n">
        <x:f>IF(MiniCase_Data!O843="불합격",1,0)</x:f>
        <x:v>0</x:v>
      </x:c>
      <x:c r="C843" t="str">
        <x:f>IF(ISBLANK(MiniCase_Data!H843),"missing",IF(OR(MiniCase_Data!H843&lt;27,MiniCase_Data!H843&gt;33),"밖","안"))</x:f>
        <x:v>안</x:v>
      </x:c>
      <x:c r="D843" t="n">
        <x:f>IF(ISBLANK(MiniCase_Data!H843),VLOOKUP(A843,센서로그!$A$2:$C$13,3,FALSE),MiniCase_Data!H843)</x:f>
        <x:v>29.08</x:v>
      </x:c>
      <x:c r="E843" t="n">
        <x:f>IF(AND(MiniCase_Data!C843="야간",MiniCase_Data!F843="M03"),1,0)</x:f>
        <x:v>0</x:v>
      </x:c>
      <x:c r="F843" t="n">
        <x:f>IF(C843="밖",1,0)</x:f>
        <x:v>0</x:v>
      </x:c>
      <x:c r="G843" t="n">
        <x:f>IF(OR(F843=1,E843=1),1,0)</x:f>
        <x:v>0</x:v>
      </x:c>
      <x:c r="H843" t="str">
        <x:f>IF(B843=1,IF(F843=1,"TP","FN"),IF(F843=1,"FP","TN"))</x:f>
        <x:v>TN</x:v>
      </x:c>
      <x:c r="I843" t="str">
        <x:f>IF(B843=1,IF(G843=1,"TP","FN"),IF(G843=1,"FP","TN"))</x:f>
        <x:v>TN</x:v>
      </x:c>
    </x:row>
    <x:row r="844">
      <x:c r="A844" t="str">
        <x:f>MiniCase_Data!A844</x:f>
        <x:v>R00843</x:v>
      </x:c>
      <x:c r="B844" t="n">
        <x:f>IF(MiniCase_Data!O844="불합격",1,0)</x:f>
        <x:v>0</x:v>
      </x:c>
      <x:c r="C844" t="str">
        <x:f>IF(ISBLANK(MiniCase_Data!H844),"missing",IF(OR(MiniCase_Data!H844&lt;27,MiniCase_Data!H844&gt;33),"밖","안"))</x:f>
        <x:v>안</x:v>
      </x:c>
      <x:c r="D844" t="n">
        <x:f>IF(ISBLANK(MiniCase_Data!H844),VLOOKUP(A844,센서로그!$A$2:$C$13,3,FALSE),MiniCase_Data!H844)</x:f>
        <x:v>31.48</x:v>
      </x:c>
      <x:c r="E844" t="n">
        <x:f>IF(AND(MiniCase_Data!C844="야간",MiniCase_Data!F844="M03"),1,0)</x:f>
        <x:v>0</x:v>
      </x:c>
      <x:c r="F844" t="n">
        <x:f>IF(C844="밖",1,0)</x:f>
        <x:v>0</x:v>
      </x:c>
      <x:c r="G844" t="n">
        <x:f>IF(OR(F844=1,E844=1),1,0)</x:f>
        <x:v>0</x:v>
      </x:c>
      <x:c r="H844" t="str">
        <x:f>IF(B844=1,IF(F844=1,"TP","FN"),IF(F844=1,"FP","TN"))</x:f>
        <x:v>TN</x:v>
      </x:c>
      <x:c r="I844" t="str">
        <x:f>IF(B844=1,IF(G844=1,"TP","FN"),IF(G844=1,"FP","TN"))</x:f>
        <x:v>TN</x:v>
      </x:c>
    </x:row>
    <x:row r="845">
      <x:c r="A845" t="str">
        <x:f>MiniCase_Data!A845</x:f>
        <x:v>R00844</x:v>
      </x:c>
      <x:c r="B845" t="n">
        <x:f>IF(MiniCase_Data!O845="불합격",1,0)</x:f>
        <x:v>0</x:v>
      </x:c>
      <x:c r="C845" t="str">
        <x:f>IF(ISBLANK(MiniCase_Data!H845),"missing",IF(OR(MiniCase_Data!H845&lt;27,MiniCase_Data!H845&gt;33),"밖","안"))</x:f>
        <x:v>안</x:v>
      </x:c>
      <x:c r="D845" t="n">
        <x:f>IF(ISBLANK(MiniCase_Data!H845),VLOOKUP(A845,센서로그!$A$2:$C$13,3,FALSE),MiniCase_Data!H845)</x:f>
        <x:v>30.96</x:v>
      </x:c>
      <x:c r="E845" t="n">
        <x:f>IF(AND(MiniCase_Data!C845="야간",MiniCase_Data!F845="M03"),1,0)</x:f>
        <x:v>0</x:v>
      </x:c>
      <x:c r="F845" t="n">
        <x:f>IF(C845="밖",1,0)</x:f>
        <x:v>0</x:v>
      </x:c>
      <x:c r="G845" t="n">
        <x:f>IF(OR(F845=1,E845=1),1,0)</x:f>
        <x:v>0</x:v>
      </x:c>
      <x:c r="H845" t="str">
        <x:f>IF(B845=1,IF(F845=1,"TP","FN"),IF(F845=1,"FP","TN"))</x:f>
        <x:v>TN</x:v>
      </x:c>
      <x:c r="I845" t="str">
        <x:f>IF(B845=1,IF(G845=1,"TP","FN"),IF(G845=1,"FP","TN"))</x:f>
        <x:v>TN</x:v>
      </x:c>
    </x:row>
    <x:row r="846">
      <x:c r="A846" t="str">
        <x:f>MiniCase_Data!A846</x:f>
        <x:v>R00845</x:v>
      </x:c>
      <x:c r="B846" t="n">
        <x:f>IF(MiniCase_Data!O846="불합격",1,0)</x:f>
        <x:v>0</x:v>
      </x:c>
      <x:c r="C846" t="str">
        <x:f>IF(ISBLANK(MiniCase_Data!H846),"missing",IF(OR(MiniCase_Data!H846&lt;27,MiniCase_Data!H846&gt;33),"밖","안"))</x:f>
        <x:v>missing</x:v>
      </x:c>
      <x:c r="D846" t="n">
        <x:f>IF(ISBLANK(MiniCase_Data!H846),VLOOKUP(A846,센서로그!$A$2:$C$13,3,FALSE),MiniCase_Data!H846)</x:f>
        <x:v>30.65</x:v>
      </x:c>
      <x:c r="E846" t="n">
        <x:f>IF(AND(MiniCase_Data!C846="야간",MiniCase_Data!F846="M03"),1,0)</x:f>
        <x:v>0</x:v>
      </x:c>
      <x:c r="F846" t="n">
        <x:f>IF(C846="밖",1,0)</x:f>
        <x:v>0</x:v>
      </x:c>
      <x:c r="G846" t="n">
        <x:f>IF(OR(F846=1,E846=1),1,0)</x:f>
        <x:v>0</x:v>
      </x:c>
      <x:c r="H846" t="str">
        <x:f>IF(B846=1,IF(F846=1,"TP","FN"),IF(F846=1,"FP","TN"))</x:f>
        <x:v>TN</x:v>
      </x:c>
      <x:c r="I846" t="str">
        <x:f>IF(B846=1,IF(G846=1,"TP","FN"),IF(G846=1,"FP","TN"))</x:f>
        <x:v>TN</x:v>
      </x:c>
    </x:row>
    <x:row r="847">
      <x:c r="A847" t="str">
        <x:f>MiniCase_Data!A847</x:f>
        <x:v>R00846</x:v>
      </x:c>
      <x:c r="B847" t="n">
        <x:f>IF(MiniCase_Data!O847="불합격",1,0)</x:f>
        <x:v>0</x:v>
      </x:c>
      <x:c r="C847" t="str">
        <x:f>IF(ISBLANK(MiniCase_Data!H847),"missing",IF(OR(MiniCase_Data!H847&lt;27,MiniCase_Data!H847&gt;33),"밖","안"))</x:f>
        <x:v>안</x:v>
      </x:c>
      <x:c r="D847" t="n">
        <x:f>IF(ISBLANK(MiniCase_Data!H847),VLOOKUP(A847,센서로그!$A$2:$C$13,3,FALSE),MiniCase_Data!H847)</x:f>
        <x:v>29.54</x:v>
      </x:c>
      <x:c r="E847" t="n">
        <x:f>IF(AND(MiniCase_Data!C847="야간",MiniCase_Data!F847="M03"),1,0)</x:f>
        <x:v>0</x:v>
      </x:c>
      <x:c r="F847" t="n">
        <x:f>IF(C847="밖",1,0)</x:f>
        <x:v>0</x:v>
      </x:c>
      <x:c r="G847" t="n">
        <x:f>IF(OR(F847=1,E847=1),1,0)</x:f>
        <x:v>0</x:v>
      </x:c>
      <x:c r="H847" t="str">
        <x:f>IF(B847=1,IF(F847=1,"TP","FN"),IF(F847=1,"FP","TN"))</x:f>
        <x:v>TN</x:v>
      </x:c>
      <x:c r="I847" t="str">
        <x:f>IF(B847=1,IF(G847=1,"TP","FN"),IF(G847=1,"FP","TN"))</x:f>
        <x:v>TN</x:v>
      </x:c>
    </x:row>
    <x:row r="848">
      <x:c r="A848" t="str">
        <x:f>MiniCase_Data!A848</x:f>
        <x:v>R00847</x:v>
      </x:c>
      <x:c r="B848" t="n">
        <x:f>IF(MiniCase_Data!O848="불합격",1,0)</x:f>
        <x:v>0</x:v>
      </x:c>
      <x:c r="C848" t="str">
        <x:f>IF(ISBLANK(MiniCase_Data!H848),"missing",IF(OR(MiniCase_Data!H848&lt;27,MiniCase_Data!H848&gt;33),"밖","안"))</x:f>
        <x:v>안</x:v>
      </x:c>
      <x:c r="D848" t="n">
        <x:f>IF(ISBLANK(MiniCase_Data!H848),VLOOKUP(A848,센서로그!$A$2:$C$13,3,FALSE),MiniCase_Data!H848)</x:f>
        <x:v>28.87</x:v>
      </x:c>
      <x:c r="E848" t="n">
        <x:f>IF(AND(MiniCase_Data!C848="야간",MiniCase_Data!F848="M03"),1,0)</x:f>
        <x:v>0</x:v>
      </x:c>
      <x:c r="F848" t="n">
        <x:f>IF(C848="밖",1,0)</x:f>
        <x:v>0</x:v>
      </x:c>
      <x:c r="G848" t="n">
        <x:f>IF(OR(F848=1,E848=1),1,0)</x:f>
        <x:v>0</x:v>
      </x:c>
      <x:c r="H848" t="str">
        <x:f>IF(B848=1,IF(F848=1,"TP","FN"),IF(F848=1,"FP","TN"))</x:f>
        <x:v>TN</x:v>
      </x:c>
      <x:c r="I848" t="str">
        <x:f>IF(B848=1,IF(G848=1,"TP","FN"),IF(G848=1,"FP","TN"))</x:f>
        <x:v>TN</x:v>
      </x:c>
    </x:row>
    <x:row r="849">
      <x:c r="A849" t="str">
        <x:f>MiniCase_Data!A849</x:f>
        <x:v>R00848</x:v>
      </x:c>
      <x:c r="B849" t="n">
        <x:f>IF(MiniCase_Data!O849="불합격",1,0)</x:f>
        <x:v>0</x:v>
      </x:c>
      <x:c r="C849" t="str">
        <x:f>IF(ISBLANK(MiniCase_Data!H849),"missing",IF(OR(MiniCase_Data!H849&lt;27,MiniCase_Data!H849&gt;33),"밖","안"))</x:f>
        <x:v>안</x:v>
      </x:c>
      <x:c r="D849" t="n">
        <x:f>IF(ISBLANK(MiniCase_Data!H849),VLOOKUP(A849,센서로그!$A$2:$C$13,3,FALSE),MiniCase_Data!H849)</x:f>
        <x:v>32.11</x:v>
      </x:c>
      <x:c r="E849" t="n">
        <x:f>IF(AND(MiniCase_Data!C849="야간",MiniCase_Data!F849="M03"),1,0)</x:f>
        <x:v>0</x:v>
      </x:c>
      <x:c r="F849" t="n">
        <x:f>IF(C849="밖",1,0)</x:f>
        <x:v>0</x:v>
      </x:c>
      <x:c r="G849" t="n">
        <x:f>IF(OR(F849=1,E849=1),1,0)</x:f>
        <x:v>0</x:v>
      </x:c>
      <x:c r="H849" t="str">
        <x:f>IF(B849=1,IF(F849=1,"TP","FN"),IF(F849=1,"FP","TN"))</x:f>
        <x:v>TN</x:v>
      </x:c>
      <x:c r="I849" t="str">
        <x:f>IF(B849=1,IF(G849=1,"TP","FN"),IF(G849=1,"FP","TN"))</x:f>
        <x:v>TN</x:v>
      </x:c>
    </x:row>
    <x:row r="850">
      <x:c r="A850" t="str">
        <x:f>MiniCase_Data!A850</x:f>
        <x:v>R00849</x:v>
      </x:c>
      <x:c r="B850" t="n">
        <x:f>IF(MiniCase_Data!O850="불합격",1,0)</x:f>
        <x:v>0</x:v>
      </x:c>
      <x:c r="C850" t="str">
        <x:f>IF(ISBLANK(MiniCase_Data!H850),"missing",IF(OR(MiniCase_Data!H850&lt;27,MiniCase_Data!H850&gt;33),"밖","안"))</x:f>
        <x:v>안</x:v>
      </x:c>
      <x:c r="D850" t="n">
        <x:f>IF(ISBLANK(MiniCase_Data!H850),VLOOKUP(A850,센서로그!$A$2:$C$13,3,FALSE),MiniCase_Data!H850)</x:f>
        <x:v>28.78</x:v>
      </x:c>
      <x:c r="E850" t="n">
        <x:f>IF(AND(MiniCase_Data!C850="야간",MiniCase_Data!F850="M03"),1,0)</x:f>
        <x:v>0</x:v>
      </x:c>
      <x:c r="F850" t="n">
        <x:f>IF(C850="밖",1,0)</x:f>
        <x:v>0</x:v>
      </x:c>
      <x:c r="G850" t="n">
        <x:f>IF(OR(F850=1,E850=1),1,0)</x:f>
        <x:v>0</x:v>
      </x:c>
      <x:c r="H850" t="str">
        <x:f>IF(B850=1,IF(F850=1,"TP","FN"),IF(F850=1,"FP","TN"))</x:f>
        <x:v>TN</x:v>
      </x:c>
      <x:c r="I850" t="str">
        <x:f>IF(B850=1,IF(G850=1,"TP","FN"),IF(G850=1,"FP","TN"))</x:f>
        <x:v>TN</x:v>
      </x:c>
    </x:row>
    <x:row r="851">
      <x:c r="A851" t="str">
        <x:f>MiniCase_Data!A851</x:f>
        <x:v>R00850</x:v>
      </x:c>
      <x:c r="B851" t="n">
        <x:f>IF(MiniCase_Data!O851="불합격",1,0)</x:f>
        <x:v>0</x:v>
      </x:c>
      <x:c r="C851" t="str">
        <x:f>IF(ISBLANK(MiniCase_Data!H851),"missing",IF(OR(MiniCase_Data!H851&lt;27,MiniCase_Data!H851&gt;33),"밖","안"))</x:f>
        <x:v>안</x:v>
      </x:c>
      <x:c r="D851" t="n">
        <x:f>IF(ISBLANK(MiniCase_Data!H851),VLOOKUP(A851,센서로그!$A$2:$C$13,3,FALSE),MiniCase_Data!H851)</x:f>
        <x:v>28.36</x:v>
      </x:c>
      <x:c r="E851" t="n">
        <x:f>IF(AND(MiniCase_Data!C851="야간",MiniCase_Data!F851="M03"),1,0)</x:f>
        <x:v>0</x:v>
      </x:c>
      <x:c r="F851" t="n">
        <x:f>IF(C851="밖",1,0)</x:f>
        <x:v>0</x:v>
      </x:c>
      <x:c r="G851" t="n">
        <x:f>IF(OR(F851=1,E851=1),1,0)</x:f>
        <x:v>0</x:v>
      </x:c>
      <x:c r="H851" t="str">
        <x:f>IF(B851=1,IF(F851=1,"TP","FN"),IF(F851=1,"FP","TN"))</x:f>
        <x:v>TN</x:v>
      </x:c>
      <x:c r="I851" t="str">
        <x:f>IF(B851=1,IF(G851=1,"TP","FN"),IF(G851=1,"FP","TN"))</x:f>
        <x:v>TN</x:v>
      </x:c>
    </x:row>
    <x:row r="852">
      <x:c r="A852" t="str">
        <x:f>MiniCase_Data!A852</x:f>
        <x:v>R00851</x:v>
      </x:c>
      <x:c r="B852" t="n">
        <x:f>IF(MiniCase_Data!O852="불합격",1,0)</x:f>
        <x:v>0</x:v>
      </x:c>
      <x:c r="C852" t="str">
        <x:f>IF(ISBLANK(MiniCase_Data!H852),"missing",IF(OR(MiniCase_Data!H852&lt;27,MiniCase_Data!H852&gt;33),"밖","안"))</x:f>
        <x:v>안</x:v>
      </x:c>
      <x:c r="D852" t="n">
        <x:f>IF(ISBLANK(MiniCase_Data!H852),VLOOKUP(A852,센서로그!$A$2:$C$13,3,FALSE),MiniCase_Data!H852)</x:f>
        <x:v>29.86</x:v>
      </x:c>
      <x:c r="E852" t="n">
        <x:f>IF(AND(MiniCase_Data!C852="야간",MiniCase_Data!F852="M03"),1,0)</x:f>
        <x:v>0</x:v>
      </x:c>
      <x:c r="F852" t="n">
        <x:f>IF(C852="밖",1,0)</x:f>
        <x:v>0</x:v>
      </x:c>
      <x:c r="G852" t="n">
        <x:f>IF(OR(F852=1,E852=1),1,0)</x:f>
        <x:v>0</x:v>
      </x:c>
      <x:c r="H852" t="str">
        <x:f>IF(B852=1,IF(F852=1,"TP","FN"),IF(F852=1,"FP","TN"))</x:f>
        <x:v>TN</x:v>
      </x:c>
      <x:c r="I852" t="str">
        <x:f>IF(B852=1,IF(G852=1,"TP","FN"),IF(G852=1,"FP","TN"))</x:f>
        <x:v>TN</x:v>
      </x:c>
    </x:row>
    <x:row r="853">
      <x:c r="A853" t="str">
        <x:f>MiniCase_Data!A853</x:f>
        <x:v>R00852</x:v>
      </x:c>
      <x:c r="B853" t="n">
        <x:f>IF(MiniCase_Data!O853="불합격",1,0)</x:f>
        <x:v>0</x:v>
      </x:c>
      <x:c r="C853" t="str">
        <x:f>IF(ISBLANK(MiniCase_Data!H853),"missing",IF(OR(MiniCase_Data!H853&lt;27,MiniCase_Data!H853&gt;33),"밖","안"))</x:f>
        <x:v>안</x:v>
      </x:c>
      <x:c r="D853" t="n">
        <x:f>IF(ISBLANK(MiniCase_Data!H853),VLOOKUP(A853,센서로그!$A$2:$C$13,3,FALSE),MiniCase_Data!H853)</x:f>
        <x:v>28.93</x:v>
      </x:c>
      <x:c r="E853" t="n">
        <x:f>IF(AND(MiniCase_Data!C853="야간",MiniCase_Data!F853="M03"),1,0)</x:f>
        <x:v>0</x:v>
      </x:c>
      <x:c r="F853" t="n">
        <x:f>IF(C853="밖",1,0)</x:f>
        <x:v>0</x:v>
      </x:c>
      <x:c r="G853" t="n">
        <x:f>IF(OR(F853=1,E853=1),1,0)</x:f>
        <x:v>0</x:v>
      </x:c>
      <x:c r="H853" t="str">
        <x:f>IF(B853=1,IF(F853=1,"TP","FN"),IF(F853=1,"FP","TN"))</x:f>
        <x:v>TN</x:v>
      </x:c>
      <x:c r="I853" t="str">
        <x:f>IF(B853=1,IF(G853=1,"TP","FN"),IF(G853=1,"FP","TN"))</x:f>
        <x:v>TN</x:v>
      </x:c>
    </x:row>
    <x:row r="854">
      <x:c r="A854" t="str">
        <x:f>MiniCase_Data!A854</x:f>
        <x:v>R00853</x:v>
      </x:c>
      <x:c r="B854" t="n">
        <x:f>IF(MiniCase_Data!O854="불합격",1,0)</x:f>
        <x:v>0</x:v>
      </x:c>
      <x:c r="C854" t="str">
        <x:f>IF(ISBLANK(MiniCase_Data!H854),"missing",IF(OR(MiniCase_Data!H854&lt;27,MiniCase_Data!H854&gt;33),"밖","안"))</x:f>
        <x:v>안</x:v>
      </x:c>
      <x:c r="D854" t="n">
        <x:f>IF(ISBLANK(MiniCase_Data!H854),VLOOKUP(A854,센서로그!$A$2:$C$13,3,FALSE),MiniCase_Data!H854)</x:f>
        <x:v>29.01</x:v>
      </x:c>
      <x:c r="E854" t="n">
        <x:f>IF(AND(MiniCase_Data!C854="야간",MiniCase_Data!F854="M03"),1,0)</x:f>
        <x:v>0</x:v>
      </x:c>
      <x:c r="F854" t="n">
        <x:f>IF(C854="밖",1,0)</x:f>
        <x:v>0</x:v>
      </x:c>
      <x:c r="G854" t="n">
        <x:f>IF(OR(F854=1,E854=1),1,0)</x:f>
        <x:v>0</x:v>
      </x:c>
      <x:c r="H854" t="str">
        <x:f>IF(B854=1,IF(F854=1,"TP","FN"),IF(F854=1,"FP","TN"))</x:f>
        <x:v>TN</x:v>
      </x:c>
      <x:c r="I854" t="str">
        <x:f>IF(B854=1,IF(G854=1,"TP","FN"),IF(G854=1,"FP","TN"))</x:f>
        <x:v>TN</x:v>
      </x:c>
    </x:row>
    <x:row r="855">
      <x:c r="A855" t="str">
        <x:f>MiniCase_Data!A855</x:f>
        <x:v>R00854</x:v>
      </x:c>
      <x:c r="B855" t="n">
        <x:f>IF(MiniCase_Data!O855="불합격",1,0)</x:f>
        <x:v>0</x:v>
      </x:c>
      <x:c r="C855" t="str">
        <x:f>IF(ISBLANK(MiniCase_Data!H855),"missing",IF(OR(MiniCase_Data!H855&lt;27,MiniCase_Data!H855&gt;33),"밖","안"))</x:f>
        <x:v>밖</x:v>
      </x:c>
      <x:c r="D855" t="n">
        <x:f>IF(ISBLANK(MiniCase_Data!H855),VLOOKUP(A855,센서로그!$A$2:$C$13,3,FALSE),MiniCase_Data!H855)</x:f>
        <x:v>26.47</x:v>
      </x:c>
      <x:c r="E855" t="n">
        <x:f>IF(AND(MiniCase_Data!C855="야간",MiniCase_Data!F855="M03"),1,0)</x:f>
        <x:v>1</x:v>
      </x:c>
      <x:c r="F855" t="n">
        <x:f>IF(C855="밖",1,0)</x:f>
        <x:v>1</x:v>
      </x:c>
      <x:c r="G855" t="n">
        <x:f>IF(OR(F855=1,E855=1),1,0)</x:f>
        <x:v>1</x:v>
      </x:c>
      <x:c r="H855" t="str">
        <x:f>IF(B855=1,IF(F855=1,"TP","FN"),IF(F855=1,"FP","TN"))</x:f>
        <x:v>FP</x:v>
      </x:c>
      <x:c r="I855" t="str">
        <x:f>IF(B855=1,IF(G855=1,"TP","FN"),IF(G855=1,"FP","TN"))</x:f>
        <x:v>FP</x:v>
      </x:c>
    </x:row>
    <x:row r="856">
      <x:c r="A856" t="str">
        <x:f>MiniCase_Data!A856</x:f>
        <x:v>R00855</x:v>
      </x:c>
      <x:c r="B856" t="n">
        <x:f>IF(MiniCase_Data!O856="불합격",1,0)</x:f>
        <x:v>0</x:v>
      </x:c>
      <x:c r="C856" t="str">
        <x:f>IF(ISBLANK(MiniCase_Data!H856),"missing",IF(OR(MiniCase_Data!H856&lt;27,MiniCase_Data!H856&gt;33),"밖","안"))</x:f>
        <x:v>안</x:v>
      </x:c>
      <x:c r="D856" t="n">
        <x:f>IF(ISBLANK(MiniCase_Data!H856),VLOOKUP(A856,센서로그!$A$2:$C$13,3,FALSE),MiniCase_Data!H856)</x:f>
        <x:v>32.09</x:v>
      </x:c>
      <x:c r="E856" t="n">
        <x:f>IF(AND(MiniCase_Data!C856="야간",MiniCase_Data!F856="M03"),1,0)</x:f>
        <x:v>0</x:v>
      </x:c>
      <x:c r="F856" t="n">
        <x:f>IF(C856="밖",1,0)</x:f>
        <x:v>0</x:v>
      </x:c>
      <x:c r="G856" t="n">
        <x:f>IF(OR(F856=1,E856=1),1,0)</x:f>
        <x:v>0</x:v>
      </x:c>
      <x:c r="H856" t="str">
        <x:f>IF(B856=1,IF(F856=1,"TP","FN"),IF(F856=1,"FP","TN"))</x:f>
        <x:v>TN</x:v>
      </x:c>
      <x:c r="I856" t="str">
        <x:f>IF(B856=1,IF(G856=1,"TP","FN"),IF(G856=1,"FP","TN"))</x:f>
        <x:v>TN</x:v>
      </x:c>
    </x:row>
    <x:row r="857">
      <x:c r="A857" t="str">
        <x:f>MiniCase_Data!A857</x:f>
        <x:v>R00856</x:v>
      </x:c>
      <x:c r="B857" t="n">
        <x:f>IF(MiniCase_Data!O857="불합격",1,0)</x:f>
        <x:v>0</x:v>
      </x:c>
      <x:c r="C857" t="str">
        <x:f>IF(ISBLANK(MiniCase_Data!H857),"missing",IF(OR(MiniCase_Data!H857&lt;27,MiniCase_Data!H857&gt;33),"밖","안"))</x:f>
        <x:v>안</x:v>
      </x:c>
      <x:c r="D857" t="n">
        <x:f>IF(ISBLANK(MiniCase_Data!H857),VLOOKUP(A857,센서로그!$A$2:$C$13,3,FALSE),MiniCase_Data!H857)</x:f>
        <x:v>32.18</x:v>
      </x:c>
      <x:c r="E857" t="n">
        <x:f>IF(AND(MiniCase_Data!C857="야간",MiniCase_Data!F857="M03"),1,0)</x:f>
        <x:v>0</x:v>
      </x:c>
      <x:c r="F857" t="n">
        <x:f>IF(C857="밖",1,0)</x:f>
        <x:v>0</x:v>
      </x:c>
      <x:c r="G857" t="n">
        <x:f>IF(OR(F857=1,E857=1),1,0)</x:f>
        <x:v>0</x:v>
      </x:c>
      <x:c r="H857" t="str">
        <x:f>IF(B857=1,IF(F857=1,"TP","FN"),IF(F857=1,"FP","TN"))</x:f>
        <x:v>TN</x:v>
      </x:c>
      <x:c r="I857" t="str">
        <x:f>IF(B857=1,IF(G857=1,"TP","FN"),IF(G857=1,"FP","TN"))</x:f>
        <x:v>TN</x:v>
      </x:c>
    </x:row>
    <x:row r="858">
      <x:c r="A858" t="str">
        <x:f>MiniCase_Data!A858</x:f>
        <x:v>R00857</x:v>
      </x:c>
      <x:c r="B858" t="n">
        <x:f>IF(MiniCase_Data!O858="불합격",1,0)</x:f>
        <x:v>0</x:v>
      </x:c>
      <x:c r="C858" t="str">
        <x:f>IF(ISBLANK(MiniCase_Data!H858),"missing",IF(OR(MiniCase_Data!H858&lt;27,MiniCase_Data!H858&gt;33),"밖","안"))</x:f>
        <x:v>안</x:v>
      </x:c>
      <x:c r="D858" t="n">
        <x:f>IF(ISBLANK(MiniCase_Data!H858),VLOOKUP(A858,센서로그!$A$2:$C$13,3,FALSE),MiniCase_Data!H858)</x:f>
        <x:v>29.68</x:v>
      </x:c>
      <x:c r="E858" t="n">
        <x:f>IF(AND(MiniCase_Data!C858="야간",MiniCase_Data!F858="M03"),1,0)</x:f>
        <x:v>0</x:v>
      </x:c>
      <x:c r="F858" t="n">
        <x:f>IF(C858="밖",1,0)</x:f>
        <x:v>0</x:v>
      </x:c>
      <x:c r="G858" t="n">
        <x:f>IF(OR(F858=1,E858=1),1,0)</x:f>
        <x:v>0</x:v>
      </x:c>
      <x:c r="H858" t="str">
        <x:f>IF(B858=1,IF(F858=1,"TP","FN"),IF(F858=1,"FP","TN"))</x:f>
        <x:v>TN</x:v>
      </x:c>
      <x:c r="I858" t="str">
        <x:f>IF(B858=1,IF(G858=1,"TP","FN"),IF(G858=1,"FP","TN"))</x:f>
        <x:v>TN</x:v>
      </x:c>
    </x:row>
    <x:row r="859">
      <x:c r="A859" t="str">
        <x:f>MiniCase_Data!A859</x:f>
        <x:v>R00858</x:v>
      </x:c>
      <x:c r="B859" t="n">
        <x:f>IF(MiniCase_Data!O859="불합격",1,0)</x:f>
        <x:v>0</x:v>
      </x:c>
      <x:c r="C859" t="str">
        <x:f>IF(ISBLANK(MiniCase_Data!H859),"missing",IF(OR(MiniCase_Data!H859&lt;27,MiniCase_Data!H859&gt;33),"밖","안"))</x:f>
        <x:v>안</x:v>
      </x:c>
      <x:c r="D859" t="n">
        <x:f>IF(ISBLANK(MiniCase_Data!H859),VLOOKUP(A859,센서로그!$A$2:$C$13,3,FALSE),MiniCase_Data!H859)</x:f>
        <x:v>32.06</x:v>
      </x:c>
      <x:c r="E859" t="n">
        <x:f>IF(AND(MiniCase_Data!C859="야간",MiniCase_Data!F859="M03"),1,0)</x:f>
        <x:v>0</x:v>
      </x:c>
      <x:c r="F859" t="n">
        <x:f>IF(C859="밖",1,0)</x:f>
        <x:v>0</x:v>
      </x:c>
      <x:c r="G859" t="n">
        <x:f>IF(OR(F859=1,E859=1),1,0)</x:f>
        <x:v>0</x:v>
      </x:c>
      <x:c r="H859" t="str">
        <x:f>IF(B859=1,IF(F859=1,"TP","FN"),IF(F859=1,"FP","TN"))</x:f>
        <x:v>TN</x:v>
      </x:c>
      <x:c r="I859" t="str">
        <x:f>IF(B859=1,IF(G859=1,"TP","FN"),IF(G859=1,"FP","TN"))</x:f>
        <x:v>TN</x:v>
      </x:c>
    </x:row>
    <x:row r="860">
      <x:c r="A860" t="str">
        <x:f>MiniCase_Data!A860</x:f>
        <x:v>R00859</x:v>
      </x:c>
      <x:c r="B860" t="n">
        <x:f>IF(MiniCase_Data!O860="불합격",1,0)</x:f>
        <x:v>0</x:v>
      </x:c>
      <x:c r="C860" t="str">
        <x:f>IF(ISBLANK(MiniCase_Data!H860),"missing",IF(OR(MiniCase_Data!H860&lt;27,MiniCase_Data!H860&gt;33),"밖","안"))</x:f>
        <x:v>안</x:v>
      </x:c>
      <x:c r="D860" t="n">
        <x:f>IF(ISBLANK(MiniCase_Data!H860),VLOOKUP(A860,센서로그!$A$2:$C$13,3,FALSE),MiniCase_Data!H860)</x:f>
        <x:v>27.7</x:v>
      </x:c>
      <x:c r="E860" t="n">
        <x:f>IF(AND(MiniCase_Data!C860="야간",MiniCase_Data!F860="M03"),1,0)</x:f>
        <x:v>0</x:v>
      </x:c>
      <x:c r="F860" t="n">
        <x:f>IF(C860="밖",1,0)</x:f>
        <x:v>0</x:v>
      </x:c>
      <x:c r="G860" t="n">
        <x:f>IF(OR(F860=1,E860=1),1,0)</x:f>
        <x:v>0</x:v>
      </x:c>
      <x:c r="H860" t="str">
        <x:f>IF(B860=1,IF(F860=1,"TP","FN"),IF(F860=1,"FP","TN"))</x:f>
        <x:v>TN</x:v>
      </x:c>
      <x:c r="I860" t="str">
        <x:f>IF(B860=1,IF(G860=1,"TP","FN"),IF(G860=1,"FP","TN"))</x:f>
        <x:v>TN</x:v>
      </x:c>
    </x:row>
    <x:row r="861">
      <x:c r="A861" t="str">
        <x:f>MiniCase_Data!A861</x:f>
        <x:v>R00860</x:v>
      </x:c>
      <x:c r="B861" t="n">
        <x:f>IF(MiniCase_Data!O861="불합격",1,0)</x:f>
        <x:v>0</x:v>
      </x:c>
      <x:c r="C861" t="str">
        <x:f>IF(ISBLANK(MiniCase_Data!H861),"missing",IF(OR(MiniCase_Data!H861&lt;27,MiniCase_Data!H861&gt;33),"밖","안"))</x:f>
        <x:v>안</x:v>
      </x:c>
      <x:c r="D861" t="n">
        <x:f>IF(ISBLANK(MiniCase_Data!H861),VLOOKUP(A861,센서로그!$A$2:$C$13,3,FALSE),MiniCase_Data!H861)</x:f>
        <x:v>27.78</x:v>
      </x:c>
      <x:c r="E861" t="n">
        <x:f>IF(AND(MiniCase_Data!C861="야간",MiniCase_Data!F861="M03"),1,0)</x:f>
        <x:v>0</x:v>
      </x:c>
      <x:c r="F861" t="n">
        <x:f>IF(C861="밖",1,0)</x:f>
        <x:v>0</x:v>
      </x:c>
      <x:c r="G861" t="n">
        <x:f>IF(OR(F861=1,E861=1),1,0)</x:f>
        <x:v>0</x:v>
      </x:c>
      <x:c r="H861" t="str">
        <x:f>IF(B861=1,IF(F861=1,"TP","FN"),IF(F861=1,"FP","TN"))</x:f>
        <x:v>TN</x:v>
      </x:c>
      <x:c r="I861" t="str">
        <x:f>IF(B861=1,IF(G861=1,"TP","FN"),IF(G861=1,"FP","TN"))</x:f>
        <x:v>TN</x:v>
      </x:c>
    </x:row>
    <x:row r="862">
      <x:c r="A862" t="str">
        <x:f>MiniCase_Data!A862</x:f>
        <x:v>R00861</x:v>
      </x:c>
      <x:c r="B862" t="n">
        <x:f>IF(MiniCase_Data!O862="불합격",1,0)</x:f>
        <x:v>0</x:v>
      </x:c>
      <x:c r="C862" t="str">
        <x:f>IF(ISBLANK(MiniCase_Data!H862),"missing",IF(OR(MiniCase_Data!H862&lt;27,MiniCase_Data!H862&gt;33),"밖","안"))</x:f>
        <x:v>안</x:v>
      </x:c>
      <x:c r="D862" t="n">
        <x:f>IF(ISBLANK(MiniCase_Data!H862),VLOOKUP(A862,센서로그!$A$2:$C$13,3,FALSE),MiniCase_Data!H862)</x:f>
        <x:v>31.64</x:v>
      </x:c>
      <x:c r="E862" t="n">
        <x:f>IF(AND(MiniCase_Data!C862="야간",MiniCase_Data!F862="M03"),1,0)</x:f>
        <x:v>0</x:v>
      </x:c>
      <x:c r="F862" t="n">
        <x:f>IF(C862="밖",1,0)</x:f>
        <x:v>0</x:v>
      </x:c>
      <x:c r="G862" t="n">
        <x:f>IF(OR(F862=1,E862=1),1,0)</x:f>
        <x:v>0</x:v>
      </x:c>
      <x:c r="H862" t="str">
        <x:f>IF(B862=1,IF(F862=1,"TP","FN"),IF(F862=1,"FP","TN"))</x:f>
        <x:v>TN</x:v>
      </x:c>
      <x:c r="I862" t="str">
        <x:f>IF(B862=1,IF(G862=1,"TP","FN"),IF(G862=1,"FP","TN"))</x:f>
        <x:v>TN</x:v>
      </x:c>
    </x:row>
    <x:row r="863">
      <x:c r="A863" t="str">
        <x:f>MiniCase_Data!A863</x:f>
        <x:v>R00862</x:v>
      </x:c>
      <x:c r="B863" t="n">
        <x:f>IF(MiniCase_Data!O863="불합격",1,0)</x:f>
        <x:v>0</x:v>
      </x:c>
      <x:c r="C863" t="str">
        <x:f>IF(ISBLANK(MiniCase_Data!H863),"missing",IF(OR(MiniCase_Data!H863&lt;27,MiniCase_Data!H863&gt;33),"밖","안"))</x:f>
        <x:v>안</x:v>
      </x:c>
      <x:c r="D863" t="n">
        <x:f>IF(ISBLANK(MiniCase_Data!H863),VLOOKUP(A863,센서로그!$A$2:$C$13,3,FALSE),MiniCase_Data!H863)</x:f>
        <x:v>32.15</x:v>
      </x:c>
      <x:c r="E863" t="n">
        <x:f>IF(AND(MiniCase_Data!C863="야간",MiniCase_Data!F863="M03"),1,0)</x:f>
        <x:v>0</x:v>
      </x:c>
      <x:c r="F863" t="n">
        <x:f>IF(C863="밖",1,0)</x:f>
        <x:v>0</x:v>
      </x:c>
      <x:c r="G863" t="n">
        <x:f>IF(OR(F863=1,E863=1),1,0)</x:f>
        <x:v>0</x:v>
      </x:c>
      <x:c r="H863" t="str">
        <x:f>IF(B863=1,IF(F863=1,"TP","FN"),IF(F863=1,"FP","TN"))</x:f>
        <x:v>TN</x:v>
      </x:c>
      <x:c r="I863" t="str">
        <x:f>IF(B863=1,IF(G863=1,"TP","FN"),IF(G863=1,"FP","TN"))</x:f>
        <x:v>TN</x:v>
      </x:c>
    </x:row>
    <x:row r="864">
      <x:c r="A864" t="str">
        <x:f>MiniCase_Data!A864</x:f>
        <x:v>R00863</x:v>
      </x:c>
      <x:c r="B864" t="n">
        <x:f>IF(MiniCase_Data!O864="불합격",1,0)</x:f>
        <x:v>0</x:v>
      </x:c>
      <x:c r="C864" t="str">
        <x:f>IF(ISBLANK(MiniCase_Data!H864),"missing",IF(OR(MiniCase_Data!H864&lt;27,MiniCase_Data!H864&gt;33),"밖","안"))</x:f>
        <x:v>밖</x:v>
      </x:c>
      <x:c r="D864" t="n">
        <x:f>IF(ISBLANK(MiniCase_Data!H864),VLOOKUP(A864,센서로그!$A$2:$C$13,3,FALSE),MiniCase_Data!H864)</x:f>
        <x:v>34.02</x:v>
      </x:c>
      <x:c r="E864" t="n">
        <x:f>IF(AND(MiniCase_Data!C864="야간",MiniCase_Data!F864="M03"),1,0)</x:f>
        <x:v>1</x:v>
      </x:c>
      <x:c r="F864" t="n">
        <x:f>IF(C864="밖",1,0)</x:f>
        <x:v>1</x:v>
      </x:c>
      <x:c r="G864" t="n">
        <x:f>IF(OR(F864=1,E864=1),1,0)</x:f>
        <x:v>1</x:v>
      </x:c>
      <x:c r="H864" t="str">
        <x:f>IF(B864=1,IF(F864=1,"TP","FN"),IF(F864=1,"FP","TN"))</x:f>
        <x:v>FP</x:v>
      </x:c>
      <x:c r="I864" t="str">
        <x:f>IF(B864=1,IF(G864=1,"TP","FN"),IF(G864=1,"FP","TN"))</x:f>
        <x:v>FP</x:v>
      </x:c>
    </x:row>
    <x:row r="865">
      <x:c r="A865" t="str">
        <x:f>MiniCase_Data!A865</x:f>
        <x:v>R00864</x:v>
      </x:c>
      <x:c r="B865" t="n">
        <x:f>IF(MiniCase_Data!O865="불합격",1,0)</x:f>
        <x:v>0</x:v>
      </x:c>
      <x:c r="C865" t="str">
        <x:f>IF(ISBLANK(MiniCase_Data!H865),"missing",IF(OR(MiniCase_Data!H865&lt;27,MiniCase_Data!H865&gt;33),"밖","안"))</x:f>
        <x:v>안</x:v>
      </x:c>
      <x:c r="D865" t="n">
        <x:f>IF(ISBLANK(MiniCase_Data!H865),VLOOKUP(A865,센서로그!$A$2:$C$13,3,FALSE),MiniCase_Data!H865)</x:f>
        <x:v>28.5</x:v>
      </x:c>
      <x:c r="E865" t="n">
        <x:f>IF(AND(MiniCase_Data!C865="야간",MiniCase_Data!F865="M03"),1,0)</x:f>
        <x:v>0</x:v>
      </x:c>
      <x:c r="F865" t="n">
        <x:f>IF(C865="밖",1,0)</x:f>
        <x:v>0</x:v>
      </x:c>
      <x:c r="G865" t="n">
        <x:f>IF(OR(F865=1,E865=1),1,0)</x:f>
        <x:v>0</x:v>
      </x:c>
      <x:c r="H865" t="str">
        <x:f>IF(B865=1,IF(F865=1,"TP","FN"),IF(F865=1,"FP","TN"))</x:f>
        <x:v>TN</x:v>
      </x:c>
      <x:c r="I865" t="str">
        <x:f>IF(B865=1,IF(G865=1,"TP","FN"),IF(G865=1,"FP","TN"))</x:f>
        <x:v>TN</x:v>
      </x:c>
    </x:row>
    <x:row r="866">
      <x:c r="A866" t="str">
        <x:f>MiniCase_Data!A866</x:f>
        <x:v>R00865</x:v>
      </x:c>
      <x:c r="B866" t="n">
        <x:f>IF(MiniCase_Data!O866="불합격",1,0)</x:f>
        <x:v>0</x:v>
      </x:c>
      <x:c r="C866" t="str">
        <x:f>IF(ISBLANK(MiniCase_Data!H866),"missing",IF(OR(MiniCase_Data!H866&lt;27,MiniCase_Data!H866&gt;33),"밖","안"))</x:f>
        <x:v>안</x:v>
      </x:c>
      <x:c r="D866" t="n">
        <x:f>IF(ISBLANK(MiniCase_Data!H866),VLOOKUP(A866,센서로그!$A$2:$C$13,3,FALSE),MiniCase_Data!H866)</x:f>
        <x:v>32.09</x:v>
      </x:c>
      <x:c r="E866" t="n">
        <x:f>IF(AND(MiniCase_Data!C866="야간",MiniCase_Data!F866="M03"),1,0)</x:f>
        <x:v>0</x:v>
      </x:c>
      <x:c r="F866" t="n">
        <x:f>IF(C866="밖",1,0)</x:f>
        <x:v>0</x:v>
      </x:c>
      <x:c r="G866" t="n">
        <x:f>IF(OR(F866=1,E866=1),1,0)</x:f>
        <x:v>0</x:v>
      </x:c>
      <x:c r="H866" t="str">
        <x:f>IF(B866=1,IF(F866=1,"TP","FN"),IF(F866=1,"FP","TN"))</x:f>
        <x:v>TN</x:v>
      </x:c>
      <x:c r="I866" t="str">
        <x:f>IF(B866=1,IF(G866=1,"TP","FN"),IF(G866=1,"FP","TN"))</x:f>
        <x:v>TN</x:v>
      </x:c>
    </x:row>
    <x:row r="867">
      <x:c r="A867" t="str">
        <x:f>MiniCase_Data!A867</x:f>
        <x:v>R00866</x:v>
      </x:c>
      <x:c r="B867" t="n">
        <x:f>IF(MiniCase_Data!O867="불합격",1,0)</x:f>
        <x:v>0</x:v>
      </x:c>
      <x:c r="C867" t="str">
        <x:f>IF(ISBLANK(MiniCase_Data!H867),"missing",IF(OR(MiniCase_Data!H867&lt;27,MiniCase_Data!H867&gt;33),"밖","안"))</x:f>
        <x:v>안</x:v>
      </x:c>
      <x:c r="D867" t="n">
        <x:f>IF(ISBLANK(MiniCase_Data!H867),VLOOKUP(A867,센서로그!$A$2:$C$13,3,FALSE),MiniCase_Data!H867)</x:f>
        <x:v>29.06</x:v>
      </x:c>
      <x:c r="E867" t="n">
        <x:f>IF(AND(MiniCase_Data!C867="야간",MiniCase_Data!F867="M03"),1,0)</x:f>
        <x:v>0</x:v>
      </x:c>
      <x:c r="F867" t="n">
        <x:f>IF(C867="밖",1,0)</x:f>
        <x:v>0</x:v>
      </x:c>
      <x:c r="G867" t="n">
        <x:f>IF(OR(F867=1,E867=1),1,0)</x:f>
        <x:v>0</x:v>
      </x:c>
      <x:c r="H867" t="str">
        <x:f>IF(B867=1,IF(F867=1,"TP","FN"),IF(F867=1,"FP","TN"))</x:f>
        <x:v>TN</x:v>
      </x:c>
      <x:c r="I867" t="str">
        <x:f>IF(B867=1,IF(G867=1,"TP","FN"),IF(G867=1,"FP","TN"))</x:f>
        <x:v>TN</x:v>
      </x:c>
    </x:row>
    <x:row r="868">
      <x:c r="A868" t="str">
        <x:f>MiniCase_Data!A868</x:f>
        <x:v>R00867</x:v>
      </x:c>
      <x:c r="B868" t="n">
        <x:f>IF(MiniCase_Data!O868="불합격",1,0)</x:f>
        <x:v>0</x:v>
      </x:c>
      <x:c r="C868" t="str">
        <x:f>IF(ISBLANK(MiniCase_Data!H868),"missing",IF(OR(MiniCase_Data!H868&lt;27,MiniCase_Data!H868&gt;33),"밖","안"))</x:f>
        <x:v>안</x:v>
      </x:c>
      <x:c r="D868" t="n">
        <x:f>IF(ISBLANK(MiniCase_Data!H868),VLOOKUP(A868,센서로그!$A$2:$C$13,3,FALSE),MiniCase_Data!H868)</x:f>
        <x:v>32.14</x:v>
      </x:c>
      <x:c r="E868" t="n">
        <x:f>IF(AND(MiniCase_Data!C868="야간",MiniCase_Data!F868="M03"),1,0)</x:f>
        <x:v>0</x:v>
      </x:c>
      <x:c r="F868" t="n">
        <x:f>IF(C868="밖",1,0)</x:f>
        <x:v>0</x:v>
      </x:c>
      <x:c r="G868" t="n">
        <x:f>IF(OR(F868=1,E868=1),1,0)</x:f>
        <x:v>0</x:v>
      </x:c>
      <x:c r="H868" t="str">
        <x:f>IF(B868=1,IF(F868=1,"TP","FN"),IF(F868=1,"FP","TN"))</x:f>
        <x:v>TN</x:v>
      </x:c>
      <x:c r="I868" t="str">
        <x:f>IF(B868=1,IF(G868=1,"TP","FN"),IF(G868=1,"FP","TN"))</x:f>
        <x:v>TN</x:v>
      </x:c>
    </x:row>
    <x:row r="869">
      <x:c r="A869" t="str">
        <x:f>MiniCase_Data!A869</x:f>
        <x:v>R00868</x:v>
      </x:c>
      <x:c r="B869" t="n">
        <x:f>IF(MiniCase_Data!O869="불합격",1,0)</x:f>
        <x:v>0</x:v>
      </x:c>
      <x:c r="C869" t="str">
        <x:f>IF(ISBLANK(MiniCase_Data!H869),"missing",IF(OR(MiniCase_Data!H869&lt;27,MiniCase_Data!H869&gt;33),"밖","안"))</x:f>
        <x:v>안</x:v>
      </x:c>
      <x:c r="D869" t="n">
        <x:f>IF(ISBLANK(MiniCase_Data!H869),VLOOKUP(A869,센서로그!$A$2:$C$13,3,FALSE),MiniCase_Data!H869)</x:f>
        <x:v>31.33</x:v>
      </x:c>
      <x:c r="E869" t="n">
        <x:f>IF(AND(MiniCase_Data!C869="야간",MiniCase_Data!F869="M03"),1,0)</x:f>
        <x:v>0</x:v>
      </x:c>
      <x:c r="F869" t="n">
        <x:f>IF(C869="밖",1,0)</x:f>
        <x:v>0</x:v>
      </x:c>
      <x:c r="G869" t="n">
        <x:f>IF(OR(F869=1,E869=1),1,0)</x:f>
        <x:v>0</x:v>
      </x:c>
      <x:c r="H869" t="str">
        <x:f>IF(B869=1,IF(F869=1,"TP","FN"),IF(F869=1,"FP","TN"))</x:f>
        <x:v>TN</x:v>
      </x:c>
      <x:c r="I869" t="str">
        <x:f>IF(B869=1,IF(G869=1,"TP","FN"),IF(G869=1,"FP","TN"))</x:f>
        <x:v>TN</x:v>
      </x:c>
    </x:row>
    <x:row r="870">
      <x:c r="A870" t="str">
        <x:f>MiniCase_Data!A870</x:f>
        <x:v>R00869</x:v>
      </x:c>
      <x:c r="B870" t="n">
        <x:f>IF(MiniCase_Data!O870="불합격",1,0)</x:f>
        <x:v>0</x:v>
      </x:c>
      <x:c r="C870" t="str">
        <x:f>IF(ISBLANK(MiniCase_Data!H870),"missing",IF(OR(MiniCase_Data!H870&lt;27,MiniCase_Data!H870&gt;33),"밖","안"))</x:f>
        <x:v>안</x:v>
      </x:c>
      <x:c r="D870" t="n">
        <x:f>IF(ISBLANK(MiniCase_Data!H870),VLOOKUP(A870,센서로그!$A$2:$C$13,3,FALSE),MiniCase_Data!H870)</x:f>
        <x:v>29.71</x:v>
      </x:c>
      <x:c r="E870" t="n">
        <x:f>IF(AND(MiniCase_Data!C870="야간",MiniCase_Data!F870="M03"),1,0)</x:f>
        <x:v>0</x:v>
      </x:c>
      <x:c r="F870" t="n">
        <x:f>IF(C870="밖",1,0)</x:f>
        <x:v>0</x:v>
      </x:c>
      <x:c r="G870" t="n">
        <x:f>IF(OR(F870=1,E870=1),1,0)</x:f>
        <x:v>0</x:v>
      </x:c>
      <x:c r="H870" t="str">
        <x:f>IF(B870=1,IF(F870=1,"TP","FN"),IF(F870=1,"FP","TN"))</x:f>
        <x:v>TN</x:v>
      </x:c>
      <x:c r="I870" t="str">
        <x:f>IF(B870=1,IF(G870=1,"TP","FN"),IF(G870=1,"FP","TN"))</x:f>
        <x:v>TN</x:v>
      </x:c>
    </x:row>
    <x:row r="871">
      <x:c r="A871" t="str">
        <x:f>MiniCase_Data!A871</x:f>
        <x:v>R00870</x:v>
      </x:c>
      <x:c r="B871" t="n">
        <x:f>IF(MiniCase_Data!O871="불합격",1,0)</x:f>
        <x:v>0</x:v>
      </x:c>
      <x:c r="C871" t="str">
        <x:f>IF(ISBLANK(MiniCase_Data!H871),"missing",IF(OR(MiniCase_Data!H871&lt;27,MiniCase_Data!H871&gt;33),"밖","안"))</x:f>
        <x:v>안</x:v>
      </x:c>
      <x:c r="D871" t="n">
        <x:f>IF(ISBLANK(MiniCase_Data!H871),VLOOKUP(A871,센서로그!$A$2:$C$13,3,FALSE),MiniCase_Data!H871)</x:f>
        <x:v>32.09</x:v>
      </x:c>
      <x:c r="E871" t="n">
        <x:f>IF(AND(MiniCase_Data!C871="야간",MiniCase_Data!F871="M03"),1,0)</x:f>
        <x:v>0</x:v>
      </x:c>
      <x:c r="F871" t="n">
        <x:f>IF(C871="밖",1,0)</x:f>
        <x:v>0</x:v>
      </x:c>
      <x:c r="G871" t="n">
        <x:f>IF(OR(F871=1,E871=1),1,0)</x:f>
        <x:v>0</x:v>
      </x:c>
      <x:c r="H871" t="str">
        <x:f>IF(B871=1,IF(F871=1,"TP","FN"),IF(F871=1,"FP","TN"))</x:f>
        <x:v>TN</x:v>
      </x:c>
      <x:c r="I871" t="str">
        <x:f>IF(B871=1,IF(G871=1,"TP","FN"),IF(G871=1,"FP","TN"))</x:f>
        <x:v>TN</x:v>
      </x:c>
    </x:row>
    <x:row r="872">
      <x:c r="A872" t="str">
        <x:f>MiniCase_Data!A872</x:f>
        <x:v>R00871</x:v>
      </x:c>
      <x:c r="B872" t="n">
        <x:f>IF(MiniCase_Data!O872="불합격",1,0)</x:f>
        <x:v>0</x:v>
      </x:c>
      <x:c r="C872" t="str">
        <x:f>IF(ISBLANK(MiniCase_Data!H872),"missing",IF(OR(MiniCase_Data!H872&lt;27,MiniCase_Data!H872&gt;33),"밖","안"))</x:f>
        <x:v>안</x:v>
      </x:c>
      <x:c r="D872" t="n">
        <x:f>IF(ISBLANK(MiniCase_Data!H872),VLOOKUP(A872,센서로그!$A$2:$C$13,3,FALSE),MiniCase_Data!H872)</x:f>
        <x:v>30.23</x:v>
      </x:c>
      <x:c r="E872" t="n">
        <x:f>IF(AND(MiniCase_Data!C872="야간",MiniCase_Data!F872="M03"),1,0)</x:f>
        <x:v>0</x:v>
      </x:c>
      <x:c r="F872" t="n">
        <x:f>IF(C872="밖",1,0)</x:f>
        <x:v>0</x:v>
      </x:c>
      <x:c r="G872" t="n">
        <x:f>IF(OR(F872=1,E872=1),1,0)</x:f>
        <x:v>0</x:v>
      </x:c>
      <x:c r="H872" t="str">
        <x:f>IF(B872=1,IF(F872=1,"TP","FN"),IF(F872=1,"FP","TN"))</x:f>
        <x:v>TN</x:v>
      </x:c>
      <x:c r="I872" t="str">
        <x:f>IF(B872=1,IF(G872=1,"TP","FN"),IF(G872=1,"FP","TN"))</x:f>
        <x:v>TN</x:v>
      </x:c>
    </x:row>
    <x:row r="873">
      <x:c r="A873" t="str">
        <x:f>MiniCase_Data!A873</x:f>
        <x:v>R00872</x:v>
      </x:c>
      <x:c r="B873" t="n">
        <x:f>IF(MiniCase_Data!O873="불합격",1,0)</x:f>
        <x:v>0</x:v>
      </x:c>
      <x:c r="C873" t="str">
        <x:f>IF(ISBLANK(MiniCase_Data!H873),"missing",IF(OR(MiniCase_Data!H873&lt;27,MiniCase_Data!H873&gt;33),"밖","안"))</x:f>
        <x:v>안</x:v>
      </x:c>
      <x:c r="D873" t="n">
        <x:f>IF(ISBLANK(MiniCase_Data!H873),VLOOKUP(A873,센서로그!$A$2:$C$13,3,FALSE),MiniCase_Data!H873)</x:f>
        <x:v>29.52</x:v>
      </x:c>
      <x:c r="E873" t="n">
        <x:f>IF(AND(MiniCase_Data!C873="야간",MiniCase_Data!F873="M03"),1,0)</x:f>
        <x:v>0</x:v>
      </x:c>
      <x:c r="F873" t="n">
        <x:f>IF(C873="밖",1,0)</x:f>
        <x:v>0</x:v>
      </x:c>
      <x:c r="G873" t="n">
        <x:f>IF(OR(F873=1,E873=1),1,0)</x:f>
        <x:v>0</x:v>
      </x:c>
      <x:c r="H873" t="str">
        <x:f>IF(B873=1,IF(F873=1,"TP","FN"),IF(F873=1,"FP","TN"))</x:f>
        <x:v>TN</x:v>
      </x:c>
      <x:c r="I873" t="str">
        <x:f>IF(B873=1,IF(G873=1,"TP","FN"),IF(G873=1,"FP","TN"))</x:f>
        <x:v>TN</x:v>
      </x:c>
    </x:row>
    <x:row r="874">
      <x:c r="A874" t="str">
        <x:f>MiniCase_Data!A874</x:f>
        <x:v>R00873</x:v>
      </x:c>
      <x:c r="B874" t="n">
        <x:f>IF(MiniCase_Data!O874="불합격",1,0)</x:f>
        <x:v>0</x:v>
      </x:c>
      <x:c r="C874" t="str">
        <x:f>IF(ISBLANK(MiniCase_Data!H874),"missing",IF(OR(MiniCase_Data!H874&lt;27,MiniCase_Data!H874&gt;33),"밖","안"))</x:f>
        <x:v>안</x:v>
      </x:c>
      <x:c r="D874" t="n">
        <x:f>IF(ISBLANK(MiniCase_Data!H874),VLOOKUP(A874,센서로그!$A$2:$C$13,3,FALSE),MiniCase_Data!H874)</x:f>
        <x:v>28.42</x:v>
      </x:c>
      <x:c r="E874" t="n">
        <x:f>IF(AND(MiniCase_Data!C874="야간",MiniCase_Data!F874="M03"),1,0)</x:f>
        <x:v>0</x:v>
      </x:c>
      <x:c r="F874" t="n">
        <x:f>IF(C874="밖",1,0)</x:f>
        <x:v>0</x:v>
      </x:c>
      <x:c r="G874" t="n">
        <x:f>IF(OR(F874=1,E874=1),1,0)</x:f>
        <x:v>0</x:v>
      </x:c>
      <x:c r="H874" t="str">
        <x:f>IF(B874=1,IF(F874=1,"TP","FN"),IF(F874=1,"FP","TN"))</x:f>
        <x:v>TN</x:v>
      </x:c>
      <x:c r="I874" t="str">
        <x:f>IF(B874=1,IF(G874=1,"TP","FN"),IF(G874=1,"FP","TN"))</x:f>
        <x:v>TN</x:v>
      </x:c>
    </x:row>
    <x:row r="875">
      <x:c r="A875" t="str">
        <x:f>MiniCase_Data!A875</x:f>
        <x:v>R00874</x:v>
      </x:c>
      <x:c r="B875" t="n">
        <x:f>IF(MiniCase_Data!O875="불합격",1,0)</x:f>
        <x:v>0</x:v>
      </x:c>
      <x:c r="C875" t="str">
        <x:f>IF(ISBLANK(MiniCase_Data!H875),"missing",IF(OR(MiniCase_Data!H875&lt;27,MiniCase_Data!H875&gt;33),"밖","안"))</x:f>
        <x:v>안</x:v>
      </x:c>
      <x:c r="D875" t="n">
        <x:f>IF(ISBLANK(MiniCase_Data!H875),VLOOKUP(A875,센서로그!$A$2:$C$13,3,FALSE),MiniCase_Data!H875)</x:f>
        <x:v>30.28</x:v>
      </x:c>
      <x:c r="E875" t="n">
        <x:f>IF(AND(MiniCase_Data!C875="야간",MiniCase_Data!F875="M03"),1,0)</x:f>
        <x:v>0</x:v>
      </x:c>
      <x:c r="F875" t="n">
        <x:f>IF(C875="밖",1,0)</x:f>
        <x:v>0</x:v>
      </x:c>
      <x:c r="G875" t="n">
        <x:f>IF(OR(F875=1,E875=1),1,0)</x:f>
        <x:v>0</x:v>
      </x:c>
      <x:c r="H875" t="str">
        <x:f>IF(B875=1,IF(F875=1,"TP","FN"),IF(F875=1,"FP","TN"))</x:f>
        <x:v>TN</x:v>
      </x:c>
      <x:c r="I875" t="str">
        <x:f>IF(B875=1,IF(G875=1,"TP","FN"),IF(G875=1,"FP","TN"))</x:f>
        <x:v>TN</x:v>
      </x:c>
    </x:row>
    <x:row r="876">
      <x:c r="A876" t="str">
        <x:f>MiniCase_Data!A876</x:f>
        <x:v>R00875</x:v>
      </x:c>
      <x:c r="B876" t="n">
        <x:f>IF(MiniCase_Data!O876="불합격",1,0)</x:f>
        <x:v>0</x:v>
      </x:c>
      <x:c r="C876" t="str">
        <x:f>IF(ISBLANK(MiniCase_Data!H876),"missing",IF(OR(MiniCase_Data!H876&lt;27,MiniCase_Data!H876&gt;33),"밖","안"))</x:f>
        <x:v>안</x:v>
      </x:c>
      <x:c r="D876" t="n">
        <x:f>IF(ISBLANK(MiniCase_Data!H876),VLOOKUP(A876,센서로그!$A$2:$C$13,3,FALSE),MiniCase_Data!H876)</x:f>
        <x:v>27.33</x:v>
      </x:c>
      <x:c r="E876" t="n">
        <x:f>IF(AND(MiniCase_Data!C876="야간",MiniCase_Data!F876="M03"),1,0)</x:f>
        <x:v>0</x:v>
      </x:c>
      <x:c r="F876" t="n">
        <x:f>IF(C876="밖",1,0)</x:f>
        <x:v>0</x:v>
      </x:c>
      <x:c r="G876" t="n">
        <x:f>IF(OR(F876=1,E876=1),1,0)</x:f>
        <x:v>0</x:v>
      </x:c>
      <x:c r="H876" t="str">
        <x:f>IF(B876=1,IF(F876=1,"TP","FN"),IF(F876=1,"FP","TN"))</x:f>
        <x:v>TN</x:v>
      </x:c>
      <x:c r="I876" t="str">
        <x:f>IF(B876=1,IF(G876=1,"TP","FN"),IF(G876=1,"FP","TN"))</x:f>
        <x:v>TN</x:v>
      </x:c>
    </x:row>
    <x:row r="877">
      <x:c r="A877" t="str">
        <x:f>MiniCase_Data!A877</x:f>
        <x:v>R00876</x:v>
      </x:c>
      <x:c r="B877" t="n">
        <x:f>IF(MiniCase_Data!O877="불합격",1,0)</x:f>
        <x:v>0</x:v>
      </x:c>
      <x:c r="C877" t="str">
        <x:f>IF(ISBLANK(MiniCase_Data!H877),"missing",IF(OR(MiniCase_Data!H877&lt;27,MiniCase_Data!H877&gt;33),"밖","안"))</x:f>
        <x:v>안</x:v>
      </x:c>
      <x:c r="D877" t="n">
        <x:f>IF(ISBLANK(MiniCase_Data!H877),VLOOKUP(A877,센서로그!$A$2:$C$13,3,FALSE),MiniCase_Data!H877)</x:f>
        <x:v>28.09</x:v>
      </x:c>
      <x:c r="E877" t="n">
        <x:f>IF(AND(MiniCase_Data!C877="야간",MiniCase_Data!F877="M03"),1,0)</x:f>
        <x:v>0</x:v>
      </x:c>
      <x:c r="F877" t="n">
        <x:f>IF(C877="밖",1,0)</x:f>
        <x:v>0</x:v>
      </x:c>
      <x:c r="G877" t="n">
        <x:f>IF(OR(F877=1,E877=1),1,0)</x:f>
        <x:v>0</x:v>
      </x:c>
      <x:c r="H877" t="str">
        <x:f>IF(B877=1,IF(F877=1,"TP","FN"),IF(F877=1,"FP","TN"))</x:f>
        <x:v>TN</x:v>
      </x:c>
      <x:c r="I877" t="str">
        <x:f>IF(B877=1,IF(G877=1,"TP","FN"),IF(G877=1,"FP","TN"))</x:f>
        <x:v>TN</x:v>
      </x:c>
    </x:row>
    <x:row r="878">
      <x:c r="A878" t="str">
        <x:f>MiniCase_Data!A878</x:f>
        <x:v>R00877</x:v>
      </x:c>
      <x:c r="B878" t="n">
        <x:f>IF(MiniCase_Data!O878="불합격",1,0)</x:f>
        <x:v>0</x:v>
      </x:c>
      <x:c r="C878" t="str">
        <x:f>IF(ISBLANK(MiniCase_Data!H878),"missing",IF(OR(MiniCase_Data!H878&lt;27,MiniCase_Data!H878&gt;33),"밖","안"))</x:f>
        <x:v>안</x:v>
      </x:c>
      <x:c r="D878" t="n">
        <x:f>IF(ISBLANK(MiniCase_Data!H878),VLOOKUP(A878,센서로그!$A$2:$C$13,3,FALSE),MiniCase_Data!H878)</x:f>
        <x:v>30.87</x:v>
      </x:c>
      <x:c r="E878" t="n">
        <x:f>IF(AND(MiniCase_Data!C878="야간",MiniCase_Data!F878="M03"),1,0)</x:f>
        <x:v>0</x:v>
      </x:c>
      <x:c r="F878" t="n">
        <x:f>IF(C878="밖",1,0)</x:f>
        <x:v>0</x:v>
      </x:c>
      <x:c r="G878" t="n">
        <x:f>IF(OR(F878=1,E878=1),1,0)</x:f>
        <x:v>0</x:v>
      </x:c>
      <x:c r="H878" t="str">
        <x:f>IF(B878=1,IF(F878=1,"TP","FN"),IF(F878=1,"FP","TN"))</x:f>
        <x:v>TN</x:v>
      </x:c>
      <x:c r="I878" t="str">
        <x:f>IF(B878=1,IF(G878=1,"TP","FN"),IF(G878=1,"FP","TN"))</x:f>
        <x:v>TN</x:v>
      </x:c>
    </x:row>
    <x:row r="879">
      <x:c r="A879" t="str">
        <x:f>MiniCase_Data!A879</x:f>
        <x:v>R00878</x:v>
      </x:c>
      <x:c r="B879" t="n">
        <x:f>IF(MiniCase_Data!O879="불합격",1,0)</x:f>
        <x:v>0</x:v>
      </x:c>
      <x:c r="C879" t="str">
        <x:f>IF(ISBLANK(MiniCase_Data!H879),"missing",IF(OR(MiniCase_Data!H879&lt;27,MiniCase_Data!H879&gt;33),"밖","안"))</x:f>
        <x:v>안</x:v>
      </x:c>
      <x:c r="D879" t="n">
        <x:f>IF(ISBLANK(MiniCase_Data!H879),VLOOKUP(A879,센서로그!$A$2:$C$13,3,FALSE),MiniCase_Data!H879)</x:f>
        <x:v>28.56</x:v>
      </x:c>
      <x:c r="E879" t="n">
        <x:f>IF(AND(MiniCase_Data!C879="야간",MiniCase_Data!F879="M03"),1,0)</x:f>
        <x:v>0</x:v>
      </x:c>
      <x:c r="F879" t="n">
        <x:f>IF(C879="밖",1,0)</x:f>
        <x:v>0</x:v>
      </x:c>
      <x:c r="G879" t="n">
        <x:f>IF(OR(F879=1,E879=1),1,0)</x:f>
        <x:v>0</x:v>
      </x:c>
      <x:c r="H879" t="str">
        <x:f>IF(B879=1,IF(F879=1,"TP","FN"),IF(F879=1,"FP","TN"))</x:f>
        <x:v>TN</x:v>
      </x:c>
      <x:c r="I879" t="str">
        <x:f>IF(B879=1,IF(G879=1,"TP","FN"),IF(G879=1,"FP","TN"))</x:f>
        <x:v>TN</x:v>
      </x:c>
    </x:row>
    <x:row r="880">
      <x:c r="A880" t="str">
        <x:f>MiniCase_Data!A880</x:f>
        <x:v>R00879</x:v>
      </x:c>
      <x:c r="B880" t="n">
        <x:f>IF(MiniCase_Data!O880="불합격",1,0)</x:f>
        <x:v>0</x:v>
      </x:c>
      <x:c r="C880" t="str">
        <x:f>IF(ISBLANK(MiniCase_Data!H880),"missing",IF(OR(MiniCase_Data!H880&lt;27,MiniCase_Data!H880&gt;33),"밖","안"))</x:f>
        <x:v>안</x:v>
      </x:c>
      <x:c r="D880" t="n">
        <x:f>IF(ISBLANK(MiniCase_Data!H880),VLOOKUP(A880,센서로그!$A$2:$C$13,3,FALSE),MiniCase_Data!H880)</x:f>
        <x:v>28.1</x:v>
      </x:c>
      <x:c r="E880" t="n">
        <x:f>IF(AND(MiniCase_Data!C880="야간",MiniCase_Data!F880="M03"),1,0)</x:f>
        <x:v>0</x:v>
      </x:c>
      <x:c r="F880" t="n">
        <x:f>IF(C880="밖",1,0)</x:f>
        <x:v>0</x:v>
      </x:c>
      <x:c r="G880" t="n">
        <x:f>IF(OR(F880=1,E880=1),1,0)</x:f>
        <x:v>0</x:v>
      </x:c>
      <x:c r="H880" t="str">
        <x:f>IF(B880=1,IF(F880=1,"TP","FN"),IF(F880=1,"FP","TN"))</x:f>
        <x:v>TN</x:v>
      </x:c>
      <x:c r="I880" t="str">
        <x:f>IF(B880=1,IF(G880=1,"TP","FN"),IF(G880=1,"FP","TN"))</x:f>
        <x:v>TN</x:v>
      </x:c>
    </x:row>
    <x:row r="881">
      <x:c r="A881" t="str">
        <x:f>MiniCase_Data!A881</x:f>
        <x:v>R00880</x:v>
      </x:c>
      <x:c r="B881" t="n">
        <x:f>IF(MiniCase_Data!O881="불합격",1,0)</x:f>
        <x:v>0</x:v>
      </x:c>
      <x:c r="C881" t="str">
        <x:f>IF(ISBLANK(MiniCase_Data!H881),"missing",IF(OR(MiniCase_Data!H881&lt;27,MiniCase_Data!H881&gt;33),"밖","안"))</x:f>
        <x:v>밖</x:v>
      </x:c>
      <x:c r="D881" t="n">
        <x:f>IF(ISBLANK(MiniCase_Data!H881),VLOOKUP(A881,센서로그!$A$2:$C$13,3,FALSE),MiniCase_Data!H881)</x:f>
        <x:v>25.97</x:v>
      </x:c>
      <x:c r="E881" t="n">
        <x:f>IF(AND(MiniCase_Data!C881="야간",MiniCase_Data!F881="M03"),1,0)</x:f>
        <x:v>1</x:v>
      </x:c>
      <x:c r="F881" t="n">
        <x:f>IF(C881="밖",1,0)</x:f>
        <x:v>1</x:v>
      </x:c>
      <x:c r="G881" t="n">
        <x:f>IF(OR(F881=1,E881=1),1,0)</x:f>
        <x:v>1</x:v>
      </x:c>
      <x:c r="H881" t="str">
        <x:f>IF(B881=1,IF(F881=1,"TP","FN"),IF(F881=1,"FP","TN"))</x:f>
        <x:v>FP</x:v>
      </x:c>
      <x:c r="I881" t="str">
        <x:f>IF(B881=1,IF(G881=1,"TP","FN"),IF(G881=1,"FP","TN"))</x:f>
        <x:v>FP</x:v>
      </x:c>
    </x:row>
    <x:row r="882">
      <x:c r="A882" t="str">
        <x:f>MiniCase_Data!A882</x:f>
        <x:v>R00881</x:v>
      </x:c>
      <x:c r="B882" t="n">
        <x:f>IF(MiniCase_Data!O882="불합격",1,0)</x:f>
        <x:v>0</x:v>
      </x:c>
      <x:c r="C882" t="str">
        <x:f>IF(ISBLANK(MiniCase_Data!H882),"missing",IF(OR(MiniCase_Data!H882&lt;27,MiniCase_Data!H882&gt;33),"밖","안"))</x:f>
        <x:v>안</x:v>
      </x:c>
      <x:c r="D882" t="n">
        <x:f>IF(ISBLANK(MiniCase_Data!H882),VLOOKUP(A882,센서로그!$A$2:$C$13,3,FALSE),MiniCase_Data!H882)</x:f>
        <x:v>27.38</x:v>
      </x:c>
      <x:c r="E882" t="n">
        <x:f>IF(AND(MiniCase_Data!C882="야간",MiniCase_Data!F882="M03"),1,0)</x:f>
        <x:v>0</x:v>
      </x:c>
      <x:c r="F882" t="n">
        <x:f>IF(C882="밖",1,0)</x:f>
        <x:v>0</x:v>
      </x:c>
      <x:c r="G882" t="n">
        <x:f>IF(OR(F882=1,E882=1),1,0)</x:f>
        <x:v>0</x:v>
      </x:c>
      <x:c r="H882" t="str">
        <x:f>IF(B882=1,IF(F882=1,"TP","FN"),IF(F882=1,"FP","TN"))</x:f>
        <x:v>TN</x:v>
      </x:c>
      <x:c r="I882" t="str">
        <x:f>IF(B882=1,IF(G882=1,"TP","FN"),IF(G882=1,"FP","TN"))</x:f>
        <x:v>TN</x:v>
      </x:c>
    </x:row>
    <x:row r="883">
      <x:c r="A883" t="str">
        <x:f>MiniCase_Data!A883</x:f>
        <x:v>R00882</x:v>
      </x:c>
      <x:c r="B883" t="n">
        <x:f>IF(MiniCase_Data!O883="불합격",1,0)</x:f>
        <x:v>0</x:v>
      </x:c>
      <x:c r="C883" t="str">
        <x:f>IF(ISBLANK(MiniCase_Data!H883),"missing",IF(OR(MiniCase_Data!H883&lt;27,MiniCase_Data!H883&gt;33),"밖","안"))</x:f>
        <x:v>안</x:v>
      </x:c>
      <x:c r="D883" t="n">
        <x:f>IF(ISBLANK(MiniCase_Data!H883),VLOOKUP(A883,센서로그!$A$2:$C$13,3,FALSE),MiniCase_Data!H883)</x:f>
        <x:v>30.75</x:v>
      </x:c>
      <x:c r="E883" t="n">
        <x:f>IF(AND(MiniCase_Data!C883="야간",MiniCase_Data!F883="M03"),1,0)</x:f>
        <x:v>0</x:v>
      </x:c>
      <x:c r="F883" t="n">
        <x:f>IF(C883="밖",1,0)</x:f>
        <x:v>0</x:v>
      </x:c>
      <x:c r="G883" t="n">
        <x:f>IF(OR(F883=1,E883=1),1,0)</x:f>
        <x:v>0</x:v>
      </x:c>
      <x:c r="H883" t="str">
        <x:f>IF(B883=1,IF(F883=1,"TP","FN"),IF(F883=1,"FP","TN"))</x:f>
        <x:v>TN</x:v>
      </x:c>
      <x:c r="I883" t="str">
        <x:f>IF(B883=1,IF(G883=1,"TP","FN"),IF(G883=1,"FP","TN"))</x:f>
        <x:v>TN</x:v>
      </x:c>
    </x:row>
    <x:row r="884">
      <x:c r="A884" t="str">
        <x:f>MiniCase_Data!A884</x:f>
        <x:v>R00883</x:v>
      </x:c>
      <x:c r="B884" t="n">
        <x:f>IF(MiniCase_Data!O884="불합격",1,0)</x:f>
        <x:v>0</x:v>
      </x:c>
      <x:c r="C884" t="str">
        <x:f>IF(ISBLANK(MiniCase_Data!H884),"missing",IF(OR(MiniCase_Data!H884&lt;27,MiniCase_Data!H884&gt;33),"밖","안"))</x:f>
        <x:v>안</x:v>
      </x:c>
      <x:c r="D884" t="n">
        <x:f>IF(ISBLANK(MiniCase_Data!H884),VLOOKUP(A884,센서로그!$A$2:$C$13,3,FALSE),MiniCase_Data!H884)</x:f>
        <x:v>29.69</x:v>
      </x:c>
      <x:c r="E884" t="n">
        <x:f>IF(AND(MiniCase_Data!C884="야간",MiniCase_Data!F884="M03"),1,0)</x:f>
        <x:v>0</x:v>
      </x:c>
      <x:c r="F884" t="n">
        <x:f>IF(C884="밖",1,0)</x:f>
        <x:v>0</x:v>
      </x:c>
      <x:c r="G884" t="n">
        <x:f>IF(OR(F884=1,E884=1),1,0)</x:f>
        <x:v>0</x:v>
      </x:c>
      <x:c r="H884" t="str">
        <x:f>IF(B884=1,IF(F884=1,"TP","FN"),IF(F884=1,"FP","TN"))</x:f>
        <x:v>TN</x:v>
      </x:c>
      <x:c r="I884" t="str">
        <x:f>IF(B884=1,IF(G884=1,"TP","FN"),IF(G884=1,"FP","TN"))</x:f>
        <x:v>TN</x:v>
      </x:c>
    </x:row>
    <x:row r="885">
      <x:c r="A885" t="str">
        <x:f>MiniCase_Data!A885</x:f>
        <x:v>R00884</x:v>
      </x:c>
      <x:c r="B885" t="n">
        <x:f>IF(MiniCase_Data!O885="불합격",1,0)</x:f>
        <x:v>0</x:v>
      </x:c>
      <x:c r="C885" t="str">
        <x:f>IF(ISBLANK(MiniCase_Data!H885),"missing",IF(OR(MiniCase_Data!H885&lt;27,MiniCase_Data!H885&gt;33),"밖","안"))</x:f>
        <x:v>안</x:v>
      </x:c>
      <x:c r="D885" t="n">
        <x:f>IF(ISBLANK(MiniCase_Data!H885),VLOOKUP(A885,센서로그!$A$2:$C$13,3,FALSE),MiniCase_Data!H885)</x:f>
        <x:v>31.69</x:v>
      </x:c>
      <x:c r="E885" t="n">
        <x:f>IF(AND(MiniCase_Data!C885="야간",MiniCase_Data!F885="M03"),1,0)</x:f>
        <x:v>0</x:v>
      </x:c>
      <x:c r="F885" t="n">
        <x:f>IF(C885="밖",1,0)</x:f>
        <x:v>0</x:v>
      </x:c>
      <x:c r="G885" t="n">
        <x:f>IF(OR(F885=1,E885=1),1,0)</x:f>
        <x:v>0</x:v>
      </x:c>
      <x:c r="H885" t="str">
        <x:f>IF(B885=1,IF(F885=1,"TP","FN"),IF(F885=1,"FP","TN"))</x:f>
        <x:v>TN</x:v>
      </x:c>
      <x:c r="I885" t="str">
        <x:f>IF(B885=1,IF(G885=1,"TP","FN"),IF(G885=1,"FP","TN"))</x:f>
        <x:v>TN</x:v>
      </x:c>
    </x:row>
    <x:row r="886">
      <x:c r="A886" t="str">
        <x:f>MiniCase_Data!A886</x:f>
        <x:v>R00885</x:v>
      </x:c>
      <x:c r="B886" t="n">
        <x:f>IF(MiniCase_Data!O886="불합격",1,0)</x:f>
        <x:v>0</x:v>
      </x:c>
      <x:c r="C886" t="str">
        <x:f>IF(ISBLANK(MiniCase_Data!H886),"missing",IF(OR(MiniCase_Data!H886&lt;27,MiniCase_Data!H886&gt;33),"밖","안"))</x:f>
        <x:v>안</x:v>
      </x:c>
      <x:c r="D886" t="n">
        <x:f>IF(ISBLANK(MiniCase_Data!H886),VLOOKUP(A886,센서로그!$A$2:$C$13,3,FALSE),MiniCase_Data!H886)</x:f>
        <x:v>32.1</x:v>
      </x:c>
      <x:c r="E886" t="n">
        <x:f>IF(AND(MiniCase_Data!C886="야간",MiniCase_Data!F886="M03"),1,0)</x:f>
        <x:v>0</x:v>
      </x:c>
      <x:c r="F886" t="n">
        <x:f>IF(C886="밖",1,0)</x:f>
        <x:v>0</x:v>
      </x:c>
      <x:c r="G886" t="n">
        <x:f>IF(OR(F886=1,E886=1),1,0)</x:f>
        <x:v>0</x:v>
      </x:c>
      <x:c r="H886" t="str">
        <x:f>IF(B886=1,IF(F886=1,"TP","FN"),IF(F886=1,"FP","TN"))</x:f>
        <x:v>TN</x:v>
      </x:c>
      <x:c r="I886" t="str">
        <x:f>IF(B886=1,IF(G886=1,"TP","FN"),IF(G886=1,"FP","TN"))</x:f>
        <x:v>TN</x:v>
      </x:c>
    </x:row>
    <x:row r="887">
      <x:c r="A887" t="str">
        <x:f>MiniCase_Data!A887</x:f>
        <x:v>R00886</x:v>
      </x:c>
      <x:c r="B887" t="n">
        <x:f>IF(MiniCase_Data!O887="불합격",1,0)</x:f>
        <x:v>0</x:v>
      </x:c>
      <x:c r="C887" t="str">
        <x:f>IF(ISBLANK(MiniCase_Data!H887),"missing",IF(OR(MiniCase_Data!H887&lt;27,MiniCase_Data!H887&gt;33),"밖","안"))</x:f>
        <x:v>안</x:v>
      </x:c>
      <x:c r="D887" t="n">
        <x:f>IF(ISBLANK(MiniCase_Data!H887),VLOOKUP(A887,센서로그!$A$2:$C$13,3,FALSE),MiniCase_Data!H887)</x:f>
        <x:v>28.48</x:v>
      </x:c>
      <x:c r="E887" t="n">
        <x:f>IF(AND(MiniCase_Data!C887="야간",MiniCase_Data!F887="M03"),1,0)</x:f>
        <x:v>0</x:v>
      </x:c>
      <x:c r="F887" t="n">
        <x:f>IF(C887="밖",1,0)</x:f>
        <x:v>0</x:v>
      </x:c>
      <x:c r="G887" t="n">
        <x:f>IF(OR(F887=1,E887=1),1,0)</x:f>
        <x:v>0</x:v>
      </x:c>
      <x:c r="H887" t="str">
        <x:f>IF(B887=1,IF(F887=1,"TP","FN"),IF(F887=1,"FP","TN"))</x:f>
        <x:v>TN</x:v>
      </x:c>
      <x:c r="I887" t="str">
        <x:f>IF(B887=1,IF(G887=1,"TP","FN"),IF(G887=1,"FP","TN"))</x:f>
        <x:v>TN</x:v>
      </x:c>
    </x:row>
    <x:row r="888">
      <x:c r="A888" t="str">
        <x:f>MiniCase_Data!A888</x:f>
        <x:v>R00887</x:v>
      </x:c>
      <x:c r="B888" t="n">
        <x:f>IF(MiniCase_Data!O888="불합격",1,0)</x:f>
        <x:v>0</x:v>
      </x:c>
      <x:c r="C888" t="str">
        <x:f>IF(ISBLANK(MiniCase_Data!H888),"missing",IF(OR(MiniCase_Data!H888&lt;27,MiniCase_Data!H888&gt;33),"밖","안"))</x:f>
        <x:v>안</x:v>
      </x:c>
      <x:c r="D888" t="n">
        <x:f>IF(ISBLANK(MiniCase_Data!H888),VLOOKUP(A888,센서로그!$A$2:$C$13,3,FALSE),MiniCase_Data!H888)</x:f>
        <x:v>30.27</x:v>
      </x:c>
      <x:c r="E888" t="n">
        <x:f>IF(AND(MiniCase_Data!C888="야간",MiniCase_Data!F888="M03"),1,0)</x:f>
        <x:v>0</x:v>
      </x:c>
      <x:c r="F888" t="n">
        <x:f>IF(C888="밖",1,0)</x:f>
        <x:v>0</x:v>
      </x:c>
      <x:c r="G888" t="n">
        <x:f>IF(OR(F888=1,E888=1),1,0)</x:f>
        <x:v>0</x:v>
      </x:c>
      <x:c r="H888" t="str">
        <x:f>IF(B888=1,IF(F888=1,"TP","FN"),IF(F888=1,"FP","TN"))</x:f>
        <x:v>TN</x:v>
      </x:c>
      <x:c r="I888" t="str">
        <x:f>IF(B888=1,IF(G888=1,"TP","FN"),IF(G888=1,"FP","TN"))</x:f>
        <x:v>TN</x:v>
      </x:c>
    </x:row>
    <x:row r="889">
      <x:c r="A889" t="str">
        <x:f>MiniCase_Data!A889</x:f>
        <x:v>R00888</x:v>
      </x:c>
      <x:c r="B889" t="n">
        <x:f>IF(MiniCase_Data!O889="불합격",1,0)</x:f>
        <x:v>0</x:v>
      </x:c>
      <x:c r="C889" t="str">
        <x:f>IF(ISBLANK(MiniCase_Data!H889),"missing",IF(OR(MiniCase_Data!H889&lt;27,MiniCase_Data!H889&gt;33),"밖","안"))</x:f>
        <x:v>안</x:v>
      </x:c>
      <x:c r="D889" t="n">
        <x:f>IF(ISBLANK(MiniCase_Data!H889),VLOOKUP(A889,센서로그!$A$2:$C$13,3,FALSE),MiniCase_Data!H889)</x:f>
        <x:v>29.62</x:v>
      </x:c>
      <x:c r="E889" t="n">
        <x:f>IF(AND(MiniCase_Data!C889="야간",MiniCase_Data!F889="M03"),1,0)</x:f>
        <x:v>0</x:v>
      </x:c>
      <x:c r="F889" t="n">
        <x:f>IF(C889="밖",1,0)</x:f>
        <x:v>0</x:v>
      </x:c>
      <x:c r="G889" t="n">
        <x:f>IF(OR(F889=1,E889=1),1,0)</x:f>
        <x:v>0</x:v>
      </x:c>
      <x:c r="H889" t="str">
        <x:f>IF(B889=1,IF(F889=1,"TP","FN"),IF(F889=1,"FP","TN"))</x:f>
        <x:v>TN</x:v>
      </x:c>
      <x:c r="I889" t="str">
        <x:f>IF(B889=1,IF(G889=1,"TP","FN"),IF(G889=1,"FP","TN"))</x:f>
        <x:v>TN</x:v>
      </x:c>
    </x:row>
    <x:row r="890">
      <x:c r="A890" t="str">
        <x:f>MiniCase_Data!A890</x:f>
        <x:v>R00889</x:v>
      </x:c>
      <x:c r="B890" t="n">
        <x:f>IF(MiniCase_Data!O890="불합격",1,0)</x:f>
        <x:v>0</x:v>
      </x:c>
      <x:c r="C890" t="str">
        <x:f>IF(ISBLANK(MiniCase_Data!H890),"missing",IF(OR(MiniCase_Data!H890&lt;27,MiniCase_Data!H890&gt;33),"밖","안"))</x:f>
        <x:v>안</x:v>
      </x:c>
      <x:c r="D890" t="n">
        <x:f>IF(ISBLANK(MiniCase_Data!H890),VLOOKUP(A890,센서로그!$A$2:$C$13,3,FALSE),MiniCase_Data!H890)</x:f>
        <x:v>32.73</x:v>
      </x:c>
      <x:c r="E890" t="n">
        <x:f>IF(AND(MiniCase_Data!C890="야간",MiniCase_Data!F890="M03"),1,0)</x:f>
        <x:v>0</x:v>
      </x:c>
      <x:c r="F890" t="n">
        <x:f>IF(C890="밖",1,0)</x:f>
        <x:v>0</x:v>
      </x:c>
      <x:c r="G890" t="n">
        <x:f>IF(OR(F890=1,E890=1),1,0)</x:f>
        <x:v>0</x:v>
      </x:c>
      <x:c r="H890" t="str">
        <x:f>IF(B890=1,IF(F890=1,"TP","FN"),IF(F890=1,"FP","TN"))</x:f>
        <x:v>TN</x:v>
      </x:c>
      <x:c r="I890" t="str">
        <x:f>IF(B890=1,IF(G890=1,"TP","FN"),IF(G890=1,"FP","TN"))</x:f>
        <x:v>TN</x:v>
      </x:c>
    </x:row>
    <x:row r="891">
      <x:c r="A891" t="str">
        <x:f>MiniCase_Data!A891</x:f>
        <x:v>R00890</x:v>
      </x:c>
      <x:c r="B891" t="n">
        <x:f>IF(MiniCase_Data!O891="불합격",1,0)</x:f>
        <x:v>1</x:v>
      </x:c>
      <x:c r="C891" t="str">
        <x:f>IF(ISBLANK(MiniCase_Data!H891),"missing",IF(OR(MiniCase_Data!H891&lt;27,MiniCase_Data!H891&gt;33),"밖","안"))</x:f>
        <x:v>안</x:v>
      </x:c>
      <x:c r="D891" t="n">
        <x:f>IF(ISBLANK(MiniCase_Data!H891),VLOOKUP(A891,센서로그!$A$2:$C$13,3,FALSE),MiniCase_Data!H891)</x:f>
        <x:v>28.08</x:v>
      </x:c>
      <x:c r="E891" t="n">
        <x:f>IF(AND(MiniCase_Data!C891="야간",MiniCase_Data!F891="M03"),1,0)</x:f>
        <x:v>0</x:v>
      </x:c>
      <x:c r="F891" t="n">
        <x:f>IF(C891="밖",1,0)</x:f>
        <x:v>0</x:v>
      </x:c>
      <x:c r="G891" t="n">
        <x:f>IF(OR(F891=1,E891=1),1,0)</x:f>
        <x:v>0</x:v>
      </x:c>
      <x:c r="H891" t="str">
        <x:f>IF(B891=1,IF(F891=1,"TP","FN"),IF(F891=1,"FP","TN"))</x:f>
        <x:v>FN</x:v>
      </x:c>
      <x:c r="I891" t="str">
        <x:f>IF(B891=1,IF(G891=1,"TP","FN"),IF(G891=1,"FP","TN"))</x:f>
        <x:v>FN</x:v>
      </x:c>
    </x:row>
    <x:row r="892">
      <x:c r="A892" t="str">
        <x:f>MiniCase_Data!A892</x:f>
        <x:v>R00891</x:v>
      </x:c>
      <x:c r="B892" t="n">
        <x:f>IF(MiniCase_Data!O892="불합격",1,0)</x:f>
        <x:v>0</x:v>
      </x:c>
      <x:c r="C892" t="str">
        <x:f>IF(ISBLANK(MiniCase_Data!H892),"missing",IF(OR(MiniCase_Data!H892&lt;27,MiniCase_Data!H892&gt;33),"밖","안"))</x:f>
        <x:v>안</x:v>
      </x:c>
      <x:c r="D892" t="n">
        <x:f>IF(ISBLANK(MiniCase_Data!H892),VLOOKUP(A892,센서로그!$A$2:$C$13,3,FALSE),MiniCase_Data!H892)</x:f>
        <x:v>30.63</x:v>
      </x:c>
      <x:c r="E892" t="n">
        <x:f>IF(AND(MiniCase_Data!C892="야간",MiniCase_Data!F892="M03"),1,0)</x:f>
        <x:v>0</x:v>
      </x:c>
      <x:c r="F892" t="n">
        <x:f>IF(C892="밖",1,0)</x:f>
        <x:v>0</x:v>
      </x:c>
      <x:c r="G892" t="n">
        <x:f>IF(OR(F892=1,E892=1),1,0)</x:f>
        <x:v>0</x:v>
      </x:c>
      <x:c r="H892" t="str">
        <x:f>IF(B892=1,IF(F892=1,"TP","FN"),IF(F892=1,"FP","TN"))</x:f>
        <x:v>TN</x:v>
      </x:c>
      <x:c r="I892" t="str">
        <x:f>IF(B892=1,IF(G892=1,"TP","FN"),IF(G892=1,"FP","TN"))</x:f>
        <x:v>TN</x:v>
      </x:c>
    </x:row>
    <x:row r="893">
      <x:c r="A893" t="str">
        <x:f>MiniCase_Data!A893</x:f>
        <x:v>R00892</x:v>
      </x:c>
      <x:c r="B893" t="n">
        <x:f>IF(MiniCase_Data!O893="불합격",1,0)</x:f>
        <x:v>0</x:v>
      </x:c>
      <x:c r="C893" t="str">
        <x:f>IF(ISBLANK(MiniCase_Data!H893),"missing",IF(OR(MiniCase_Data!H893&lt;27,MiniCase_Data!H893&gt;33),"밖","안"))</x:f>
        <x:v>missing</x:v>
      </x:c>
      <x:c r="D893" t="n">
        <x:f>IF(ISBLANK(MiniCase_Data!H893),VLOOKUP(A893,센서로그!$A$2:$C$13,3,FALSE),MiniCase_Data!H893)</x:f>
        <x:v>31.96</x:v>
      </x:c>
      <x:c r="E893" t="n">
        <x:f>IF(AND(MiniCase_Data!C893="야간",MiniCase_Data!F893="M03"),1,0)</x:f>
        <x:v>0</x:v>
      </x:c>
      <x:c r="F893" t="n">
        <x:f>IF(C893="밖",1,0)</x:f>
        <x:v>0</x:v>
      </x:c>
      <x:c r="G893" t="n">
        <x:f>IF(OR(F893=1,E893=1),1,0)</x:f>
        <x:v>0</x:v>
      </x:c>
      <x:c r="H893" t="str">
        <x:f>IF(B893=1,IF(F893=1,"TP","FN"),IF(F893=1,"FP","TN"))</x:f>
        <x:v>TN</x:v>
      </x:c>
      <x:c r="I893" t="str">
        <x:f>IF(B893=1,IF(G893=1,"TP","FN"),IF(G893=1,"FP","TN"))</x:f>
        <x:v>TN</x:v>
      </x:c>
    </x:row>
    <x:row r="894">
      <x:c r="A894" t="str">
        <x:f>MiniCase_Data!A894</x:f>
        <x:v>R00893</x:v>
      </x:c>
      <x:c r="B894" t="n">
        <x:f>IF(MiniCase_Data!O894="불합격",1,0)</x:f>
        <x:v>0</x:v>
      </x:c>
      <x:c r="C894" t="str">
        <x:f>IF(ISBLANK(MiniCase_Data!H894),"missing",IF(OR(MiniCase_Data!H894&lt;27,MiniCase_Data!H894&gt;33),"밖","안"))</x:f>
        <x:v>안</x:v>
      </x:c>
      <x:c r="D894" t="n">
        <x:f>IF(ISBLANK(MiniCase_Data!H894),VLOOKUP(A894,센서로그!$A$2:$C$13,3,FALSE),MiniCase_Data!H894)</x:f>
        <x:v>32.24</x:v>
      </x:c>
      <x:c r="E894" t="n">
        <x:f>IF(AND(MiniCase_Data!C894="야간",MiniCase_Data!F894="M03"),1,0)</x:f>
        <x:v>0</x:v>
      </x:c>
      <x:c r="F894" t="n">
        <x:f>IF(C894="밖",1,0)</x:f>
        <x:v>0</x:v>
      </x:c>
      <x:c r="G894" t="n">
        <x:f>IF(OR(F894=1,E894=1),1,0)</x:f>
        <x:v>0</x:v>
      </x:c>
      <x:c r="H894" t="str">
        <x:f>IF(B894=1,IF(F894=1,"TP","FN"),IF(F894=1,"FP","TN"))</x:f>
        <x:v>TN</x:v>
      </x:c>
      <x:c r="I894" t="str">
        <x:f>IF(B894=1,IF(G894=1,"TP","FN"),IF(G894=1,"FP","TN"))</x:f>
        <x:v>TN</x:v>
      </x:c>
    </x:row>
    <x:row r="895">
      <x:c r="A895" t="str">
        <x:f>MiniCase_Data!A895</x:f>
        <x:v>R00894</x:v>
      </x:c>
      <x:c r="B895" t="n">
        <x:f>IF(MiniCase_Data!O895="불합격",1,0)</x:f>
        <x:v>1</x:v>
      </x:c>
      <x:c r="C895" t="str">
        <x:f>IF(ISBLANK(MiniCase_Data!H895),"missing",IF(OR(MiniCase_Data!H895&lt;27,MiniCase_Data!H895&gt;33),"밖","안"))</x:f>
        <x:v>안</x:v>
      </x:c>
      <x:c r="D895" t="n">
        <x:f>IF(ISBLANK(MiniCase_Data!H895),VLOOKUP(A895,센서로그!$A$2:$C$13,3,FALSE),MiniCase_Data!H895)</x:f>
        <x:v>29.63</x:v>
      </x:c>
      <x:c r="E895" t="n">
        <x:f>IF(AND(MiniCase_Data!C895="야간",MiniCase_Data!F895="M03"),1,0)</x:f>
        <x:v>1</x:v>
      </x:c>
      <x:c r="F895" t="n">
        <x:f>IF(C895="밖",1,0)</x:f>
        <x:v>0</x:v>
      </x:c>
      <x:c r="G895" t="n">
        <x:f>IF(OR(F895=1,E895=1),1,0)</x:f>
        <x:v>1</x:v>
      </x:c>
      <x:c r="H895" t="str">
        <x:f>IF(B895=1,IF(F895=1,"TP","FN"),IF(F895=1,"FP","TN"))</x:f>
        <x:v>FN</x:v>
      </x:c>
      <x:c r="I895" t="str">
        <x:f>IF(B895=1,IF(G895=1,"TP","FN"),IF(G895=1,"FP","TN"))</x:f>
        <x:v>TP</x:v>
      </x:c>
    </x:row>
    <x:row r="896">
      <x:c r="A896" t="str">
        <x:f>MiniCase_Data!A896</x:f>
        <x:v>R00895</x:v>
      </x:c>
      <x:c r="B896" t="n">
        <x:f>IF(MiniCase_Data!O896="불합격",1,0)</x:f>
        <x:v>0</x:v>
      </x:c>
      <x:c r="C896" t="str">
        <x:f>IF(ISBLANK(MiniCase_Data!H896),"missing",IF(OR(MiniCase_Data!H896&lt;27,MiniCase_Data!H896&gt;33),"밖","안"))</x:f>
        <x:v>안</x:v>
      </x:c>
      <x:c r="D896" t="n">
        <x:f>IF(ISBLANK(MiniCase_Data!H896),VLOOKUP(A896,센서로그!$A$2:$C$13,3,FALSE),MiniCase_Data!H896)</x:f>
        <x:v>31.45</x:v>
      </x:c>
      <x:c r="E896" t="n">
        <x:f>IF(AND(MiniCase_Data!C896="야간",MiniCase_Data!F896="M03"),1,0)</x:f>
        <x:v>0</x:v>
      </x:c>
      <x:c r="F896" t="n">
        <x:f>IF(C896="밖",1,0)</x:f>
        <x:v>0</x:v>
      </x:c>
      <x:c r="G896" t="n">
        <x:f>IF(OR(F896=1,E896=1),1,0)</x:f>
        <x:v>0</x:v>
      </x:c>
      <x:c r="H896" t="str">
        <x:f>IF(B896=1,IF(F896=1,"TP","FN"),IF(F896=1,"FP","TN"))</x:f>
        <x:v>TN</x:v>
      </x:c>
      <x:c r="I896" t="str">
        <x:f>IF(B896=1,IF(G896=1,"TP","FN"),IF(G896=1,"FP","TN"))</x:f>
        <x:v>TN</x:v>
      </x:c>
    </x:row>
    <x:row r="897">
      <x:c r="A897" t="str">
        <x:f>MiniCase_Data!A897</x:f>
        <x:v>R00896</x:v>
      </x:c>
      <x:c r="B897" t="n">
        <x:f>IF(MiniCase_Data!O897="불합격",1,0)</x:f>
        <x:v>0</x:v>
      </x:c>
      <x:c r="C897" t="str">
        <x:f>IF(ISBLANK(MiniCase_Data!H897),"missing",IF(OR(MiniCase_Data!H897&lt;27,MiniCase_Data!H897&gt;33),"밖","안"))</x:f>
        <x:v>안</x:v>
      </x:c>
      <x:c r="D897" t="n">
        <x:f>IF(ISBLANK(MiniCase_Data!H897),VLOOKUP(A897,센서로그!$A$2:$C$13,3,FALSE),MiniCase_Data!H897)</x:f>
        <x:v>27.69</x:v>
      </x:c>
      <x:c r="E897" t="n">
        <x:f>IF(AND(MiniCase_Data!C897="야간",MiniCase_Data!F897="M03"),1,0)</x:f>
        <x:v>0</x:v>
      </x:c>
      <x:c r="F897" t="n">
        <x:f>IF(C897="밖",1,0)</x:f>
        <x:v>0</x:v>
      </x:c>
      <x:c r="G897" t="n">
        <x:f>IF(OR(F897=1,E897=1),1,0)</x:f>
        <x:v>0</x:v>
      </x:c>
      <x:c r="H897" t="str">
        <x:f>IF(B897=1,IF(F897=1,"TP","FN"),IF(F897=1,"FP","TN"))</x:f>
        <x:v>TN</x:v>
      </x:c>
      <x:c r="I897" t="str">
        <x:f>IF(B897=1,IF(G897=1,"TP","FN"),IF(G897=1,"FP","TN"))</x:f>
        <x:v>TN</x:v>
      </x:c>
    </x:row>
    <x:row r="898">
      <x:c r="A898" t="str">
        <x:f>MiniCase_Data!A898</x:f>
        <x:v>R00897</x:v>
      </x:c>
      <x:c r="B898" t="n">
        <x:f>IF(MiniCase_Data!O898="불합격",1,0)</x:f>
        <x:v>0</x:v>
      </x:c>
      <x:c r="C898" t="str">
        <x:f>IF(ISBLANK(MiniCase_Data!H898),"missing",IF(OR(MiniCase_Data!H898&lt;27,MiniCase_Data!H898&gt;33),"밖","안"))</x:f>
        <x:v>밖</x:v>
      </x:c>
      <x:c r="D898" t="n">
        <x:f>IF(ISBLANK(MiniCase_Data!H898),VLOOKUP(A898,센서로그!$A$2:$C$13,3,FALSE),MiniCase_Data!H898)</x:f>
        <x:v>33.97</x:v>
      </x:c>
      <x:c r="E898" t="n">
        <x:f>IF(AND(MiniCase_Data!C898="야간",MiniCase_Data!F898="M03"),1,0)</x:f>
        <x:v>1</x:v>
      </x:c>
      <x:c r="F898" t="n">
        <x:f>IF(C898="밖",1,0)</x:f>
        <x:v>1</x:v>
      </x:c>
      <x:c r="G898" t="n">
        <x:f>IF(OR(F898=1,E898=1),1,0)</x:f>
        <x:v>1</x:v>
      </x:c>
      <x:c r="H898" t="str">
        <x:f>IF(B898=1,IF(F898=1,"TP","FN"),IF(F898=1,"FP","TN"))</x:f>
        <x:v>FP</x:v>
      </x:c>
      <x:c r="I898" t="str">
        <x:f>IF(B898=1,IF(G898=1,"TP","FN"),IF(G898=1,"FP","TN"))</x:f>
        <x:v>FP</x:v>
      </x:c>
    </x:row>
    <x:row r="899">
      <x:c r="A899" t="str">
        <x:f>MiniCase_Data!A899</x:f>
        <x:v>R00898</x:v>
      </x:c>
      <x:c r="B899" t="n">
        <x:f>IF(MiniCase_Data!O899="불합격",1,0)</x:f>
        <x:v>0</x:v>
      </x:c>
      <x:c r="C899" t="str">
        <x:f>IF(ISBLANK(MiniCase_Data!H899),"missing",IF(OR(MiniCase_Data!H899&lt;27,MiniCase_Data!H899&gt;33),"밖","안"))</x:f>
        <x:v>안</x:v>
      </x:c>
      <x:c r="D899" t="n">
        <x:f>IF(ISBLANK(MiniCase_Data!H899),VLOOKUP(A899,센서로그!$A$2:$C$13,3,FALSE),MiniCase_Data!H899)</x:f>
        <x:v>29.52</x:v>
      </x:c>
      <x:c r="E899" t="n">
        <x:f>IF(AND(MiniCase_Data!C899="야간",MiniCase_Data!F899="M03"),1,0)</x:f>
        <x:v>0</x:v>
      </x:c>
      <x:c r="F899" t="n">
        <x:f>IF(C899="밖",1,0)</x:f>
        <x:v>0</x:v>
      </x:c>
      <x:c r="G899" t="n">
        <x:f>IF(OR(F899=1,E899=1),1,0)</x:f>
        <x:v>0</x:v>
      </x:c>
      <x:c r="H899" t="str">
        <x:f>IF(B899=1,IF(F899=1,"TP","FN"),IF(F899=1,"FP","TN"))</x:f>
        <x:v>TN</x:v>
      </x:c>
      <x:c r="I899" t="str">
        <x:f>IF(B899=1,IF(G899=1,"TP","FN"),IF(G899=1,"FP","TN"))</x:f>
        <x:v>TN</x:v>
      </x:c>
    </x:row>
    <x:row r="900">
      <x:c r="A900" t="str">
        <x:f>MiniCase_Data!A900</x:f>
        <x:v>R00899</x:v>
      </x:c>
      <x:c r="B900" t="n">
        <x:f>IF(MiniCase_Data!O900="불합격",1,0)</x:f>
        <x:v>0</x:v>
      </x:c>
      <x:c r="C900" t="str">
        <x:f>IF(ISBLANK(MiniCase_Data!H900),"missing",IF(OR(MiniCase_Data!H900&lt;27,MiniCase_Data!H900&gt;33),"밖","안"))</x:f>
        <x:v>안</x:v>
      </x:c>
      <x:c r="D900" t="n">
        <x:f>IF(ISBLANK(MiniCase_Data!H900),VLOOKUP(A900,센서로그!$A$2:$C$13,3,FALSE),MiniCase_Data!H900)</x:f>
        <x:v>30.47</x:v>
      </x:c>
      <x:c r="E900" t="n">
        <x:f>IF(AND(MiniCase_Data!C900="야간",MiniCase_Data!F900="M03"),1,0)</x:f>
        <x:v>0</x:v>
      </x:c>
      <x:c r="F900" t="n">
        <x:f>IF(C900="밖",1,0)</x:f>
        <x:v>0</x:v>
      </x:c>
      <x:c r="G900" t="n">
        <x:f>IF(OR(F900=1,E900=1),1,0)</x:f>
        <x:v>0</x:v>
      </x:c>
      <x:c r="H900" t="str">
        <x:f>IF(B900=1,IF(F900=1,"TP","FN"),IF(F900=1,"FP","TN"))</x:f>
        <x:v>TN</x:v>
      </x:c>
      <x:c r="I900" t="str">
        <x:f>IF(B900=1,IF(G900=1,"TP","FN"),IF(G900=1,"FP","TN"))</x:f>
        <x:v>TN</x:v>
      </x:c>
    </x:row>
    <x:row r="901">
      <x:c r="A901" t="str">
        <x:f>MiniCase_Data!A901</x:f>
        <x:v>R00900</x:v>
      </x:c>
      <x:c r="B901" t="n">
        <x:f>IF(MiniCase_Data!O901="불합격",1,0)</x:f>
        <x:v>0</x:v>
      </x:c>
      <x:c r="C901" t="str">
        <x:f>IF(ISBLANK(MiniCase_Data!H901),"missing",IF(OR(MiniCase_Data!H901&lt;27,MiniCase_Data!H901&gt;33),"밖","안"))</x:f>
        <x:v>안</x:v>
      </x:c>
      <x:c r="D901" t="n">
        <x:f>IF(ISBLANK(MiniCase_Data!H901),VLOOKUP(A901,센서로그!$A$2:$C$13,3,FALSE),MiniCase_Data!H901)</x:f>
        <x:v>32.22</x:v>
      </x:c>
      <x:c r="E901" t="n">
        <x:f>IF(AND(MiniCase_Data!C901="야간",MiniCase_Data!F901="M03"),1,0)</x:f>
        <x:v>0</x:v>
      </x:c>
      <x:c r="F901" t="n">
        <x:f>IF(C901="밖",1,0)</x:f>
        <x:v>0</x:v>
      </x:c>
      <x:c r="G901" t="n">
        <x:f>IF(OR(F901=1,E901=1),1,0)</x:f>
        <x:v>0</x:v>
      </x:c>
      <x:c r="H901" t="str">
        <x:f>IF(B901=1,IF(F901=1,"TP","FN"),IF(F901=1,"FP","TN"))</x:f>
        <x:v>TN</x:v>
      </x:c>
      <x:c r="I901" t="str">
        <x:f>IF(B901=1,IF(G901=1,"TP","FN"),IF(G901=1,"FP","TN"))</x:f>
        <x:v>TN</x:v>
      </x:c>
    </x:row>
    <x:row r="902">
      <x:c r="A902" t="str">
        <x:f>MiniCase_Data!A902</x:f>
        <x:v>R00901</x:v>
      </x:c>
      <x:c r="B902" t="n">
        <x:f>IF(MiniCase_Data!O902="불합격",1,0)</x:f>
        <x:v>0</x:v>
      </x:c>
      <x:c r="C902" t="str">
        <x:f>IF(ISBLANK(MiniCase_Data!H902),"missing",IF(OR(MiniCase_Data!H902&lt;27,MiniCase_Data!H902&gt;33),"밖","안"))</x:f>
        <x:v>안</x:v>
      </x:c>
      <x:c r="D902" t="n">
        <x:f>IF(ISBLANK(MiniCase_Data!H902),VLOOKUP(A902,센서로그!$A$2:$C$13,3,FALSE),MiniCase_Data!H902)</x:f>
        <x:v>27.88</x:v>
      </x:c>
      <x:c r="E902" t="n">
        <x:f>IF(AND(MiniCase_Data!C902="야간",MiniCase_Data!F902="M03"),1,0)</x:f>
        <x:v>0</x:v>
      </x:c>
      <x:c r="F902" t="n">
        <x:f>IF(C902="밖",1,0)</x:f>
        <x:v>0</x:v>
      </x:c>
      <x:c r="G902" t="n">
        <x:f>IF(OR(F902=1,E902=1),1,0)</x:f>
        <x:v>0</x:v>
      </x:c>
      <x:c r="H902" t="str">
        <x:f>IF(B902=1,IF(F902=1,"TP","FN"),IF(F902=1,"FP","TN"))</x:f>
        <x:v>TN</x:v>
      </x:c>
      <x:c r="I902" t="str">
        <x:f>IF(B902=1,IF(G902=1,"TP","FN"),IF(G902=1,"FP","TN"))</x:f>
        <x:v>TN</x:v>
      </x:c>
    </x:row>
    <x:row r="903">
      <x:c r="A903" t="str">
        <x:f>MiniCase_Data!A903</x:f>
        <x:v>R00902</x:v>
      </x:c>
      <x:c r="B903" t="n">
        <x:f>IF(MiniCase_Data!O903="불합격",1,0)</x:f>
        <x:v>0</x:v>
      </x:c>
      <x:c r="C903" t="str">
        <x:f>IF(ISBLANK(MiniCase_Data!H903),"missing",IF(OR(MiniCase_Data!H903&lt;27,MiniCase_Data!H903&gt;33),"밖","안"))</x:f>
        <x:v>안</x:v>
      </x:c>
      <x:c r="D903" t="n">
        <x:f>IF(ISBLANK(MiniCase_Data!H903),VLOOKUP(A903,센서로그!$A$2:$C$13,3,FALSE),MiniCase_Data!H903)</x:f>
        <x:v>31.93</x:v>
      </x:c>
      <x:c r="E903" t="n">
        <x:f>IF(AND(MiniCase_Data!C903="야간",MiniCase_Data!F903="M03"),1,0)</x:f>
        <x:v>0</x:v>
      </x:c>
      <x:c r="F903" t="n">
        <x:f>IF(C903="밖",1,0)</x:f>
        <x:v>0</x:v>
      </x:c>
      <x:c r="G903" t="n">
        <x:f>IF(OR(F903=1,E903=1),1,0)</x:f>
        <x:v>0</x:v>
      </x:c>
      <x:c r="H903" t="str">
        <x:f>IF(B903=1,IF(F903=1,"TP","FN"),IF(F903=1,"FP","TN"))</x:f>
        <x:v>TN</x:v>
      </x:c>
      <x:c r="I903" t="str">
        <x:f>IF(B903=1,IF(G903=1,"TP","FN"),IF(G903=1,"FP","TN"))</x:f>
        <x:v>TN</x:v>
      </x:c>
    </x:row>
    <x:row r="904">
      <x:c r="A904" t="str">
        <x:f>MiniCase_Data!A904</x:f>
        <x:v>R00903</x:v>
      </x:c>
      <x:c r="B904" t="n">
        <x:f>IF(MiniCase_Data!O904="불합격",1,0)</x:f>
        <x:v>1</x:v>
      </x:c>
      <x:c r="C904" t="str">
        <x:f>IF(ISBLANK(MiniCase_Data!H904),"missing",IF(OR(MiniCase_Data!H904&lt;27,MiniCase_Data!H904&gt;33),"밖","안"))</x:f>
        <x:v>안</x:v>
      </x:c>
      <x:c r="D904" t="n">
        <x:f>IF(ISBLANK(MiniCase_Data!H904),VLOOKUP(A904,센서로그!$A$2:$C$13,3,FALSE),MiniCase_Data!H904)</x:f>
        <x:v>29.84</x:v>
      </x:c>
      <x:c r="E904" t="n">
        <x:f>IF(AND(MiniCase_Data!C904="야간",MiniCase_Data!F904="M03"),1,0)</x:f>
        <x:v>1</x:v>
      </x:c>
      <x:c r="F904" t="n">
        <x:f>IF(C904="밖",1,0)</x:f>
        <x:v>0</x:v>
      </x:c>
      <x:c r="G904" t="n">
        <x:f>IF(OR(F904=1,E904=1),1,0)</x:f>
        <x:v>1</x:v>
      </x:c>
      <x:c r="H904" t="str">
        <x:f>IF(B904=1,IF(F904=1,"TP","FN"),IF(F904=1,"FP","TN"))</x:f>
        <x:v>FN</x:v>
      </x:c>
      <x:c r="I904" t="str">
        <x:f>IF(B904=1,IF(G904=1,"TP","FN"),IF(G904=1,"FP","TN"))</x:f>
        <x:v>TP</x:v>
      </x:c>
    </x:row>
    <x:row r="905">
      <x:c r="A905" t="str">
        <x:f>MiniCase_Data!A905</x:f>
        <x:v>R00904</x:v>
      </x:c>
      <x:c r="B905" t="n">
        <x:f>IF(MiniCase_Data!O905="불합격",1,0)</x:f>
        <x:v>0</x:v>
      </x:c>
      <x:c r="C905" t="str">
        <x:f>IF(ISBLANK(MiniCase_Data!H905),"missing",IF(OR(MiniCase_Data!H905&lt;27,MiniCase_Data!H905&gt;33),"밖","안"))</x:f>
        <x:v>안</x:v>
      </x:c>
      <x:c r="D905" t="n">
        <x:f>IF(ISBLANK(MiniCase_Data!H905),VLOOKUP(A905,센서로그!$A$2:$C$13,3,FALSE),MiniCase_Data!H905)</x:f>
        <x:v>27.39</x:v>
      </x:c>
      <x:c r="E905" t="n">
        <x:f>IF(AND(MiniCase_Data!C905="야간",MiniCase_Data!F905="M03"),1,0)</x:f>
        <x:v>0</x:v>
      </x:c>
      <x:c r="F905" t="n">
        <x:f>IF(C905="밖",1,0)</x:f>
        <x:v>0</x:v>
      </x:c>
      <x:c r="G905" t="n">
        <x:f>IF(OR(F905=1,E905=1),1,0)</x:f>
        <x:v>0</x:v>
      </x:c>
      <x:c r="H905" t="str">
        <x:f>IF(B905=1,IF(F905=1,"TP","FN"),IF(F905=1,"FP","TN"))</x:f>
        <x:v>TN</x:v>
      </x:c>
      <x:c r="I905" t="str">
        <x:f>IF(B905=1,IF(G905=1,"TP","FN"),IF(G905=1,"FP","TN"))</x:f>
        <x:v>TN</x:v>
      </x:c>
    </x:row>
    <x:row r="906">
      <x:c r="A906" t="str">
        <x:f>MiniCase_Data!A906</x:f>
        <x:v>R00905</x:v>
      </x:c>
      <x:c r="B906" t="n">
        <x:f>IF(MiniCase_Data!O906="불합격",1,0)</x:f>
        <x:v>0</x:v>
      </x:c>
      <x:c r="C906" t="str">
        <x:f>IF(ISBLANK(MiniCase_Data!H906),"missing",IF(OR(MiniCase_Data!H906&lt;27,MiniCase_Data!H906&gt;33),"밖","안"))</x:f>
        <x:v>안</x:v>
      </x:c>
      <x:c r="D906" t="n">
        <x:f>IF(ISBLANK(MiniCase_Data!H906),VLOOKUP(A906,센서로그!$A$2:$C$13,3,FALSE),MiniCase_Data!H906)</x:f>
        <x:v>28.82</x:v>
      </x:c>
      <x:c r="E906" t="n">
        <x:f>IF(AND(MiniCase_Data!C906="야간",MiniCase_Data!F906="M03"),1,0)</x:f>
        <x:v>0</x:v>
      </x:c>
      <x:c r="F906" t="n">
        <x:f>IF(C906="밖",1,0)</x:f>
        <x:v>0</x:v>
      </x:c>
      <x:c r="G906" t="n">
        <x:f>IF(OR(F906=1,E906=1),1,0)</x:f>
        <x:v>0</x:v>
      </x:c>
      <x:c r="H906" t="str">
        <x:f>IF(B906=1,IF(F906=1,"TP","FN"),IF(F906=1,"FP","TN"))</x:f>
        <x:v>TN</x:v>
      </x:c>
      <x:c r="I906" t="str">
        <x:f>IF(B906=1,IF(G906=1,"TP","FN"),IF(G906=1,"FP","TN"))</x:f>
        <x:v>TN</x:v>
      </x:c>
    </x:row>
    <x:row r="907">
      <x:c r="A907" t="str">
        <x:f>MiniCase_Data!A907</x:f>
        <x:v>R00906</x:v>
      </x:c>
      <x:c r="B907" t="n">
        <x:f>IF(MiniCase_Data!O907="불합격",1,0)</x:f>
        <x:v>0</x:v>
      </x:c>
      <x:c r="C907" t="str">
        <x:f>IF(ISBLANK(MiniCase_Data!H907),"missing",IF(OR(MiniCase_Data!H907&lt;27,MiniCase_Data!H907&gt;33),"밖","안"))</x:f>
        <x:v>안</x:v>
      </x:c>
      <x:c r="D907" t="n">
        <x:f>IF(ISBLANK(MiniCase_Data!H907),VLOOKUP(A907,센서로그!$A$2:$C$13,3,FALSE),MiniCase_Data!H907)</x:f>
        <x:v>27.64</x:v>
      </x:c>
      <x:c r="E907" t="n">
        <x:f>IF(AND(MiniCase_Data!C907="야간",MiniCase_Data!F907="M03"),1,0)</x:f>
        <x:v>0</x:v>
      </x:c>
      <x:c r="F907" t="n">
        <x:f>IF(C907="밖",1,0)</x:f>
        <x:v>0</x:v>
      </x:c>
      <x:c r="G907" t="n">
        <x:f>IF(OR(F907=1,E907=1),1,0)</x:f>
        <x:v>0</x:v>
      </x:c>
      <x:c r="H907" t="str">
        <x:f>IF(B907=1,IF(F907=1,"TP","FN"),IF(F907=1,"FP","TN"))</x:f>
        <x:v>TN</x:v>
      </x:c>
      <x:c r="I907" t="str">
        <x:f>IF(B907=1,IF(G907=1,"TP","FN"),IF(G907=1,"FP","TN"))</x:f>
        <x:v>TN</x:v>
      </x:c>
    </x:row>
    <x:row r="908">
      <x:c r="A908" t="str">
        <x:f>MiniCase_Data!A908</x:f>
        <x:v>R00907</x:v>
      </x:c>
      <x:c r="B908" t="n">
        <x:f>IF(MiniCase_Data!O908="불합격",1,0)</x:f>
        <x:v>0</x:v>
      </x:c>
      <x:c r="C908" t="str">
        <x:f>IF(ISBLANK(MiniCase_Data!H908),"missing",IF(OR(MiniCase_Data!H908&lt;27,MiniCase_Data!H908&gt;33),"밖","안"))</x:f>
        <x:v>안</x:v>
      </x:c>
      <x:c r="D908" t="n">
        <x:f>IF(ISBLANK(MiniCase_Data!H908),VLOOKUP(A908,센서로그!$A$2:$C$13,3,FALSE),MiniCase_Data!H908)</x:f>
        <x:v>30.37</x:v>
      </x:c>
      <x:c r="E908" t="n">
        <x:f>IF(AND(MiniCase_Data!C908="야간",MiniCase_Data!F908="M03"),1,0)</x:f>
        <x:v>0</x:v>
      </x:c>
      <x:c r="F908" t="n">
        <x:f>IF(C908="밖",1,0)</x:f>
        <x:v>0</x:v>
      </x:c>
      <x:c r="G908" t="n">
        <x:f>IF(OR(F908=1,E908=1),1,0)</x:f>
        <x:v>0</x:v>
      </x:c>
      <x:c r="H908" t="str">
        <x:f>IF(B908=1,IF(F908=1,"TP","FN"),IF(F908=1,"FP","TN"))</x:f>
        <x:v>TN</x:v>
      </x:c>
      <x:c r="I908" t="str">
        <x:f>IF(B908=1,IF(G908=1,"TP","FN"),IF(G908=1,"FP","TN"))</x:f>
        <x:v>TN</x:v>
      </x:c>
    </x:row>
    <x:row r="909">
      <x:c r="A909" t="str">
        <x:f>MiniCase_Data!A909</x:f>
        <x:v>R00908</x:v>
      </x:c>
      <x:c r="B909" t="n">
        <x:f>IF(MiniCase_Data!O909="불합격",1,0)</x:f>
        <x:v>0</x:v>
      </x:c>
      <x:c r="C909" t="str">
        <x:f>IF(ISBLANK(MiniCase_Data!H909),"missing",IF(OR(MiniCase_Data!H909&lt;27,MiniCase_Data!H909&gt;33),"밖","안"))</x:f>
        <x:v>안</x:v>
      </x:c>
      <x:c r="D909" t="n">
        <x:f>IF(ISBLANK(MiniCase_Data!H909),VLOOKUP(A909,센서로그!$A$2:$C$13,3,FALSE),MiniCase_Data!H909)</x:f>
        <x:v>31.12</x:v>
      </x:c>
      <x:c r="E909" t="n">
        <x:f>IF(AND(MiniCase_Data!C909="야간",MiniCase_Data!F909="M03"),1,0)</x:f>
        <x:v>0</x:v>
      </x:c>
      <x:c r="F909" t="n">
        <x:f>IF(C909="밖",1,0)</x:f>
        <x:v>0</x:v>
      </x:c>
      <x:c r="G909" t="n">
        <x:f>IF(OR(F909=1,E909=1),1,0)</x:f>
        <x:v>0</x:v>
      </x:c>
      <x:c r="H909" t="str">
        <x:f>IF(B909=1,IF(F909=1,"TP","FN"),IF(F909=1,"FP","TN"))</x:f>
        <x:v>TN</x:v>
      </x:c>
      <x:c r="I909" t="str">
        <x:f>IF(B909=1,IF(G909=1,"TP","FN"),IF(G909=1,"FP","TN"))</x:f>
        <x:v>TN</x:v>
      </x:c>
    </x:row>
    <x:row r="910">
      <x:c r="A910" t="str">
        <x:f>MiniCase_Data!A910</x:f>
        <x:v>R00909</x:v>
      </x:c>
      <x:c r="B910" t="n">
        <x:f>IF(MiniCase_Data!O910="불합격",1,0)</x:f>
        <x:v>0</x:v>
      </x:c>
      <x:c r="C910" t="str">
        <x:f>IF(ISBLANK(MiniCase_Data!H910),"missing",IF(OR(MiniCase_Data!H910&lt;27,MiniCase_Data!H910&gt;33),"밖","안"))</x:f>
        <x:v>안</x:v>
      </x:c>
      <x:c r="D910" t="n">
        <x:f>IF(ISBLANK(MiniCase_Data!H910),VLOOKUP(A910,센서로그!$A$2:$C$13,3,FALSE),MiniCase_Data!H910)</x:f>
        <x:v>29.2</x:v>
      </x:c>
      <x:c r="E910" t="n">
        <x:f>IF(AND(MiniCase_Data!C910="야간",MiniCase_Data!F910="M03"),1,0)</x:f>
        <x:v>0</x:v>
      </x:c>
      <x:c r="F910" t="n">
        <x:f>IF(C910="밖",1,0)</x:f>
        <x:v>0</x:v>
      </x:c>
      <x:c r="G910" t="n">
        <x:f>IF(OR(F910=1,E910=1),1,0)</x:f>
        <x:v>0</x:v>
      </x:c>
      <x:c r="H910" t="str">
        <x:f>IF(B910=1,IF(F910=1,"TP","FN"),IF(F910=1,"FP","TN"))</x:f>
        <x:v>TN</x:v>
      </x:c>
      <x:c r="I910" t="str">
        <x:f>IF(B910=1,IF(G910=1,"TP","FN"),IF(G910=1,"FP","TN"))</x:f>
        <x:v>TN</x:v>
      </x:c>
    </x:row>
    <x:row r="911">
      <x:c r="A911" t="str">
        <x:f>MiniCase_Data!A911</x:f>
        <x:v>R00910</x:v>
      </x:c>
      <x:c r="B911" t="n">
        <x:f>IF(MiniCase_Data!O911="불합격",1,0)</x:f>
        <x:v>0</x:v>
      </x:c>
      <x:c r="C911" t="str">
        <x:f>IF(ISBLANK(MiniCase_Data!H911),"missing",IF(OR(MiniCase_Data!H911&lt;27,MiniCase_Data!H911&gt;33),"밖","안"))</x:f>
        <x:v>안</x:v>
      </x:c>
      <x:c r="D911" t="n">
        <x:f>IF(ISBLANK(MiniCase_Data!H911),VLOOKUP(A911,센서로그!$A$2:$C$13,3,FALSE),MiniCase_Data!H911)</x:f>
        <x:v>29</x:v>
      </x:c>
      <x:c r="E911" t="n">
        <x:f>IF(AND(MiniCase_Data!C911="야간",MiniCase_Data!F911="M03"),1,0)</x:f>
        <x:v>0</x:v>
      </x:c>
      <x:c r="F911" t="n">
        <x:f>IF(C911="밖",1,0)</x:f>
        <x:v>0</x:v>
      </x:c>
      <x:c r="G911" t="n">
        <x:f>IF(OR(F911=1,E911=1),1,0)</x:f>
        <x:v>0</x:v>
      </x:c>
      <x:c r="H911" t="str">
        <x:f>IF(B911=1,IF(F911=1,"TP","FN"),IF(F911=1,"FP","TN"))</x:f>
        <x:v>TN</x:v>
      </x:c>
      <x:c r="I911" t="str">
        <x:f>IF(B911=1,IF(G911=1,"TP","FN"),IF(G911=1,"FP","TN"))</x:f>
        <x:v>TN</x:v>
      </x:c>
    </x:row>
    <x:row r="912">
      <x:c r="A912" t="str">
        <x:f>MiniCase_Data!A912</x:f>
        <x:v>R00911</x:v>
      </x:c>
      <x:c r="B912" t="n">
        <x:f>IF(MiniCase_Data!O912="불합격",1,0)</x:f>
        <x:v>0</x:v>
      </x:c>
      <x:c r="C912" t="str">
        <x:f>IF(ISBLANK(MiniCase_Data!H912),"missing",IF(OR(MiniCase_Data!H912&lt;27,MiniCase_Data!H912&gt;33),"밖","안"))</x:f>
        <x:v>안</x:v>
      </x:c>
      <x:c r="D912" t="n">
        <x:f>IF(ISBLANK(MiniCase_Data!H912),VLOOKUP(A912,센서로그!$A$2:$C$13,3,FALSE),MiniCase_Data!H912)</x:f>
        <x:v>31.58</x:v>
      </x:c>
      <x:c r="E912" t="n">
        <x:f>IF(AND(MiniCase_Data!C912="야간",MiniCase_Data!F912="M03"),1,0)</x:f>
        <x:v>0</x:v>
      </x:c>
      <x:c r="F912" t="n">
        <x:f>IF(C912="밖",1,0)</x:f>
        <x:v>0</x:v>
      </x:c>
      <x:c r="G912" t="n">
        <x:f>IF(OR(F912=1,E912=1),1,0)</x:f>
        <x:v>0</x:v>
      </x:c>
      <x:c r="H912" t="str">
        <x:f>IF(B912=1,IF(F912=1,"TP","FN"),IF(F912=1,"FP","TN"))</x:f>
        <x:v>TN</x:v>
      </x:c>
      <x:c r="I912" t="str">
        <x:f>IF(B912=1,IF(G912=1,"TP","FN"),IF(G912=1,"FP","TN"))</x:f>
        <x:v>TN</x:v>
      </x:c>
    </x:row>
    <x:row r="913">
      <x:c r="A913" t="str">
        <x:f>MiniCase_Data!A913</x:f>
        <x:v>R00912</x:v>
      </x:c>
      <x:c r="B913" t="n">
        <x:f>IF(MiniCase_Data!O913="불합격",1,0)</x:f>
        <x:v>0</x:v>
      </x:c>
      <x:c r="C913" t="str">
        <x:f>IF(ISBLANK(MiniCase_Data!H913),"missing",IF(OR(MiniCase_Data!H913&lt;27,MiniCase_Data!H913&gt;33),"밖","안"))</x:f>
        <x:v>안</x:v>
      </x:c>
      <x:c r="D913" t="n">
        <x:f>IF(ISBLANK(MiniCase_Data!H913),VLOOKUP(A913,센서로그!$A$2:$C$13,3,FALSE),MiniCase_Data!H913)</x:f>
        <x:v>29.16</x:v>
      </x:c>
      <x:c r="E913" t="n">
        <x:f>IF(AND(MiniCase_Data!C913="야간",MiniCase_Data!F913="M03"),1,0)</x:f>
        <x:v>0</x:v>
      </x:c>
      <x:c r="F913" t="n">
        <x:f>IF(C913="밖",1,0)</x:f>
        <x:v>0</x:v>
      </x:c>
      <x:c r="G913" t="n">
        <x:f>IF(OR(F913=1,E913=1),1,0)</x:f>
        <x:v>0</x:v>
      </x:c>
      <x:c r="H913" t="str">
        <x:f>IF(B913=1,IF(F913=1,"TP","FN"),IF(F913=1,"FP","TN"))</x:f>
        <x:v>TN</x:v>
      </x:c>
      <x:c r="I913" t="str">
        <x:f>IF(B913=1,IF(G913=1,"TP","FN"),IF(G913=1,"FP","TN"))</x:f>
        <x:v>TN</x:v>
      </x:c>
    </x:row>
    <x:row r="914">
      <x:c r="A914" t="str">
        <x:f>MiniCase_Data!A914</x:f>
        <x:v>R00913</x:v>
      </x:c>
      <x:c r="B914" t="n">
        <x:f>IF(MiniCase_Data!O914="불합격",1,0)</x:f>
        <x:v>0</x:v>
      </x:c>
      <x:c r="C914" t="str">
        <x:f>IF(ISBLANK(MiniCase_Data!H914),"missing",IF(OR(MiniCase_Data!H914&lt;27,MiniCase_Data!H914&gt;33),"밖","안"))</x:f>
        <x:v>안</x:v>
      </x:c>
      <x:c r="D914" t="n">
        <x:f>IF(ISBLANK(MiniCase_Data!H914),VLOOKUP(A914,센서로그!$A$2:$C$13,3,FALSE),MiniCase_Data!H914)</x:f>
        <x:v>32.66</x:v>
      </x:c>
      <x:c r="E914" t="n">
        <x:f>IF(AND(MiniCase_Data!C914="야간",MiniCase_Data!F914="M03"),1,0)</x:f>
        <x:v>0</x:v>
      </x:c>
      <x:c r="F914" t="n">
        <x:f>IF(C914="밖",1,0)</x:f>
        <x:v>0</x:v>
      </x:c>
      <x:c r="G914" t="n">
        <x:f>IF(OR(F914=1,E914=1),1,0)</x:f>
        <x:v>0</x:v>
      </x:c>
      <x:c r="H914" t="str">
        <x:f>IF(B914=1,IF(F914=1,"TP","FN"),IF(F914=1,"FP","TN"))</x:f>
        <x:v>TN</x:v>
      </x:c>
      <x:c r="I914" t="str">
        <x:f>IF(B914=1,IF(G914=1,"TP","FN"),IF(G914=1,"FP","TN"))</x:f>
        <x:v>TN</x:v>
      </x:c>
    </x:row>
    <x:row r="915">
      <x:c r="A915" t="str">
        <x:f>MiniCase_Data!A915</x:f>
        <x:v>R00914</x:v>
      </x:c>
      <x:c r="B915" t="n">
        <x:f>IF(MiniCase_Data!O915="불합격",1,0)</x:f>
        <x:v>0</x:v>
      </x:c>
      <x:c r="C915" t="str">
        <x:f>IF(ISBLANK(MiniCase_Data!H915),"missing",IF(OR(MiniCase_Data!H915&lt;27,MiniCase_Data!H915&gt;33),"밖","안"))</x:f>
        <x:v>안</x:v>
      </x:c>
      <x:c r="D915" t="n">
        <x:f>IF(ISBLANK(MiniCase_Data!H915),VLOOKUP(A915,센서로그!$A$2:$C$13,3,FALSE),MiniCase_Data!H915)</x:f>
        <x:v>28.61</x:v>
      </x:c>
      <x:c r="E915" t="n">
        <x:f>IF(AND(MiniCase_Data!C915="야간",MiniCase_Data!F915="M03"),1,0)</x:f>
        <x:v>0</x:v>
      </x:c>
      <x:c r="F915" t="n">
        <x:f>IF(C915="밖",1,0)</x:f>
        <x:v>0</x:v>
      </x:c>
      <x:c r="G915" t="n">
        <x:f>IF(OR(F915=1,E915=1),1,0)</x:f>
        <x:v>0</x:v>
      </x:c>
      <x:c r="H915" t="str">
        <x:f>IF(B915=1,IF(F915=1,"TP","FN"),IF(F915=1,"FP","TN"))</x:f>
        <x:v>TN</x:v>
      </x:c>
      <x:c r="I915" t="str">
        <x:f>IF(B915=1,IF(G915=1,"TP","FN"),IF(G915=1,"FP","TN"))</x:f>
        <x:v>TN</x:v>
      </x:c>
    </x:row>
    <x:row r="916">
      <x:c r="A916" t="str">
        <x:f>MiniCase_Data!A916</x:f>
        <x:v>R00915</x:v>
      </x:c>
      <x:c r="B916" t="n">
        <x:f>IF(MiniCase_Data!O916="불합격",1,0)</x:f>
        <x:v>0</x:v>
      </x:c>
      <x:c r="C916" t="str">
        <x:f>IF(ISBLANK(MiniCase_Data!H916),"missing",IF(OR(MiniCase_Data!H916&lt;27,MiniCase_Data!H916&gt;33),"밖","안"))</x:f>
        <x:v>안</x:v>
      </x:c>
      <x:c r="D916" t="n">
        <x:f>IF(ISBLANK(MiniCase_Data!H916),VLOOKUP(A916,센서로그!$A$2:$C$13,3,FALSE),MiniCase_Data!H916)</x:f>
        <x:v>28.79</x:v>
      </x:c>
      <x:c r="E916" t="n">
        <x:f>IF(AND(MiniCase_Data!C916="야간",MiniCase_Data!F916="M03"),1,0)</x:f>
        <x:v>0</x:v>
      </x:c>
      <x:c r="F916" t="n">
        <x:f>IF(C916="밖",1,0)</x:f>
        <x:v>0</x:v>
      </x:c>
      <x:c r="G916" t="n">
        <x:f>IF(OR(F916=1,E916=1),1,0)</x:f>
        <x:v>0</x:v>
      </x:c>
      <x:c r="H916" t="str">
        <x:f>IF(B916=1,IF(F916=1,"TP","FN"),IF(F916=1,"FP","TN"))</x:f>
        <x:v>TN</x:v>
      </x:c>
      <x:c r="I916" t="str">
        <x:f>IF(B916=1,IF(G916=1,"TP","FN"),IF(G916=1,"FP","TN"))</x:f>
        <x:v>TN</x:v>
      </x:c>
    </x:row>
    <x:row r="917">
      <x:c r="A917" t="str">
        <x:f>MiniCase_Data!A917</x:f>
        <x:v>R00916</x:v>
      </x:c>
      <x:c r="B917" t="n">
        <x:f>IF(MiniCase_Data!O917="불합격",1,0)</x:f>
        <x:v>0</x:v>
      </x:c>
      <x:c r="C917" t="str">
        <x:f>IF(ISBLANK(MiniCase_Data!H917),"missing",IF(OR(MiniCase_Data!H917&lt;27,MiniCase_Data!H917&gt;33),"밖","안"))</x:f>
        <x:v>안</x:v>
      </x:c>
      <x:c r="D917" t="n">
        <x:f>IF(ISBLANK(MiniCase_Data!H917),VLOOKUP(A917,센서로그!$A$2:$C$13,3,FALSE),MiniCase_Data!H917)</x:f>
        <x:v>29.6</x:v>
      </x:c>
      <x:c r="E917" t="n">
        <x:f>IF(AND(MiniCase_Data!C917="야간",MiniCase_Data!F917="M03"),1,0)</x:f>
        <x:v>0</x:v>
      </x:c>
      <x:c r="F917" t="n">
        <x:f>IF(C917="밖",1,0)</x:f>
        <x:v>0</x:v>
      </x:c>
      <x:c r="G917" t="n">
        <x:f>IF(OR(F917=1,E917=1),1,0)</x:f>
        <x:v>0</x:v>
      </x:c>
      <x:c r="H917" t="str">
        <x:f>IF(B917=1,IF(F917=1,"TP","FN"),IF(F917=1,"FP","TN"))</x:f>
        <x:v>TN</x:v>
      </x:c>
      <x:c r="I917" t="str">
        <x:f>IF(B917=1,IF(G917=1,"TP","FN"),IF(G917=1,"FP","TN"))</x:f>
        <x:v>TN</x:v>
      </x:c>
    </x:row>
    <x:row r="918">
      <x:c r="A918" t="str">
        <x:f>MiniCase_Data!A918</x:f>
        <x:v>R00917</x:v>
      </x:c>
      <x:c r="B918" t="n">
        <x:f>IF(MiniCase_Data!O918="불합격",1,0)</x:f>
        <x:v>0</x:v>
      </x:c>
      <x:c r="C918" t="str">
        <x:f>IF(ISBLANK(MiniCase_Data!H918),"missing",IF(OR(MiniCase_Data!H918&lt;27,MiniCase_Data!H918&gt;33),"밖","안"))</x:f>
        <x:v>안</x:v>
      </x:c>
      <x:c r="D918" t="n">
        <x:f>IF(ISBLANK(MiniCase_Data!H918),VLOOKUP(A918,센서로그!$A$2:$C$13,3,FALSE),MiniCase_Data!H918)</x:f>
        <x:v>27.28</x:v>
      </x:c>
      <x:c r="E918" t="n">
        <x:f>IF(AND(MiniCase_Data!C918="야간",MiniCase_Data!F918="M03"),1,0)</x:f>
        <x:v>0</x:v>
      </x:c>
      <x:c r="F918" t="n">
        <x:f>IF(C918="밖",1,0)</x:f>
        <x:v>0</x:v>
      </x:c>
      <x:c r="G918" t="n">
        <x:f>IF(OR(F918=1,E918=1),1,0)</x:f>
        <x:v>0</x:v>
      </x:c>
      <x:c r="H918" t="str">
        <x:f>IF(B918=1,IF(F918=1,"TP","FN"),IF(F918=1,"FP","TN"))</x:f>
        <x:v>TN</x:v>
      </x:c>
      <x:c r="I918" t="str">
        <x:f>IF(B918=1,IF(G918=1,"TP","FN"),IF(G918=1,"FP","TN"))</x:f>
        <x:v>TN</x:v>
      </x:c>
    </x:row>
    <x:row r="919">
      <x:c r="A919" t="str">
        <x:f>MiniCase_Data!A919</x:f>
        <x:v>R00918</x:v>
      </x:c>
      <x:c r="B919" t="n">
        <x:f>IF(MiniCase_Data!O919="불합격",1,0)</x:f>
        <x:v>0</x:v>
      </x:c>
      <x:c r="C919" t="str">
        <x:f>IF(ISBLANK(MiniCase_Data!H919),"missing",IF(OR(MiniCase_Data!H919&lt;27,MiniCase_Data!H919&gt;33),"밖","안"))</x:f>
        <x:v>안</x:v>
      </x:c>
      <x:c r="D919" t="n">
        <x:f>IF(ISBLANK(MiniCase_Data!H919),VLOOKUP(A919,센서로그!$A$2:$C$13,3,FALSE),MiniCase_Data!H919)</x:f>
        <x:v>29.78</x:v>
      </x:c>
      <x:c r="E919" t="n">
        <x:f>IF(AND(MiniCase_Data!C919="야간",MiniCase_Data!F919="M03"),1,0)</x:f>
        <x:v>0</x:v>
      </x:c>
      <x:c r="F919" t="n">
        <x:f>IF(C919="밖",1,0)</x:f>
        <x:v>0</x:v>
      </x:c>
      <x:c r="G919" t="n">
        <x:f>IF(OR(F919=1,E919=1),1,0)</x:f>
        <x:v>0</x:v>
      </x:c>
      <x:c r="H919" t="str">
        <x:f>IF(B919=1,IF(F919=1,"TP","FN"),IF(F919=1,"FP","TN"))</x:f>
        <x:v>TN</x:v>
      </x:c>
      <x:c r="I919" t="str">
        <x:f>IF(B919=1,IF(G919=1,"TP","FN"),IF(G919=1,"FP","TN"))</x:f>
        <x:v>TN</x:v>
      </x:c>
    </x:row>
    <x:row r="920">
      <x:c r="A920" t="str">
        <x:f>MiniCase_Data!A920</x:f>
        <x:v>R00919</x:v>
      </x:c>
      <x:c r="B920" t="n">
        <x:f>IF(MiniCase_Data!O920="불합격",1,0)</x:f>
        <x:v>0</x:v>
      </x:c>
      <x:c r="C920" t="str">
        <x:f>IF(ISBLANK(MiniCase_Data!H920),"missing",IF(OR(MiniCase_Data!H920&lt;27,MiniCase_Data!H920&gt;33),"밖","안"))</x:f>
        <x:v>안</x:v>
      </x:c>
      <x:c r="D920" t="n">
        <x:f>IF(ISBLANK(MiniCase_Data!H920),VLOOKUP(A920,센서로그!$A$2:$C$13,3,FALSE),MiniCase_Data!H920)</x:f>
        <x:v>27.54</x:v>
      </x:c>
      <x:c r="E920" t="n">
        <x:f>IF(AND(MiniCase_Data!C920="야간",MiniCase_Data!F920="M03"),1,0)</x:f>
        <x:v>0</x:v>
      </x:c>
      <x:c r="F920" t="n">
        <x:f>IF(C920="밖",1,0)</x:f>
        <x:v>0</x:v>
      </x:c>
      <x:c r="G920" t="n">
        <x:f>IF(OR(F920=1,E920=1),1,0)</x:f>
        <x:v>0</x:v>
      </x:c>
      <x:c r="H920" t="str">
        <x:f>IF(B920=1,IF(F920=1,"TP","FN"),IF(F920=1,"FP","TN"))</x:f>
        <x:v>TN</x:v>
      </x:c>
      <x:c r="I920" t="str">
        <x:f>IF(B920=1,IF(G920=1,"TP","FN"),IF(G920=1,"FP","TN"))</x:f>
        <x:v>TN</x:v>
      </x:c>
    </x:row>
    <x:row r="921">
      <x:c r="A921" t="str">
        <x:f>MiniCase_Data!A921</x:f>
        <x:v>R00920</x:v>
      </x:c>
      <x:c r="B921" t="n">
        <x:f>IF(MiniCase_Data!O921="불합격",1,0)</x:f>
        <x:v>0</x:v>
      </x:c>
      <x:c r="C921" t="str">
        <x:f>IF(ISBLANK(MiniCase_Data!H921),"missing",IF(OR(MiniCase_Data!H921&lt;27,MiniCase_Data!H921&gt;33),"밖","안"))</x:f>
        <x:v>안</x:v>
      </x:c>
      <x:c r="D921" t="n">
        <x:f>IF(ISBLANK(MiniCase_Data!H921),VLOOKUP(A921,센서로그!$A$2:$C$13,3,FALSE),MiniCase_Data!H921)</x:f>
        <x:v>28.14</x:v>
      </x:c>
      <x:c r="E921" t="n">
        <x:f>IF(AND(MiniCase_Data!C921="야간",MiniCase_Data!F921="M03"),1,0)</x:f>
        <x:v>0</x:v>
      </x:c>
      <x:c r="F921" t="n">
        <x:f>IF(C921="밖",1,0)</x:f>
        <x:v>0</x:v>
      </x:c>
      <x:c r="G921" t="n">
        <x:f>IF(OR(F921=1,E921=1),1,0)</x:f>
        <x:v>0</x:v>
      </x:c>
      <x:c r="H921" t="str">
        <x:f>IF(B921=1,IF(F921=1,"TP","FN"),IF(F921=1,"FP","TN"))</x:f>
        <x:v>TN</x:v>
      </x:c>
      <x:c r="I921" t="str">
        <x:f>IF(B921=1,IF(G921=1,"TP","FN"),IF(G921=1,"FP","TN"))</x:f>
        <x:v>TN</x:v>
      </x:c>
    </x:row>
    <x:row r="922">
      <x:c r="A922" t="str">
        <x:f>MiniCase_Data!A922</x:f>
        <x:v>R00921</x:v>
      </x:c>
      <x:c r="B922" t="n">
        <x:f>IF(MiniCase_Data!O922="불합격",1,0)</x:f>
        <x:v>0</x:v>
      </x:c>
      <x:c r="C922" t="str">
        <x:f>IF(ISBLANK(MiniCase_Data!H922),"missing",IF(OR(MiniCase_Data!H922&lt;27,MiniCase_Data!H922&gt;33),"밖","안"))</x:f>
        <x:v>안</x:v>
      </x:c>
      <x:c r="D922" t="n">
        <x:f>IF(ISBLANK(MiniCase_Data!H922),VLOOKUP(A922,센서로그!$A$2:$C$13,3,FALSE),MiniCase_Data!H922)</x:f>
        <x:v>27.71</x:v>
      </x:c>
      <x:c r="E922" t="n">
        <x:f>IF(AND(MiniCase_Data!C922="야간",MiniCase_Data!F922="M03"),1,0)</x:f>
        <x:v>0</x:v>
      </x:c>
      <x:c r="F922" t="n">
        <x:f>IF(C922="밖",1,0)</x:f>
        <x:v>0</x:v>
      </x:c>
      <x:c r="G922" t="n">
        <x:f>IF(OR(F922=1,E922=1),1,0)</x:f>
        <x:v>0</x:v>
      </x:c>
      <x:c r="H922" t="str">
        <x:f>IF(B922=1,IF(F922=1,"TP","FN"),IF(F922=1,"FP","TN"))</x:f>
        <x:v>TN</x:v>
      </x:c>
      <x:c r="I922" t="str">
        <x:f>IF(B922=1,IF(G922=1,"TP","FN"),IF(G922=1,"FP","TN"))</x:f>
        <x:v>TN</x:v>
      </x:c>
    </x:row>
    <x:row r="923">
      <x:c r="A923" t="str">
        <x:f>MiniCase_Data!A923</x:f>
        <x:v>R00922</x:v>
      </x:c>
      <x:c r="B923" t="n">
        <x:f>IF(MiniCase_Data!O923="불합격",1,0)</x:f>
        <x:v>0</x:v>
      </x:c>
      <x:c r="C923" t="str">
        <x:f>IF(ISBLANK(MiniCase_Data!H923),"missing",IF(OR(MiniCase_Data!H923&lt;27,MiniCase_Data!H923&gt;33),"밖","안"))</x:f>
        <x:v>안</x:v>
      </x:c>
      <x:c r="D923" t="n">
        <x:f>IF(ISBLANK(MiniCase_Data!H923),VLOOKUP(A923,센서로그!$A$2:$C$13,3,FALSE),MiniCase_Data!H923)</x:f>
        <x:v>28.86</x:v>
      </x:c>
      <x:c r="E923" t="n">
        <x:f>IF(AND(MiniCase_Data!C923="야간",MiniCase_Data!F923="M03"),1,0)</x:f>
        <x:v>0</x:v>
      </x:c>
      <x:c r="F923" t="n">
        <x:f>IF(C923="밖",1,0)</x:f>
        <x:v>0</x:v>
      </x:c>
      <x:c r="G923" t="n">
        <x:f>IF(OR(F923=1,E923=1),1,0)</x:f>
        <x:v>0</x:v>
      </x:c>
      <x:c r="H923" t="str">
        <x:f>IF(B923=1,IF(F923=1,"TP","FN"),IF(F923=1,"FP","TN"))</x:f>
        <x:v>TN</x:v>
      </x:c>
      <x:c r="I923" t="str">
        <x:f>IF(B923=1,IF(G923=1,"TP","FN"),IF(G923=1,"FP","TN"))</x:f>
        <x:v>TN</x:v>
      </x:c>
    </x:row>
    <x:row r="924">
      <x:c r="A924" t="str">
        <x:f>MiniCase_Data!A924</x:f>
        <x:v>R00923</x:v>
      </x:c>
      <x:c r="B924" t="n">
        <x:f>IF(MiniCase_Data!O924="불합격",1,0)</x:f>
        <x:v>0</x:v>
      </x:c>
      <x:c r="C924" t="str">
        <x:f>IF(ISBLANK(MiniCase_Data!H924),"missing",IF(OR(MiniCase_Data!H924&lt;27,MiniCase_Data!H924&gt;33),"밖","안"))</x:f>
        <x:v>안</x:v>
      </x:c>
      <x:c r="D924" t="n">
        <x:f>IF(ISBLANK(MiniCase_Data!H924),VLOOKUP(A924,센서로그!$A$2:$C$13,3,FALSE),MiniCase_Data!H924)</x:f>
        <x:v>29.96</x:v>
      </x:c>
      <x:c r="E924" t="n">
        <x:f>IF(AND(MiniCase_Data!C924="야간",MiniCase_Data!F924="M03"),1,0)</x:f>
        <x:v>0</x:v>
      </x:c>
      <x:c r="F924" t="n">
        <x:f>IF(C924="밖",1,0)</x:f>
        <x:v>0</x:v>
      </x:c>
      <x:c r="G924" t="n">
        <x:f>IF(OR(F924=1,E924=1),1,0)</x:f>
        <x:v>0</x:v>
      </x:c>
      <x:c r="H924" t="str">
        <x:f>IF(B924=1,IF(F924=1,"TP","FN"),IF(F924=1,"FP","TN"))</x:f>
        <x:v>TN</x:v>
      </x:c>
      <x:c r="I924" t="str">
        <x:f>IF(B924=1,IF(G924=1,"TP","FN"),IF(G924=1,"FP","TN"))</x:f>
        <x:v>TN</x:v>
      </x:c>
    </x:row>
    <x:row r="925">
      <x:c r="A925" t="str">
        <x:f>MiniCase_Data!A925</x:f>
        <x:v>R00924</x:v>
      </x:c>
      <x:c r="B925" t="n">
        <x:f>IF(MiniCase_Data!O925="불합격",1,0)</x:f>
        <x:v>0</x:v>
      </x:c>
      <x:c r="C925" t="str">
        <x:f>IF(ISBLANK(MiniCase_Data!H925),"missing",IF(OR(MiniCase_Data!H925&lt;27,MiniCase_Data!H925&gt;33),"밖","안"))</x:f>
        <x:v>안</x:v>
      </x:c>
      <x:c r="D925" t="n">
        <x:f>IF(ISBLANK(MiniCase_Data!H925),VLOOKUP(A925,센서로그!$A$2:$C$13,3,FALSE),MiniCase_Data!H925)</x:f>
        <x:v>30.81</x:v>
      </x:c>
      <x:c r="E925" t="n">
        <x:f>IF(AND(MiniCase_Data!C925="야간",MiniCase_Data!F925="M03"),1,0)</x:f>
        <x:v>0</x:v>
      </x:c>
      <x:c r="F925" t="n">
        <x:f>IF(C925="밖",1,0)</x:f>
        <x:v>0</x:v>
      </x:c>
      <x:c r="G925" t="n">
        <x:f>IF(OR(F925=1,E925=1),1,0)</x:f>
        <x:v>0</x:v>
      </x:c>
      <x:c r="H925" t="str">
        <x:f>IF(B925=1,IF(F925=1,"TP","FN"),IF(F925=1,"FP","TN"))</x:f>
        <x:v>TN</x:v>
      </x:c>
      <x:c r="I925" t="str">
        <x:f>IF(B925=1,IF(G925=1,"TP","FN"),IF(G925=1,"FP","TN"))</x:f>
        <x:v>TN</x:v>
      </x:c>
    </x:row>
    <x:row r="926">
      <x:c r="A926" t="str">
        <x:f>MiniCase_Data!A926</x:f>
        <x:v>R00925</x:v>
      </x:c>
      <x:c r="B926" t="n">
        <x:f>IF(MiniCase_Data!O926="불합격",1,0)</x:f>
        <x:v>1</x:v>
      </x:c>
      <x:c r="C926" t="str">
        <x:f>IF(ISBLANK(MiniCase_Data!H926),"missing",IF(OR(MiniCase_Data!H926&lt;27,MiniCase_Data!H926&gt;33),"밖","안"))</x:f>
        <x:v>밖</x:v>
      </x:c>
      <x:c r="D926" t="n">
        <x:f>IF(ISBLANK(MiniCase_Data!H926),VLOOKUP(A926,센서로그!$A$2:$C$13,3,FALSE),MiniCase_Data!H926)</x:f>
        <x:v>33.68</x:v>
      </x:c>
      <x:c r="E926" t="n">
        <x:f>IF(AND(MiniCase_Data!C926="야간",MiniCase_Data!F926="M03"),1,0)</x:f>
        <x:v>0</x:v>
      </x:c>
      <x:c r="F926" t="n">
        <x:f>IF(C926="밖",1,0)</x:f>
        <x:v>1</x:v>
      </x:c>
      <x:c r="G926" t="n">
        <x:f>IF(OR(F926=1,E926=1),1,0)</x:f>
        <x:v>1</x:v>
      </x:c>
      <x:c r="H926" t="str">
        <x:f>IF(B926=1,IF(F926=1,"TP","FN"),IF(F926=1,"FP","TN"))</x:f>
        <x:v>TP</x:v>
      </x:c>
      <x:c r="I926" t="str">
        <x:f>IF(B926=1,IF(G926=1,"TP","FN"),IF(G926=1,"FP","TN"))</x:f>
        <x:v>TP</x:v>
      </x:c>
    </x:row>
    <x:row r="927">
      <x:c r="A927" t="str">
        <x:f>MiniCase_Data!A927</x:f>
        <x:v>R00926</x:v>
      </x:c>
      <x:c r="B927" t="n">
        <x:f>IF(MiniCase_Data!O927="불합격",1,0)</x:f>
        <x:v>0</x:v>
      </x:c>
      <x:c r="C927" t="str">
        <x:f>IF(ISBLANK(MiniCase_Data!H927),"missing",IF(OR(MiniCase_Data!H927&lt;27,MiniCase_Data!H927&gt;33),"밖","안"))</x:f>
        <x:v>안</x:v>
      </x:c>
      <x:c r="D927" t="n">
        <x:f>IF(ISBLANK(MiniCase_Data!H927),VLOOKUP(A927,센서로그!$A$2:$C$13,3,FALSE),MiniCase_Data!H927)</x:f>
        <x:v>29.13</x:v>
      </x:c>
      <x:c r="E927" t="n">
        <x:f>IF(AND(MiniCase_Data!C927="야간",MiniCase_Data!F927="M03"),1,0)</x:f>
        <x:v>0</x:v>
      </x:c>
      <x:c r="F927" t="n">
        <x:f>IF(C927="밖",1,0)</x:f>
        <x:v>0</x:v>
      </x:c>
      <x:c r="G927" t="n">
        <x:f>IF(OR(F927=1,E927=1),1,0)</x:f>
        <x:v>0</x:v>
      </x:c>
      <x:c r="H927" t="str">
        <x:f>IF(B927=1,IF(F927=1,"TP","FN"),IF(F927=1,"FP","TN"))</x:f>
        <x:v>TN</x:v>
      </x:c>
      <x:c r="I927" t="str">
        <x:f>IF(B927=1,IF(G927=1,"TP","FN"),IF(G927=1,"FP","TN"))</x:f>
        <x:v>TN</x:v>
      </x:c>
    </x:row>
    <x:row r="928">
      <x:c r="A928" t="str">
        <x:f>MiniCase_Data!A928</x:f>
        <x:v>R00927</x:v>
      </x:c>
      <x:c r="B928" t="n">
        <x:f>IF(MiniCase_Data!O928="불합격",1,0)</x:f>
        <x:v>0</x:v>
      </x:c>
      <x:c r="C928" t="str">
        <x:f>IF(ISBLANK(MiniCase_Data!H928),"missing",IF(OR(MiniCase_Data!H928&lt;27,MiniCase_Data!H928&gt;33),"밖","안"))</x:f>
        <x:v>안</x:v>
      </x:c>
      <x:c r="D928" t="n">
        <x:f>IF(ISBLANK(MiniCase_Data!H928),VLOOKUP(A928,센서로그!$A$2:$C$13,3,FALSE),MiniCase_Data!H928)</x:f>
        <x:v>29.07</x:v>
      </x:c>
      <x:c r="E928" t="n">
        <x:f>IF(AND(MiniCase_Data!C928="야간",MiniCase_Data!F928="M03"),1,0)</x:f>
        <x:v>0</x:v>
      </x:c>
      <x:c r="F928" t="n">
        <x:f>IF(C928="밖",1,0)</x:f>
        <x:v>0</x:v>
      </x:c>
      <x:c r="G928" t="n">
        <x:f>IF(OR(F928=1,E928=1),1,0)</x:f>
        <x:v>0</x:v>
      </x:c>
      <x:c r="H928" t="str">
        <x:f>IF(B928=1,IF(F928=1,"TP","FN"),IF(F928=1,"FP","TN"))</x:f>
        <x:v>TN</x:v>
      </x:c>
      <x:c r="I928" t="str">
        <x:f>IF(B928=1,IF(G928=1,"TP","FN"),IF(G928=1,"FP","TN"))</x:f>
        <x:v>TN</x:v>
      </x:c>
    </x:row>
    <x:row r="929">
      <x:c r="A929" t="str">
        <x:f>MiniCase_Data!A929</x:f>
        <x:v>R00928</x:v>
      </x:c>
      <x:c r="B929" t="n">
        <x:f>IF(MiniCase_Data!O929="불합격",1,0)</x:f>
        <x:v>0</x:v>
      </x:c>
      <x:c r="C929" t="str">
        <x:f>IF(ISBLANK(MiniCase_Data!H929),"missing",IF(OR(MiniCase_Data!H929&lt;27,MiniCase_Data!H929&gt;33),"밖","안"))</x:f>
        <x:v>안</x:v>
      </x:c>
      <x:c r="D929" t="n">
        <x:f>IF(ISBLANK(MiniCase_Data!H929),VLOOKUP(A929,센서로그!$A$2:$C$13,3,FALSE),MiniCase_Data!H929)</x:f>
        <x:v>32.7</x:v>
      </x:c>
      <x:c r="E929" t="n">
        <x:f>IF(AND(MiniCase_Data!C929="야간",MiniCase_Data!F929="M03"),1,0)</x:f>
        <x:v>0</x:v>
      </x:c>
      <x:c r="F929" t="n">
        <x:f>IF(C929="밖",1,0)</x:f>
        <x:v>0</x:v>
      </x:c>
      <x:c r="G929" t="n">
        <x:f>IF(OR(F929=1,E929=1),1,0)</x:f>
        <x:v>0</x:v>
      </x:c>
      <x:c r="H929" t="str">
        <x:f>IF(B929=1,IF(F929=1,"TP","FN"),IF(F929=1,"FP","TN"))</x:f>
        <x:v>TN</x:v>
      </x:c>
      <x:c r="I929" t="str">
        <x:f>IF(B929=1,IF(G929=1,"TP","FN"),IF(G929=1,"FP","TN"))</x:f>
        <x:v>TN</x:v>
      </x:c>
    </x:row>
    <x:row r="930">
      <x:c r="A930" t="str">
        <x:f>MiniCase_Data!A930</x:f>
        <x:v>R00929</x:v>
      </x:c>
      <x:c r="B930" t="n">
        <x:f>IF(MiniCase_Data!O930="불합격",1,0)</x:f>
        <x:v>0</x:v>
      </x:c>
      <x:c r="C930" t="str">
        <x:f>IF(ISBLANK(MiniCase_Data!H930),"missing",IF(OR(MiniCase_Data!H930&lt;27,MiniCase_Data!H930&gt;33),"밖","안"))</x:f>
        <x:v>안</x:v>
      </x:c>
      <x:c r="D930" t="n">
        <x:f>IF(ISBLANK(MiniCase_Data!H930),VLOOKUP(A930,센서로그!$A$2:$C$13,3,FALSE),MiniCase_Data!H930)</x:f>
        <x:v>31.94</x:v>
      </x:c>
      <x:c r="E930" t="n">
        <x:f>IF(AND(MiniCase_Data!C930="야간",MiniCase_Data!F930="M03"),1,0)</x:f>
        <x:v>1</x:v>
      </x:c>
      <x:c r="F930" t="n">
        <x:f>IF(C930="밖",1,0)</x:f>
        <x:v>0</x:v>
      </x:c>
      <x:c r="G930" t="n">
        <x:f>IF(OR(F930=1,E930=1),1,0)</x:f>
        <x:v>1</x:v>
      </x:c>
      <x:c r="H930" t="str">
        <x:f>IF(B930=1,IF(F930=1,"TP","FN"),IF(F930=1,"FP","TN"))</x:f>
        <x:v>TN</x:v>
      </x:c>
      <x:c r="I930" t="str">
        <x:f>IF(B930=1,IF(G930=1,"TP","FN"),IF(G930=1,"FP","TN"))</x:f>
        <x:v>FP</x:v>
      </x:c>
    </x:row>
    <x:row r="931">
      <x:c r="A931" t="str">
        <x:f>MiniCase_Data!A931</x:f>
        <x:v>R00930</x:v>
      </x:c>
      <x:c r="B931" t="n">
        <x:f>IF(MiniCase_Data!O931="불합격",1,0)</x:f>
        <x:v>0</x:v>
      </x:c>
      <x:c r="C931" t="str">
        <x:f>IF(ISBLANK(MiniCase_Data!H931),"missing",IF(OR(MiniCase_Data!H931&lt;27,MiniCase_Data!H931&gt;33),"밖","안"))</x:f>
        <x:v>안</x:v>
      </x:c>
      <x:c r="D931" t="n">
        <x:f>IF(ISBLANK(MiniCase_Data!H931),VLOOKUP(A931,센서로그!$A$2:$C$13,3,FALSE),MiniCase_Data!H931)</x:f>
        <x:v>29.93</x:v>
      </x:c>
      <x:c r="E931" t="n">
        <x:f>IF(AND(MiniCase_Data!C931="야간",MiniCase_Data!F931="M03"),1,0)</x:f>
        <x:v>0</x:v>
      </x:c>
      <x:c r="F931" t="n">
        <x:f>IF(C931="밖",1,0)</x:f>
        <x:v>0</x:v>
      </x:c>
      <x:c r="G931" t="n">
        <x:f>IF(OR(F931=1,E931=1),1,0)</x:f>
        <x:v>0</x:v>
      </x:c>
      <x:c r="H931" t="str">
        <x:f>IF(B931=1,IF(F931=1,"TP","FN"),IF(F931=1,"FP","TN"))</x:f>
        <x:v>TN</x:v>
      </x:c>
      <x:c r="I931" t="str">
        <x:f>IF(B931=1,IF(G931=1,"TP","FN"),IF(G931=1,"FP","TN"))</x:f>
        <x:v>TN</x:v>
      </x:c>
    </x:row>
    <x:row r="932">
      <x:c r="A932" t="str">
        <x:f>MiniCase_Data!A932</x:f>
        <x:v>R00931</x:v>
      </x:c>
      <x:c r="B932" t="n">
        <x:f>IF(MiniCase_Data!O932="불합격",1,0)</x:f>
        <x:v>0</x:v>
      </x:c>
      <x:c r="C932" t="str">
        <x:f>IF(ISBLANK(MiniCase_Data!H932),"missing",IF(OR(MiniCase_Data!H932&lt;27,MiniCase_Data!H932&gt;33),"밖","안"))</x:f>
        <x:v>안</x:v>
      </x:c>
      <x:c r="D932" t="n">
        <x:f>IF(ISBLANK(MiniCase_Data!H932),VLOOKUP(A932,센서로그!$A$2:$C$13,3,FALSE),MiniCase_Data!H932)</x:f>
        <x:v>31.87</x:v>
      </x:c>
      <x:c r="E932" t="n">
        <x:f>IF(AND(MiniCase_Data!C932="야간",MiniCase_Data!F932="M03"),1,0)</x:f>
        <x:v>0</x:v>
      </x:c>
      <x:c r="F932" t="n">
        <x:f>IF(C932="밖",1,0)</x:f>
        <x:v>0</x:v>
      </x:c>
      <x:c r="G932" t="n">
        <x:f>IF(OR(F932=1,E932=1),1,0)</x:f>
        <x:v>0</x:v>
      </x:c>
      <x:c r="H932" t="str">
        <x:f>IF(B932=1,IF(F932=1,"TP","FN"),IF(F932=1,"FP","TN"))</x:f>
        <x:v>TN</x:v>
      </x:c>
      <x:c r="I932" t="str">
        <x:f>IF(B932=1,IF(G932=1,"TP","FN"),IF(G932=1,"FP","TN"))</x:f>
        <x:v>TN</x:v>
      </x:c>
    </x:row>
    <x:row r="933">
      <x:c r="A933" t="str">
        <x:f>MiniCase_Data!A933</x:f>
        <x:v>R00932</x:v>
      </x:c>
      <x:c r="B933" t="n">
        <x:f>IF(MiniCase_Data!O933="불합격",1,0)</x:f>
        <x:v>0</x:v>
      </x:c>
      <x:c r="C933" t="str">
        <x:f>IF(ISBLANK(MiniCase_Data!H933),"missing",IF(OR(MiniCase_Data!H933&lt;27,MiniCase_Data!H933&gt;33),"밖","안"))</x:f>
        <x:v>안</x:v>
      </x:c>
      <x:c r="D933" t="n">
        <x:f>IF(ISBLANK(MiniCase_Data!H933),VLOOKUP(A933,센서로그!$A$2:$C$13,3,FALSE),MiniCase_Data!H933)</x:f>
        <x:v>30.24</x:v>
      </x:c>
      <x:c r="E933" t="n">
        <x:f>IF(AND(MiniCase_Data!C933="야간",MiniCase_Data!F933="M03"),1,0)</x:f>
        <x:v>0</x:v>
      </x:c>
      <x:c r="F933" t="n">
        <x:f>IF(C933="밖",1,0)</x:f>
        <x:v>0</x:v>
      </x:c>
      <x:c r="G933" t="n">
        <x:f>IF(OR(F933=1,E933=1),1,0)</x:f>
        <x:v>0</x:v>
      </x:c>
      <x:c r="H933" t="str">
        <x:f>IF(B933=1,IF(F933=1,"TP","FN"),IF(F933=1,"FP","TN"))</x:f>
        <x:v>TN</x:v>
      </x:c>
      <x:c r="I933" t="str">
        <x:f>IF(B933=1,IF(G933=1,"TP","FN"),IF(G933=1,"FP","TN"))</x:f>
        <x:v>TN</x:v>
      </x:c>
    </x:row>
    <x:row r="934">
      <x:c r="A934" t="str">
        <x:f>MiniCase_Data!A934</x:f>
        <x:v>R00933</x:v>
      </x:c>
      <x:c r="B934" t="n">
        <x:f>IF(MiniCase_Data!O934="불합격",1,0)</x:f>
        <x:v>0</x:v>
      </x:c>
      <x:c r="C934" t="str">
        <x:f>IF(ISBLANK(MiniCase_Data!H934),"missing",IF(OR(MiniCase_Data!H934&lt;27,MiniCase_Data!H934&gt;33),"밖","안"))</x:f>
        <x:v>안</x:v>
      </x:c>
      <x:c r="D934" t="n">
        <x:f>IF(ISBLANK(MiniCase_Data!H934),VLOOKUP(A934,센서로그!$A$2:$C$13,3,FALSE),MiniCase_Data!H934)</x:f>
        <x:v>31.94</x:v>
      </x:c>
      <x:c r="E934" t="n">
        <x:f>IF(AND(MiniCase_Data!C934="야간",MiniCase_Data!F934="M03"),1,0)</x:f>
        <x:v>0</x:v>
      </x:c>
      <x:c r="F934" t="n">
        <x:f>IF(C934="밖",1,0)</x:f>
        <x:v>0</x:v>
      </x:c>
      <x:c r="G934" t="n">
        <x:f>IF(OR(F934=1,E934=1),1,0)</x:f>
        <x:v>0</x:v>
      </x:c>
      <x:c r="H934" t="str">
        <x:f>IF(B934=1,IF(F934=1,"TP","FN"),IF(F934=1,"FP","TN"))</x:f>
        <x:v>TN</x:v>
      </x:c>
      <x:c r="I934" t="str">
        <x:f>IF(B934=1,IF(G934=1,"TP","FN"),IF(G934=1,"FP","TN"))</x:f>
        <x:v>TN</x:v>
      </x:c>
    </x:row>
    <x:row r="935">
      <x:c r="A935" t="str">
        <x:f>MiniCase_Data!A935</x:f>
        <x:v>R00934</x:v>
      </x:c>
      <x:c r="B935" t="n">
        <x:f>IF(MiniCase_Data!O935="불합격",1,0)</x:f>
        <x:v>0</x:v>
      </x:c>
      <x:c r="C935" t="str">
        <x:f>IF(ISBLANK(MiniCase_Data!H935),"missing",IF(OR(MiniCase_Data!H935&lt;27,MiniCase_Data!H935&gt;33),"밖","안"))</x:f>
        <x:v>안</x:v>
      </x:c>
      <x:c r="D935" t="n">
        <x:f>IF(ISBLANK(MiniCase_Data!H935),VLOOKUP(A935,센서로그!$A$2:$C$13,3,FALSE),MiniCase_Data!H935)</x:f>
        <x:v>27.68</x:v>
      </x:c>
      <x:c r="E935" t="n">
        <x:f>IF(AND(MiniCase_Data!C935="야간",MiniCase_Data!F935="M03"),1,0)</x:f>
        <x:v>0</x:v>
      </x:c>
      <x:c r="F935" t="n">
        <x:f>IF(C935="밖",1,0)</x:f>
        <x:v>0</x:v>
      </x:c>
      <x:c r="G935" t="n">
        <x:f>IF(OR(F935=1,E935=1),1,0)</x:f>
        <x:v>0</x:v>
      </x:c>
      <x:c r="H935" t="str">
        <x:f>IF(B935=1,IF(F935=1,"TP","FN"),IF(F935=1,"FP","TN"))</x:f>
        <x:v>TN</x:v>
      </x:c>
      <x:c r="I935" t="str">
        <x:f>IF(B935=1,IF(G935=1,"TP","FN"),IF(G935=1,"FP","TN"))</x:f>
        <x:v>TN</x:v>
      </x:c>
    </x:row>
    <x:row r="936">
      <x:c r="A936" t="str">
        <x:f>MiniCase_Data!A936</x:f>
        <x:v>R00935</x:v>
      </x:c>
      <x:c r="B936" t="n">
        <x:f>IF(MiniCase_Data!O936="불합격",1,0)</x:f>
        <x:v>0</x:v>
      </x:c>
      <x:c r="C936" t="str">
        <x:f>IF(ISBLANK(MiniCase_Data!H936),"missing",IF(OR(MiniCase_Data!H936&lt;27,MiniCase_Data!H936&gt;33),"밖","안"))</x:f>
        <x:v>안</x:v>
      </x:c>
      <x:c r="D936" t="n">
        <x:f>IF(ISBLANK(MiniCase_Data!H936),VLOOKUP(A936,센서로그!$A$2:$C$13,3,FALSE),MiniCase_Data!H936)</x:f>
        <x:v>32.06</x:v>
      </x:c>
      <x:c r="E936" t="n">
        <x:f>IF(AND(MiniCase_Data!C936="야간",MiniCase_Data!F936="M03"),1,0)</x:f>
        <x:v>0</x:v>
      </x:c>
      <x:c r="F936" t="n">
        <x:f>IF(C936="밖",1,0)</x:f>
        <x:v>0</x:v>
      </x:c>
      <x:c r="G936" t="n">
        <x:f>IF(OR(F936=1,E936=1),1,0)</x:f>
        <x:v>0</x:v>
      </x:c>
      <x:c r="H936" t="str">
        <x:f>IF(B936=1,IF(F936=1,"TP","FN"),IF(F936=1,"FP","TN"))</x:f>
        <x:v>TN</x:v>
      </x:c>
      <x:c r="I936" t="str">
        <x:f>IF(B936=1,IF(G936=1,"TP","FN"),IF(G936=1,"FP","TN"))</x:f>
        <x:v>TN</x:v>
      </x:c>
    </x:row>
    <x:row r="937">
      <x:c r="A937" t="str">
        <x:f>MiniCase_Data!A937</x:f>
        <x:v>R00936</x:v>
      </x:c>
      <x:c r="B937" t="n">
        <x:f>IF(MiniCase_Data!O937="불합격",1,0)</x:f>
        <x:v>0</x:v>
      </x:c>
      <x:c r="C937" t="str">
        <x:f>IF(ISBLANK(MiniCase_Data!H937),"missing",IF(OR(MiniCase_Data!H937&lt;27,MiniCase_Data!H937&gt;33),"밖","안"))</x:f>
        <x:v>안</x:v>
      </x:c>
      <x:c r="D937" t="n">
        <x:f>IF(ISBLANK(MiniCase_Data!H937),VLOOKUP(A937,센서로그!$A$2:$C$13,3,FALSE),MiniCase_Data!H937)</x:f>
        <x:v>27.8</x:v>
      </x:c>
      <x:c r="E937" t="n">
        <x:f>IF(AND(MiniCase_Data!C937="야간",MiniCase_Data!F937="M03"),1,0)</x:f>
        <x:v>0</x:v>
      </x:c>
      <x:c r="F937" t="n">
        <x:f>IF(C937="밖",1,0)</x:f>
        <x:v>0</x:v>
      </x:c>
      <x:c r="G937" t="n">
        <x:f>IF(OR(F937=1,E937=1),1,0)</x:f>
        <x:v>0</x:v>
      </x:c>
      <x:c r="H937" t="str">
        <x:f>IF(B937=1,IF(F937=1,"TP","FN"),IF(F937=1,"FP","TN"))</x:f>
        <x:v>TN</x:v>
      </x:c>
      <x:c r="I937" t="str">
        <x:f>IF(B937=1,IF(G937=1,"TP","FN"),IF(G937=1,"FP","TN"))</x:f>
        <x:v>TN</x:v>
      </x:c>
    </x:row>
    <x:row r="938">
      <x:c r="A938" t="str">
        <x:f>MiniCase_Data!A938</x:f>
        <x:v>R00937</x:v>
      </x:c>
      <x:c r="B938" t="n">
        <x:f>IF(MiniCase_Data!O938="불합격",1,0)</x:f>
        <x:v>0</x:v>
      </x:c>
      <x:c r="C938" t="str">
        <x:f>IF(ISBLANK(MiniCase_Data!H938),"missing",IF(OR(MiniCase_Data!H938&lt;27,MiniCase_Data!H938&gt;33),"밖","안"))</x:f>
        <x:v>안</x:v>
      </x:c>
      <x:c r="D938" t="n">
        <x:f>IF(ISBLANK(MiniCase_Data!H938),VLOOKUP(A938,센서로그!$A$2:$C$13,3,FALSE),MiniCase_Data!H938)</x:f>
        <x:v>28.28</x:v>
      </x:c>
      <x:c r="E938" t="n">
        <x:f>IF(AND(MiniCase_Data!C938="야간",MiniCase_Data!F938="M03"),1,0)</x:f>
        <x:v>0</x:v>
      </x:c>
      <x:c r="F938" t="n">
        <x:f>IF(C938="밖",1,0)</x:f>
        <x:v>0</x:v>
      </x:c>
      <x:c r="G938" t="n">
        <x:f>IF(OR(F938=1,E938=1),1,0)</x:f>
        <x:v>0</x:v>
      </x:c>
      <x:c r="H938" t="str">
        <x:f>IF(B938=1,IF(F938=1,"TP","FN"),IF(F938=1,"FP","TN"))</x:f>
        <x:v>TN</x:v>
      </x:c>
      <x:c r="I938" t="str">
        <x:f>IF(B938=1,IF(G938=1,"TP","FN"),IF(G938=1,"FP","TN"))</x:f>
        <x:v>TN</x:v>
      </x:c>
    </x:row>
    <x:row r="939">
      <x:c r="A939" t="str">
        <x:f>MiniCase_Data!A939</x:f>
        <x:v>R00938</x:v>
      </x:c>
      <x:c r="B939" t="n">
        <x:f>IF(MiniCase_Data!O939="불합격",1,0)</x:f>
        <x:v>0</x:v>
      </x:c>
      <x:c r="C939" t="str">
        <x:f>IF(ISBLANK(MiniCase_Data!H939),"missing",IF(OR(MiniCase_Data!H939&lt;27,MiniCase_Data!H939&gt;33),"밖","안"))</x:f>
        <x:v>안</x:v>
      </x:c>
      <x:c r="D939" t="n">
        <x:f>IF(ISBLANK(MiniCase_Data!H939),VLOOKUP(A939,센서로그!$A$2:$C$13,3,FALSE),MiniCase_Data!H939)</x:f>
        <x:v>27.93</x:v>
      </x:c>
      <x:c r="E939" t="n">
        <x:f>IF(AND(MiniCase_Data!C939="야간",MiniCase_Data!F939="M03"),1,0)</x:f>
        <x:v>0</x:v>
      </x:c>
      <x:c r="F939" t="n">
        <x:f>IF(C939="밖",1,0)</x:f>
        <x:v>0</x:v>
      </x:c>
      <x:c r="G939" t="n">
        <x:f>IF(OR(F939=1,E939=1),1,0)</x:f>
        <x:v>0</x:v>
      </x:c>
      <x:c r="H939" t="str">
        <x:f>IF(B939=1,IF(F939=1,"TP","FN"),IF(F939=1,"FP","TN"))</x:f>
        <x:v>TN</x:v>
      </x:c>
      <x:c r="I939" t="str">
        <x:f>IF(B939=1,IF(G939=1,"TP","FN"),IF(G939=1,"FP","TN"))</x:f>
        <x:v>TN</x:v>
      </x:c>
    </x:row>
    <x:row r="940">
      <x:c r="A940" t="str">
        <x:f>MiniCase_Data!A940</x:f>
        <x:v>R00939</x:v>
      </x:c>
      <x:c r="B940" t="n">
        <x:f>IF(MiniCase_Data!O940="불합격",1,0)</x:f>
        <x:v>0</x:v>
      </x:c>
      <x:c r="C940" t="str">
        <x:f>IF(ISBLANK(MiniCase_Data!H940),"missing",IF(OR(MiniCase_Data!H940&lt;27,MiniCase_Data!H940&gt;33),"밖","안"))</x:f>
        <x:v>안</x:v>
      </x:c>
      <x:c r="D940" t="n">
        <x:f>IF(ISBLANK(MiniCase_Data!H940),VLOOKUP(A940,센서로그!$A$2:$C$13,3,FALSE),MiniCase_Data!H940)</x:f>
        <x:v>27.89</x:v>
      </x:c>
      <x:c r="E940" t="n">
        <x:f>IF(AND(MiniCase_Data!C940="야간",MiniCase_Data!F940="M03"),1,0)</x:f>
        <x:v>1</x:v>
      </x:c>
      <x:c r="F940" t="n">
        <x:f>IF(C940="밖",1,0)</x:f>
        <x:v>0</x:v>
      </x:c>
      <x:c r="G940" t="n">
        <x:f>IF(OR(F940=1,E940=1),1,0)</x:f>
        <x:v>1</x:v>
      </x:c>
      <x:c r="H940" t="str">
        <x:f>IF(B940=1,IF(F940=1,"TP","FN"),IF(F940=1,"FP","TN"))</x:f>
        <x:v>TN</x:v>
      </x:c>
      <x:c r="I940" t="str">
        <x:f>IF(B940=1,IF(G940=1,"TP","FN"),IF(G940=1,"FP","TN"))</x:f>
        <x:v>FP</x:v>
      </x:c>
    </x:row>
    <x:row r="941">
      <x:c r="A941" t="str">
        <x:f>MiniCase_Data!A941</x:f>
        <x:v>R00940</x:v>
      </x:c>
      <x:c r="B941" t="n">
        <x:f>IF(MiniCase_Data!O941="불합격",1,0)</x:f>
        <x:v>0</x:v>
      </x:c>
      <x:c r="C941" t="str">
        <x:f>IF(ISBLANK(MiniCase_Data!H941),"missing",IF(OR(MiniCase_Data!H941&lt;27,MiniCase_Data!H941&gt;33),"밖","안"))</x:f>
        <x:v>안</x:v>
      </x:c>
      <x:c r="D941" t="n">
        <x:f>IF(ISBLANK(MiniCase_Data!H941),VLOOKUP(A941,센서로그!$A$2:$C$13,3,FALSE),MiniCase_Data!H941)</x:f>
        <x:v>31.63</x:v>
      </x:c>
      <x:c r="E941" t="n">
        <x:f>IF(AND(MiniCase_Data!C941="야간",MiniCase_Data!F941="M03"),1,0)</x:f>
        <x:v>0</x:v>
      </x:c>
      <x:c r="F941" t="n">
        <x:f>IF(C941="밖",1,0)</x:f>
        <x:v>0</x:v>
      </x:c>
      <x:c r="G941" t="n">
        <x:f>IF(OR(F941=1,E941=1),1,0)</x:f>
        <x:v>0</x:v>
      </x:c>
      <x:c r="H941" t="str">
        <x:f>IF(B941=1,IF(F941=1,"TP","FN"),IF(F941=1,"FP","TN"))</x:f>
        <x:v>TN</x:v>
      </x:c>
      <x:c r="I941" t="str">
        <x:f>IF(B941=1,IF(G941=1,"TP","FN"),IF(G941=1,"FP","TN"))</x:f>
        <x:v>TN</x:v>
      </x:c>
    </x:row>
    <x:row r="942">
      <x:c r="A942" t="str">
        <x:f>MiniCase_Data!A942</x:f>
        <x:v>R00941</x:v>
      </x:c>
      <x:c r="B942" t="n">
        <x:f>IF(MiniCase_Data!O942="불합격",1,0)</x:f>
        <x:v>0</x:v>
      </x:c>
      <x:c r="C942" t="str">
        <x:f>IF(ISBLANK(MiniCase_Data!H942),"missing",IF(OR(MiniCase_Data!H942&lt;27,MiniCase_Data!H942&gt;33),"밖","안"))</x:f>
        <x:v>안</x:v>
      </x:c>
      <x:c r="D942" t="n">
        <x:f>IF(ISBLANK(MiniCase_Data!H942),VLOOKUP(A942,센서로그!$A$2:$C$13,3,FALSE),MiniCase_Data!H942)</x:f>
        <x:v>28.06</x:v>
      </x:c>
      <x:c r="E942" t="n">
        <x:f>IF(AND(MiniCase_Data!C942="야간",MiniCase_Data!F942="M03"),1,0)</x:f>
        <x:v>0</x:v>
      </x:c>
      <x:c r="F942" t="n">
        <x:f>IF(C942="밖",1,0)</x:f>
        <x:v>0</x:v>
      </x:c>
      <x:c r="G942" t="n">
        <x:f>IF(OR(F942=1,E942=1),1,0)</x:f>
        <x:v>0</x:v>
      </x:c>
      <x:c r="H942" t="str">
        <x:f>IF(B942=1,IF(F942=1,"TP","FN"),IF(F942=1,"FP","TN"))</x:f>
        <x:v>TN</x:v>
      </x:c>
      <x:c r="I942" t="str">
        <x:f>IF(B942=1,IF(G942=1,"TP","FN"),IF(G942=1,"FP","TN"))</x:f>
        <x:v>TN</x:v>
      </x:c>
    </x:row>
    <x:row r="943">
      <x:c r="A943" t="str">
        <x:f>MiniCase_Data!A943</x:f>
        <x:v>R00942</x:v>
      </x:c>
      <x:c r="B943" t="n">
        <x:f>IF(MiniCase_Data!O943="불합격",1,0)</x:f>
        <x:v>0</x:v>
      </x:c>
      <x:c r="C943" t="str">
        <x:f>IF(ISBLANK(MiniCase_Data!H943),"missing",IF(OR(MiniCase_Data!H943&lt;27,MiniCase_Data!H943&gt;33),"밖","안"))</x:f>
        <x:v>안</x:v>
      </x:c>
      <x:c r="D943" t="n">
        <x:f>IF(ISBLANK(MiniCase_Data!H943),VLOOKUP(A943,센서로그!$A$2:$C$13,3,FALSE),MiniCase_Data!H943)</x:f>
        <x:v>27.67</x:v>
      </x:c>
      <x:c r="E943" t="n">
        <x:f>IF(AND(MiniCase_Data!C943="야간",MiniCase_Data!F943="M03"),1,0)</x:f>
        <x:v>0</x:v>
      </x:c>
      <x:c r="F943" t="n">
        <x:f>IF(C943="밖",1,0)</x:f>
        <x:v>0</x:v>
      </x:c>
      <x:c r="G943" t="n">
        <x:f>IF(OR(F943=1,E943=1),1,0)</x:f>
        <x:v>0</x:v>
      </x:c>
      <x:c r="H943" t="str">
        <x:f>IF(B943=1,IF(F943=1,"TP","FN"),IF(F943=1,"FP","TN"))</x:f>
        <x:v>TN</x:v>
      </x:c>
      <x:c r="I943" t="str">
        <x:f>IF(B943=1,IF(G943=1,"TP","FN"),IF(G943=1,"FP","TN"))</x:f>
        <x:v>TN</x:v>
      </x:c>
    </x:row>
    <x:row r="944">
      <x:c r="A944" t="str">
        <x:f>MiniCase_Data!A944</x:f>
        <x:v>R00943</x:v>
      </x:c>
      <x:c r="B944" t="n">
        <x:f>IF(MiniCase_Data!O944="불합격",1,0)</x:f>
        <x:v>0</x:v>
      </x:c>
      <x:c r="C944" t="str">
        <x:f>IF(ISBLANK(MiniCase_Data!H944),"missing",IF(OR(MiniCase_Data!H944&lt;27,MiniCase_Data!H944&gt;33),"밖","안"))</x:f>
        <x:v>안</x:v>
      </x:c>
      <x:c r="D944" t="n">
        <x:f>IF(ISBLANK(MiniCase_Data!H944),VLOOKUP(A944,센서로그!$A$2:$C$13,3,FALSE),MiniCase_Data!H944)</x:f>
        <x:v>28.91</x:v>
      </x:c>
      <x:c r="E944" t="n">
        <x:f>IF(AND(MiniCase_Data!C944="야간",MiniCase_Data!F944="M03"),1,0)</x:f>
        <x:v>0</x:v>
      </x:c>
      <x:c r="F944" t="n">
        <x:f>IF(C944="밖",1,0)</x:f>
        <x:v>0</x:v>
      </x:c>
      <x:c r="G944" t="n">
        <x:f>IF(OR(F944=1,E944=1),1,0)</x:f>
        <x:v>0</x:v>
      </x:c>
      <x:c r="H944" t="str">
        <x:f>IF(B944=1,IF(F944=1,"TP","FN"),IF(F944=1,"FP","TN"))</x:f>
        <x:v>TN</x:v>
      </x:c>
      <x:c r="I944" t="str">
        <x:f>IF(B944=1,IF(G944=1,"TP","FN"),IF(G944=1,"FP","TN"))</x:f>
        <x:v>TN</x:v>
      </x:c>
    </x:row>
    <x:row r="945">
      <x:c r="A945" t="str">
        <x:f>MiniCase_Data!A945</x:f>
        <x:v>R00944</x:v>
      </x:c>
      <x:c r="B945" t="n">
        <x:f>IF(MiniCase_Data!O945="불합격",1,0)</x:f>
        <x:v>0</x:v>
      </x:c>
      <x:c r="C945" t="str">
        <x:f>IF(ISBLANK(MiniCase_Data!H945),"missing",IF(OR(MiniCase_Data!H945&lt;27,MiniCase_Data!H945&gt;33),"밖","안"))</x:f>
        <x:v>안</x:v>
      </x:c>
      <x:c r="D945" t="n">
        <x:f>IF(ISBLANK(MiniCase_Data!H945),VLOOKUP(A945,센서로그!$A$2:$C$13,3,FALSE),MiniCase_Data!H945)</x:f>
        <x:v>31.49</x:v>
      </x:c>
      <x:c r="E945" t="n">
        <x:f>IF(AND(MiniCase_Data!C945="야간",MiniCase_Data!F945="M03"),1,0)</x:f>
        <x:v>0</x:v>
      </x:c>
      <x:c r="F945" t="n">
        <x:f>IF(C945="밖",1,0)</x:f>
        <x:v>0</x:v>
      </x:c>
      <x:c r="G945" t="n">
        <x:f>IF(OR(F945=1,E945=1),1,0)</x:f>
        <x:v>0</x:v>
      </x:c>
      <x:c r="H945" t="str">
        <x:f>IF(B945=1,IF(F945=1,"TP","FN"),IF(F945=1,"FP","TN"))</x:f>
        <x:v>TN</x:v>
      </x:c>
      <x:c r="I945" t="str">
        <x:f>IF(B945=1,IF(G945=1,"TP","FN"),IF(G945=1,"FP","TN"))</x:f>
        <x:v>TN</x:v>
      </x:c>
    </x:row>
    <x:row r="946">
      <x:c r="A946" t="str">
        <x:f>MiniCase_Data!A946</x:f>
        <x:v>R00945</x:v>
      </x:c>
      <x:c r="B946" t="n">
        <x:f>IF(MiniCase_Data!O946="불합격",1,0)</x:f>
        <x:v>0</x:v>
      </x:c>
      <x:c r="C946" t="str">
        <x:f>IF(ISBLANK(MiniCase_Data!H946),"missing",IF(OR(MiniCase_Data!H946&lt;27,MiniCase_Data!H946&gt;33),"밖","안"))</x:f>
        <x:v>밖</x:v>
      </x:c>
      <x:c r="D946" t="n">
        <x:f>IF(ISBLANK(MiniCase_Data!H946),VLOOKUP(A946,센서로그!$A$2:$C$13,3,FALSE),MiniCase_Data!H946)</x:f>
        <x:v>34.12</x:v>
      </x:c>
      <x:c r="E946" t="n">
        <x:f>IF(AND(MiniCase_Data!C946="야간",MiniCase_Data!F946="M03"),1,0)</x:f>
        <x:v>1</x:v>
      </x:c>
      <x:c r="F946" t="n">
        <x:f>IF(C946="밖",1,0)</x:f>
        <x:v>1</x:v>
      </x:c>
      <x:c r="G946" t="n">
        <x:f>IF(OR(F946=1,E946=1),1,0)</x:f>
        <x:v>1</x:v>
      </x:c>
      <x:c r="H946" t="str">
        <x:f>IF(B946=1,IF(F946=1,"TP","FN"),IF(F946=1,"FP","TN"))</x:f>
        <x:v>FP</x:v>
      </x:c>
      <x:c r="I946" t="str">
        <x:f>IF(B946=1,IF(G946=1,"TP","FN"),IF(G946=1,"FP","TN"))</x:f>
        <x:v>FP</x:v>
      </x:c>
    </x:row>
    <x:row r="947">
      <x:c r="A947" t="str">
        <x:f>MiniCase_Data!A947</x:f>
        <x:v>R00946</x:v>
      </x:c>
      <x:c r="B947" t="n">
        <x:f>IF(MiniCase_Data!O947="불합격",1,0)</x:f>
        <x:v>0</x:v>
      </x:c>
      <x:c r="C947" t="str">
        <x:f>IF(ISBLANK(MiniCase_Data!H947),"missing",IF(OR(MiniCase_Data!H947&lt;27,MiniCase_Data!H947&gt;33),"밖","안"))</x:f>
        <x:v>안</x:v>
      </x:c>
      <x:c r="D947" t="n">
        <x:f>IF(ISBLANK(MiniCase_Data!H947),VLOOKUP(A947,센서로그!$A$2:$C$13,3,FALSE),MiniCase_Data!H947)</x:f>
        <x:v>28.36</x:v>
      </x:c>
      <x:c r="E947" t="n">
        <x:f>IF(AND(MiniCase_Data!C947="야간",MiniCase_Data!F947="M03"),1,0)</x:f>
        <x:v>1</x:v>
      </x:c>
      <x:c r="F947" t="n">
        <x:f>IF(C947="밖",1,0)</x:f>
        <x:v>0</x:v>
      </x:c>
      <x:c r="G947" t="n">
        <x:f>IF(OR(F947=1,E947=1),1,0)</x:f>
        <x:v>1</x:v>
      </x:c>
      <x:c r="H947" t="str">
        <x:f>IF(B947=1,IF(F947=1,"TP","FN"),IF(F947=1,"FP","TN"))</x:f>
        <x:v>TN</x:v>
      </x:c>
      <x:c r="I947" t="str">
        <x:f>IF(B947=1,IF(G947=1,"TP","FN"),IF(G947=1,"FP","TN"))</x:f>
        <x:v>FP</x:v>
      </x:c>
    </x:row>
    <x:row r="948">
      <x:c r="A948" t="str">
        <x:f>MiniCase_Data!A948</x:f>
        <x:v>R00947</x:v>
      </x:c>
      <x:c r="B948" t="n">
        <x:f>IF(MiniCase_Data!O948="불합격",1,0)</x:f>
        <x:v>0</x:v>
      </x:c>
      <x:c r="C948" t="str">
        <x:f>IF(ISBLANK(MiniCase_Data!H948),"missing",IF(OR(MiniCase_Data!H948&lt;27,MiniCase_Data!H948&gt;33),"밖","안"))</x:f>
        <x:v>안</x:v>
      </x:c>
      <x:c r="D948" t="n">
        <x:f>IF(ISBLANK(MiniCase_Data!H948),VLOOKUP(A948,센서로그!$A$2:$C$13,3,FALSE),MiniCase_Data!H948)</x:f>
        <x:v>28.32</x:v>
      </x:c>
      <x:c r="E948" t="n">
        <x:f>IF(AND(MiniCase_Data!C948="야간",MiniCase_Data!F948="M03"),1,0)</x:f>
        <x:v>0</x:v>
      </x:c>
      <x:c r="F948" t="n">
        <x:f>IF(C948="밖",1,0)</x:f>
        <x:v>0</x:v>
      </x:c>
      <x:c r="G948" t="n">
        <x:f>IF(OR(F948=1,E948=1),1,0)</x:f>
        <x:v>0</x:v>
      </x:c>
      <x:c r="H948" t="str">
        <x:f>IF(B948=1,IF(F948=1,"TP","FN"),IF(F948=1,"FP","TN"))</x:f>
        <x:v>TN</x:v>
      </x:c>
      <x:c r="I948" t="str">
        <x:f>IF(B948=1,IF(G948=1,"TP","FN"),IF(G948=1,"FP","TN"))</x:f>
        <x:v>TN</x:v>
      </x:c>
    </x:row>
    <x:row r="949">
      <x:c r="A949" t="str">
        <x:f>MiniCase_Data!A949</x:f>
        <x:v>R00948</x:v>
      </x:c>
      <x:c r="B949" t="n">
        <x:f>IF(MiniCase_Data!O949="불합격",1,0)</x:f>
        <x:v>0</x:v>
      </x:c>
      <x:c r="C949" t="str">
        <x:f>IF(ISBLANK(MiniCase_Data!H949),"missing",IF(OR(MiniCase_Data!H949&lt;27,MiniCase_Data!H949&gt;33),"밖","안"))</x:f>
        <x:v>안</x:v>
      </x:c>
      <x:c r="D949" t="n">
        <x:f>IF(ISBLANK(MiniCase_Data!H949),VLOOKUP(A949,센서로그!$A$2:$C$13,3,FALSE),MiniCase_Data!H949)</x:f>
        <x:v>28.56</x:v>
      </x:c>
      <x:c r="E949" t="n">
        <x:f>IF(AND(MiniCase_Data!C949="야간",MiniCase_Data!F949="M03"),1,0)</x:f>
        <x:v>0</x:v>
      </x:c>
      <x:c r="F949" t="n">
        <x:f>IF(C949="밖",1,0)</x:f>
        <x:v>0</x:v>
      </x:c>
      <x:c r="G949" t="n">
        <x:f>IF(OR(F949=1,E949=1),1,0)</x:f>
        <x:v>0</x:v>
      </x:c>
      <x:c r="H949" t="str">
        <x:f>IF(B949=1,IF(F949=1,"TP","FN"),IF(F949=1,"FP","TN"))</x:f>
        <x:v>TN</x:v>
      </x:c>
      <x:c r="I949" t="str">
        <x:f>IF(B949=1,IF(G949=1,"TP","FN"),IF(G949=1,"FP","TN"))</x:f>
        <x:v>TN</x:v>
      </x:c>
    </x:row>
    <x:row r="950">
      <x:c r="A950" t="str">
        <x:f>MiniCase_Data!A950</x:f>
        <x:v>R00949</x:v>
      </x:c>
      <x:c r="B950" t="n">
        <x:f>IF(MiniCase_Data!O950="불합격",1,0)</x:f>
        <x:v>0</x:v>
      </x:c>
      <x:c r="C950" t="str">
        <x:f>IF(ISBLANK(MiniCase_Data!H950),"missing",IF(OR(MiniCase_Data!H950&lt;27,MiniCase_Data!H950&gt;33),"밖","안"))</x:f>
        <x:v>밖</x:v>
      </x:c>
      <x:c r="D950" t="n">
        <x:f>IF(ISBLANK(MiniCase_Data!H950),VLOOKUP(A950,센서로그!$A$2:$C$13,3,FALSE),MiniCase_Data!H950)</x:f>
        <x:v>33.64</x:v>
      </x:c>
      <x:c r="E950" t="n">
        <x:f>IF(AND(MiniCase_Data!C950="야간",MiniCase_Data!F950="M03"),1,0)</x:f>
        <x:v>1</x:v>
      </x:c>
      <x:c r="F950" t="n">
        <x:f>IF(C950="밖",1,0)</x:f>
        <x:v>1</x:v>
      </x:c>
      <x:c r="G950" t="n">
        <x:f>IF(OR(F950=1,E950=1),1,0)</x:f>
        <x:v>1</x:v>
      </x:c>
      <x:c r="H950" t="str">
        <x:f>IF(B950=1,IF(F950=1,"TP","FN"),IF(F950=1,"FP","TN"))</x:f>
        <x:v>FP</x:v>
      </x:c>
      <x:c r="I950" t="str">
        <x:f>IF(B950=1,IF(G950=1,"TP","FN"),IF(G950=1,"FP","TN"))</x:f>
        <x:v>FP</x:v>
      </x:c>
    </x:row>
    <x:row r="951">
      <x:c r="A951" t="str">
        <x:f>MiniCase_Data!A951</x:f>
        <x:v>R00950</x:v>
      </x:c>
      <x:c r="B951" t="n">
        <x:f>IF(MiniCase_Data!O951="불합격",1,0)</x:f>
        <x:v>0</x:v>
      </x:c>
      <x:c r="C951" t="str">
        <x:f>IF(ISBLANK(MiniCase_Data!H951),"missing",IF(OR(MiniCase_Data!H951&lt;27,MiniCase_Data!H951&gt;33),"밖","안"))</x:f>
        <x:v>안</x:v>
      </x:c>
      <x:c r="D951" t="n">
        <x:f>IF(ISBLANK(MiniCase_Data!H951),VLOOKUP(A951,센서로그!$A$2:$C$13,3,FALSE),MiniCase_Data!H951)</x:f>
        <x:v>30.36</x:v>
      </x:c>
      <x:c r="E951" t="n">
        <x:f>IF(AND(MiniCase_Data!C951="야간",MiniCase_Data!F951="M03"),1,0)</x:f>
        <x:v>0</x:v>
      </x:c>
      <x:c r="F951" t="n">
        <x:f>IF(C951="밖",1,0)</x:f>
        <x:v>0</x:v>
      </x:c>
      <x:c r="G951" t="n">
        <x:f>IF(OR(F951=1,E951=1),1,0)</x:f>
        <x:v>0</x:v>
      </x:c>
      <x:c r="H951" t="str">
        <x:f>IF(B951=1,IF(F951=1,"TP","FN"),IF(F951=1,"FP","TN"))</x:f>
        <x:v>TN</x:v>
      </x:c>
      <x:c r="I951" t="str">
        <x:f>IF(B951=1,IF(G951=1,"TP","FN"),IF(G951=1,"FP","TN"))</x:f>
        <x:v>TN</x:v>
      </x:c>
    </x:row>
    <x:row r="952">
      <x:c r="A952" t="str">
        <x:f>MiniCase_Data!A952</x:f>
        <x:v>R00951</x:v>
      </x:c>
      <x:c r="B952" t="n">
        <x:f>IF(MiniCase_Data!O952="불합격",1,0)</x:f>
        <x:v>0</x:v>
      </x:c>
      <x:c r="C952" t="str">
        <x:f>IF(ISBLANK(MiniCase_Data!H952),"missing",IF(OR(MiniCase_Data!H952&lt;27,MiniCase_Data!H952&gt;33),"밖","안"))</x:f>
        <x:v>missing</x:v>
      </x:c>
      <x:c r="D952" t="n">
        <x:f>IF(ISBLANK(MiniCase_Data!H952),VLOOKUP(A952,센서로그!$A$2:$C$13,3,FALSE),MiniCase_Data!H952)</x:f>
        <x:v>31.54</x:v>
      </x:c>
      <x:c r="E952" t="n">
        <x:f>IF(AND(MiniCase_Data!C952="야간",MiniCase_Data!F952="M03"),1,0)</x:f>
        <x:v>0</x:v>
      </x:c>
      <x:c r="F952" t="n">
        <x:f>IF(C952="밖",1,0)</x:f>
        <x:v>0</x:v>
      </x:c>
      <x:c r="G952" t="n">
        <x:f>IF(OR(F952=1,E952=1),1,0)</x:f>
        <x:v>0</x:v>
      </x:c>
      <x:c r="H952" t="str">
        <x:f>IF(B952=1,IF(F952=1,"TP","FN"),IF(F952=1,"FP","TN"))</x:f>
        <x:v>TN</x:v>
      </x:c>
      <x:c r="I952" t="str">
        <x:f>IF(B952=1,IF(G952=1,"TP","FN"),IF(G952=1,"FP","TN"))</x:f>
        <x:v>TN</x:v>
      </x:c>
    </x:row>
    <x:row r="953">
      <x:c r="A953" t="str">
        <x:f>MiniCase_Data!A953</x:f>
        <x:v>R00952</x:v>
      </x:c>
      <x:c r="B953" t="n">
        <x:f>IF(MiniCase_Data!O953="불합격",1,0)</x:f>
        <x:v>0</x:v>
      </x:c>
      <x:c r="C953" t="str">
        <x:f>IF(ISBLANK(MiniCase_Data!H953),"missing",IF(OR(MiniCase_Data!H953&lt;27,MiniCase_Data!H953&gt;33),"밖","안"))</x:f>
        <x:v>밖</x:v>
      </x:c>
      <x:c r="D953" t="n">
        <x:f>IF(ISBLANK(MiniCase_Data!H953),VLOOKUP(A953,센서로그!$A$2:$C$13,3,FALSE),MiniCase_Data!H953)</x:f>
        <x:v>26.08</x:v>
      </x:c>
      <x:c r="E953" t="n">
        <x:f>IF(AND(MiniCase_Data!C953="야간",MiniCase_Data!F953="M03"),1,0)</x:f>
        <x:v>1</x:v>
      </x:c>
      <x:c r="F953" t="n">
        <x:f>IF(C953="밖",1,0)</x:f>
        <x:v>1</x:v>
      </x:c>
      <x:c r="G953" t="n">
        <x:f>IF(OR(F953=1,E953=1),1,0)</x:f>
        <x:v>1</x:v>
      </x:c>
      <x:c r="H953" t="str">
        <x:f>IF(B953=1,IF(F953=1,"TP","FN"),IF(F953=1,"FP","TN"))</x:f>
        <x:v>FP</x:v>
      </x:c>
      <x:c r="I953" t="str">
        <x:f>IF(B953=1,IF(G953=1,"TP","FN"),IF(G953=1,"FP","TN"))</x:f>
        <x:v>FP</x:v>
      </x:c>
    </x:row>
    <x:row r="954">
      <x:c r="A954" t="str">
        <x:f>MiniCase_Data!A954</x:f>
        <x:v>R00953</x:v>
      </x:c>
      <x:c r="B954" t="n">
        <x:f>IF(MiniCase_Data!O954="불합격",1,0)</x:f>
        <x:v>0</x:v>
      </x:c>
      <x:c r="C954" t="str">
        <x:f>IF(ISBLANK(MiniCase_Data!H954),"missing",IF(OR(MiniCase_Data!H954&lt;27,MiniCase_Data!H954&gt;33),"밖","안"))</x:f>
        <x:v>안</x:v>
      </x:c>
      <x:c r="D954" t="n">
        <x:f>IF(ISBLANK(MiniCase_Data!H954),VLOOKUP(A954,센서로그!$A$2:$C$13,3,FALSE),MiniCase_Data!H954)</x:f>
        <x:v>29.44</x:v>
      </x:c>
      <x:c r="E954" t="n">
        <x:f>IF(AND(MiniCase_Data!C954="야간",MiniCase_Data!F954="M03"),1,0)</x:f>
        <x:v>0</x:v>
      </x:c>
      <x:c r="F954" t="n">
        <x:f>IF(C954="밖",1,0)</x:f>
        <x:v>0</x:v>
      </x:c>
      <x:c r="G954" t="n">
        <x:f>IF(OR(F954=1,E954=1),1,0)</x:f>
        <x:v>0</x:v>
      </x:c>
      <x:c r="H954" t="str">
        <x:f>IF(B954=1,IF(F954=1,"TP","FN"),IF(F954=1,"FP","TN"))</x:f>
        <x:v>TN</x:v>
      </x:c>
      <x:c r="I954" t="str">
        <x:f>IF(B954=1,IF(G954=1,"TP","FN"),IF(G954=1,"FP","TN"))</x:f>
        <x:v>TN</x:v>
      </x:c>
    </x:row>
    <x:row r="955">
      <x:c r="A955" t="str">
        <x:f>MiniCase_Data!A955</x:f>
        <x:v>R00954</x:v>
      </x:c>
      <x:c r="B955" t="n">
        <x:f>IF(MiniCase_Data!O955="불합격",1,0)</x:f>
        <x:v>0</x:v>
      </x:c>
      <x:c r="C955" t="str">
        <x:f>IF(ISBLANK(MiniCase_Data!H955),"missing",IF(OR(MiniCase_Data!H955&lt;27,MiniCase_Data!H955&gt;33),"밖","안"))</x:f>
        <x:v>안</x:v>
      </x:c>
      <x:c r="D955" t="n">
        <x:f>IF(ISBLANK(MiniCase_Data!H955),VLOOKUP(A955,센서로그!$A$2:$C$13,3,FALSE),MiniCase_Data!H955)</x:f>
        <x:v>32.76</x:v>
      </x:c>
      <x:c r="E955" t="n">
        <x:f>IF(AND(MiniCase_Data!C955="야간",MiniCase_Data!F955="M03"),1,0)</x:f>
        <x:v>0</x:v>
      </x:c>
      <x:c r="F955" t="n">
        <x:f>IF(C955="밖",1,0)</x:f>
        <x:v>0</x:v>
      </x:c>
      <x:c r="G955" t="n">
        <x:f>IF(OR(F955=1,E955=1),1,0)</x:f>
        <x:v>0</x:v>
      </x:c>
      <x:c r="H955" t="str">
        <x:f>IF(B955=1,IF(F955=1,"TP","FN"),IF(F955=1,"FP","TN"))</x:f>
        <x:v>TN</x:v>
      </x:c>
      <x:c r="I955" t="str">
        <x:f>IF(B955=1,IF(G955=1,"TP","FN"),IF(G955=1,"FP","TN"))</x:f>
        <x:v>TN</x:v>
      </x:c>
    </x:row>
    <x:row r="956">
      <x:c r="A956" t="str">
        <x:f>MiniCase_Data!A956</x:f>
        <x:v>R00955</x:v>
      </x:c>
      <x:c r="B956" t="n">
        <x:f>IF(MiniCase_Data!O956="불합격",1,0)</x:f>
        <x:v>1</x:v>
      </x:c>
      <x:c r="C956" t="str">
        <x:f>IF(ISBLANK(MiniCase_Data!H956),"missing",IF(OR(MiniCase_Data!H956&lt;27,MiniCase_Data!H956&gt;33),"밖","안"))</x:f>
        <x:v>안</x:v>
      </x:c>
      <x:c r="D956" t="n">
        <x:f>IF(ISBLANK(MiniCase_Data!H956),VLOOKUP(A956,센서로그!$A$2:$C$13,3,FALSE),MiniCase_Data!H956)</x:f>
        <x:v>30.67</x:v>
      </x:c>
      <x:c r="E956" t="n">
        <x:f>IF(AND(MiniCase_Data!C956="야간",MiniCase_Data!F956="M03"),1,0)</x:f>
        <x:v>0</x:v>
      </x:c>
      <x:c r="F956" t="n">
        <x:f>IF(C956="밖",1,0)</x:f>
        <x:v>0</x:v>
      </x:c>
      <x:c r="G956" t="n">
        <x:f>IF(OR(F956=1,E956=1),1,0)</x:f>
        <x:v>0</x:v>
      </x:c>
      <x:c r="H956" t="str">
        <x:f>IF(B956=1,IF(F956=1,"TP","FN"),IF(F956=1,"FP","TN"))</x:f>
        <x:v>FN</x:v>
      </x:c>
      <x:c r="I956" t="str">
        <x:f>IF(B956=1,IF(G956=1,"TP","FN"),IF(G956=1,"FP","TN"))</x:f>
        <x:v>FN</x:v>
      </x:c>
    </x:row>
    <x:row r="957">
      <x:c r="A957" t="str">
        <x:f>MiniCase_Data!A957</x:f>
        <x:v>R00956</x:v>
      </x:c>
      <x:c r="B957" t="n">
        <x:f>IF(MiniCase_Data!O957="불합격",1,0)</x:f>
        <x:v>0</x:v>
      </x:c>
      <x:c r="C957" t="str">
        <x:f>IF(ISBLANK(MiniCase_Data!H957),"missing",IF(OR(MiniCase_Data!H957&lt;27,MiniCase_Data!H957&gt;33),"밖","안"))</x:f>
        <x:v>안</x:v>
      </x:c>
      <x:c r="D957" t="n">
        <x:f>IF(ISBLANK(MiniCase_Data!H957),VLOOKUP(A957,센서로그!$A$2:$C$13,3,FALSE),MiniCase_Data!H957)</x:f>
        <x:v>30.28</x:v>
      </x:c>
      <x:c r="E957" t="n">
        <x:f>IF(AND(MiniCase_Data!C957="야간",MiniCase_Data!F957="M03"),1,0)</x:f>
        <x:v>0</x:v>
      </x:c>
      <x:c r="F957" t="n">
        <x:f>IF(C957="밖",1,0)</x:f>
        <x:v>0</x:v>
      </x:c>
      <x:c r="G957" t="n">
        <x:f>IF(OR(F957=1,E957=1),1,0)</x:f>
        <x:v>0</x:v>
      </x:c>
      <x:c r="H957" t="str">
        <x:f>IF(B957=1,IF(F957=1,"TP","FN"),IF(F957=1,"FP","TN"))</x:f>
        <x:v>TN</x:v>
      </x:c>
      <x:c r="I957" t="str">
        <x:f>IF(B957=1,IF(G957=1,"TP","FN"),IF(G957=1,"FP","TN"))</x:f>
        <x:v>TN</x:v>
      </x:c>
    </x:row>
    <x:row r="958">
      <x:c r="A958" t="str">
        <x:f>MiniCase_Data!A958</x:f>
        <x:v>R00957</x:v>
      </x:c>
      <x:c r="B958" t="n">
        <x:f>IF(MiniCase_Data!O958="불합격",1,0)</x:f>
        <x:v>0</x:v>
      </x:c>
      <x:c r="C958" t="str">
        <x:f>IF(ISBLANK(MiniCase_Data!H958),"missing",IF(OR(MiniCase_Data!H958&lt;27,MiniCase_Data!H958&gt;33),"밖","안"))</x:f>
        <x:v>안</x:v>
      </x:c>
      <x:c r="D958" t="n">
        <x:f>IF(ISBLANK(MiniCase_Data!H958),VLOOKUP(A958,센서로그!$A$2:$C$13,3,FALSE),MiniCase_Data!H958)</x:f>
        <x:v>28.74</x:v>
      </x:c>
      <x:c r="E958" t="n">
        <x:f>IF(AND(MiniCase_Data!C958="야간",MiniCase_Data!F958="M03"),1,0)</x:f>
        <x:v>0</x:v>
      </x:c>
      <x:c r="F958" t="n">
        <x:f>IF(C958="밖",1,0)</x:f>
        <x:v>0</x:v>
      </x:c>
      <x:c r="G958" t="n">
        <x:f>IF(OR(F958=1,E958=1),1,0)</x:f>
        <x:v>0</x:v>
      </x:c>
      <x:c r="H958" t="str">
        <x:f>IF(B958=1,IF(F958=1,"TP","FN"),IF(F958=1,"FP","TN"))</x:f>
        <x:v>TN</x:v>
      </x:c>
      <x:c r="I958" t="str">
        <x:f>IF(B958=1,IF(G958=1,"TP","FN"),IF(G958=1,"FP","TN"))</x:f>
        <x:v>TN</x:v>
      </x:c>
    </x:row>
    <x:row r="959">
      <x:c r="A959" t="str">
        <x:f>MiniCase_Data!A959</x:f>
        <x:v>R00958</x:v>
      </x:c>
      <x:c r="B959" t="n">
        <x:f>IF(MiniCase_Data!O959="불합격",1,0)</x:f>
        <x:v>0</x:v>
      </x:c>
      <x:c r="C959" t="str">
        <x:f>IF(ISBLANK(MiniCase_Data!H959),"missing",IF(OR(MiniCase_Data!H959&lt;27,MiniCase_Data!H959&gt;33),"밖","안"))</x:f>
        <x:v>안</x:v>
      </x:c>
      <x:c r="D959" t="n">
        <x:f>IF(ISBLANK(MiniCase_Data!H959),VLOOKUP(A959,센서로그!$A$2:$C$13,3,FALSE),MiniCase_Data!H959)</x:f>
        <x:v>28.51</x:v>
      </x:c>
      <x:c r="E959" t="n">
        <x:f>IF(AND(MiniCase_Data!C959="야간",MiniCase_Data!F959="M03"),1,0)</x:f>
        <x:v>0</x:v>
      </x:c>
      <x:c r="F959" t="n">
        <x:f>IF(C959="밖",1,0)</x:f>
        <x:v>0</x:v>
      </x:c>
      <x:c r="G959" t="n">
        <x:f>IF(OR(F959=1,E959=1),1,0)</x:f>
        <x:v>0</x:v>
      </x:c>
      <x:c r="H959" t="str">
        <x:f>IF(B959=1,IF(F959=1,"TP","FN"),IF(F959=1,"FP","TN"))</x:f>
        <x:v>TN</x:v>
      </x:c>
      <x:c r="I959" t="str">
        <x:f>IF(B959=1,IF(G959=1,"TP","FN"),IF(G959=1,"FP","TN"))</x:f>
        <x:v>TN</x:v>
      </x:c>
    </x:row>
    <x:row r="960">
      <x:c r="A960" t="str">
        <x:f>MiniCase_Data!A960</x:f>
        <x:v>R00959</x:v>
      </x:c>
      <x:c r="B960" t="n">
        <x:f>IF(MiniCase_Data!O960="불합격",1,0)</x:f>
        <x:v>0</x:v>
      </x:c>
      <x:c r="C960" t="str">
        <x:f>IF(ISBLANK(MiniCase_Data!H960),"missing",IF(OR(MiniCase_Data!H960&lt;27,MiniCase_Data!H960&gt;33),"밖","안"))</x:f>
        <x:v>안</x:v>
      </x:c>
      <x:c r="D960" t="n">
        <x:f>IF(ISBLANK(MiniCase_Data!H960),VLOOKUP(A960,센서로그!$A$2:$C$13,3,FALSE),MiniCase_Data!H960)</x:f>
        <x:v>29.24</x:v>
      </x:c>
      <x:c r="E960" t="n">
        <x:f>IF(AND(MiniCase_Data!C960="야간",MiniCase_Data!F960="M03"),1,0)</x:f>
        <x:v>0</x:v>
      </x:c>
      <x:c r="F960" t="n">
        <x:f>IF(C960="밖",1,0)</x:f>
        <x:v>0</x:v>
      </x:c>
      <x:c r="G960" t="n">
        <x:f>IF(OR(F960=1,E960=1),1,0)</x:f>
        <x:v>0</x:v>
      </x:c>
      <x:c r="H960" t="str">
        <x:f>IF(B960=1,IF(F960=1,"TP","FN"),IF(F960=1,"FP","TN"))</x:f>
        <x:v>TN</x:v>
      </x:c>
      <x:c r="I960" t="str">
        <x:f>IF(B960=1,IF(G960=1,"TP","FN"),IF(G960=1,"FP","TN"))</x:f>
        <x:v>TN</x:v>
      </x:c>
    </x:row>
    <x:row r="961">
      <x:c r="A961" t="str">
        <x:f>MiniCase_Data!A961</x:f>
        <x:v>R00960</x:v>
      </x:c>
      <x:c r="B961" t="n">
        <x:f>IF(MiniCase_Data!O961="불합격",1,0)</x:f>
        <x:v>0</x:v>
      </x:c>
      <x:c r="C961" t="str">
        <x:f>IF(ISBLANK(MiniCase_Data!H961),"missing",IF(OR(MiniCase_Data!H961&lt;27,MiniCase_Data!H961&gt;33),"밖","안"))</x:f>
        <x:v>안</x:v>
      </x:c>
      <x:c r="D961" t="n">
        <x:f>IF(ISBLANK(MiniCase_Data!H961),VLOOKUP(A961,센서로그!$A$2:$C$13,3,FALSE),MiniCase_Data!H961)</x:f>
        <x:v>27.64</x:v>
      </x:c>
      <x:c r="E961" t="n">
        <x:f>IF(AND(MiniCase_Data!C961="야간",MiniCase_Data!F961="M03"),1,0)</x:f>
        <x:v>0</x:v>
      </x:c>
      <x:c r="F961" t="n">
        <x:f>IF(C961="밖",1,0)</x:f>
        <x:v>0</x:v>
      </x:c>
      <x:c r="G961" t="n">
        <x:f>IF(OR(F961=1,E961=1),1,0)</x:f>
        <x:v>0</x:v>
      </x:c>
      <x:c r="H961" t="str">
        <x:f>IF(B961=1,IF(F961=1,"TP","FN"),IF(F961=1,"FP","TN"))</x:f>
        <x:v>TN</x:v>
      </x:c>
      <x:c r="I961" t="str">
        <x:f>IF(B961=1,IF(G961=1,"TP","FN"),IF(G961=1,"FP","TN"))</x:f>
        <x:v>TN</x:v>
      </x:c>
    </x:row>
    <x:row r="962">
      <x:c r="A962" t="str">
        <x:f>MiniCase_Data!A962</x:f>
        <x:v>R00961</x:v>
      </x:c>
      <x:c r="B962" t="n">
        <x:f>IF(MiniCase_Data!O962="불합격",1,0)</x:f>
        <x:v>0</x:v>
      </x:c>
      <x:c r="C962" t="str">
        <x:f>IF(ISBLANK(MiniCase_Data!H962),"missing",IF(OR(MiniCase_Data!H962&lt;27,MiniCase_Data!H962&gt;33),"밖","안"))</x:f>
        <x:v>안</x:v>
      </x:c>
      <x:c r="D962" t="n">
        <x:f>IF(ISBLANK(MiniCase_Data!H962),VLOOKUP(A962,센서로그!$A$2:$C$13,3,FALSE),MiniCase_Data!H962)</x:f>
        <x:v>32.7</x:v>
      </x:c>
      <x:c r="E962" t="n">
        <x:f>IF(AND(MiniCase_Data!C962="야간",MiniCase_Data!F962="M03"),1,0)</x:f>
        <x:v>0</x:v>
      </x:c>
      <x:c r="F962" t="n">
        <x:f>IF(C962="밖",1,0)</x:f>
        <x:v>0</x:v>
      </x:c>
      <x:c r="G962" t="n">
        <x:f>IF(OR(F962=1,E962=1),1,0)</x:f>
        <x:v>0</x:v>
      </x:c>
      <x:c r="H962" t="str">
        <x:f>IF(B962=1,IF(F962=1,"TP","FN"),IF(F962=1,"FP","TN"))</x:f>
        <x:v>TN</x:v>
      </x:c>
      <x:c r="I962" t="str">
        <x:f>IF(B962=1,IF(G962=1,"TP","FN"),IF(G962=1,"FP","TN"))</x:f>
        <x:v>TN</x:v>
      </x:c>
    </x:row>
    <x:row r="963">
      <x:c r="A963" t="str">
        <x:f>MiniCase_Data!A963</x:f>
        <x:v>R00962</x:v>
      </x:c>
      <x:c r="B963" t="n">
        <x:f>IF(MiniCase_Data!O963="불합격",1,0)</x:f>
        <x:v>0</x:v>
      </x:c>
      <x:c r="C963" t="str">
        <x:f>IF(ISBLANK(MiniCase_Data!H963),"missing",IF(OR(MiniCase_Data!H963&lt;27,MiniCase_Data!H963&gt;33),"밖","안"))</x:f>
        <x:v>안</x:v>
      </x:c>
      <x:c r="D963" t="n">
        <x:f>IF(ISBLANK(MiniCase_Data!H963),VLOOKUP(A963,센서로그!$A$2:$C$13,3,FALSE),MiniCase_Data!H963)</x:f>
        <x:v>30.94</x:v>
      </x:c>
      <x:c r="E963" t="n">
        <x:f>IF(AND(MiniCase_Data!C963="야간",MiniCase_Data!F963="M03"),1,0)</x:f>
        <x:v>0</x:v>
      </x:c>
      <x:c r="F963" t="n">
        <x:f>IF(C963="밖",1,0)</x:f>
        <x:v>0</x:v>
      </x:c>
      <x:c r="G963" t="n">
        <x:f>IF(OR(F963=1,E963=1),1,0)</x:f>
        <x:v>0</x:v>
      </x:c>
      <x:c r="H963" t="str">
        <x:f>IF(B963=1,IF(F963=1,"TP","FN"),IF(F963=1,"FP","TN"))</x:f>
        <x:v>TN</x:v>
      </x:c>
      <x:c r="I963" t="str">
        <x:f>IF(B963=1,IF(G963=1,"TP","FN"),IF(G963=1,"FP","TN"))</x:f>
        <x:v>TN</x:v>
      </x:c>
    </x:row>
    <x:row r="964">
      <x:c r="A964" t="str">
        <x:f>MiniCase_Data!A964</x:f>
        <x:v>R00963</x:v>
      </x:c>
      <x:c r="B964" t="n">
        <x:f>IF(MiniCase_Data!O964="불합격",1,0)</x:f>
        <x:v>0</x:v>
      </x:c>
      <x:c r="C964" t="str">
        <x:f>IF(ISBLANK(MiniCase_Data!H964),"missing",IF(OR(MiniCase_Data!H964&lt;27,MiniCase_Data!H964&gt;33),"밖","안"))</x:f>
        <x:v>안</x:v>
      </x:c>
      <x:c r="D964" t="n">
        <x:f>IF(ISBLANK(MiniCase_Data!H964),VLOOKUP(A964,센서로그!$A$2:$C$13,3,FALSE),MiniCase_Data!H964)</x:f>
        <x:v>31.67</x:v>
      </x:c>
      <x:c r="E964" t="n">
        <x:f>IF(AND(MiniCase_Data!C964="야간",MiniCase_Data!F964="M03"),1,0)</x:f>
        <x:v>0</x:v>
      </x:c>
      <x:c r="F964" t="n">
        <x:f>IF(C964="밖",1,0)</x:f>
        <x:v>0</x:v>
      </x:c>
      <x:c r="G964" t="n">
        <x:f>IF(OR(F964=1,E964=1),1,0)</x:f>
        <x:v>0</x:v>
      </x:c>
      <x:c r="H964" t="str">
        <x:f>IF(B964=1,IF(F964=1,"TP","FN"),IF(F964=1,"FP","TN"))</x:f>
        <x:v>TN</x:v>
      </x:c>
      <x:c r="I964" t="str">
        <x:f>IF(B964=1,IF(G964=1,"TP","FN"),IF(G964=1,"FP","TN"))</x:f>
        <x:v>TN</x:v>
      </x:c>
    </x:row>
    <x:row r="965">
      <x:c r="A965" t="str">
        <x:f>MiniCase_Data!A965</x:f>
        <x:v>R00964</x:v>
      </x:c>
      <x:c r="B965" t="n">
        <x:f>IF(MiniCase_Data!O965="불합격",1,0)</x:f>
        <x:v>0</x:v>
      </x:c>
      <x:c r="C965" t="str">
        <x:f>IF(ISBLANK(MiniCase_Data!H965),"missing",IF(OR(MiniCase_Data!H965&lt;27,MiniCase_Data!H965&gt;33),"밖","안"))</x:f>
        <x:v>안</x:v>
      </x:c>
      <x:c r="D965" t="n">
        <x:f>IF(ISBLANK(MiniCase_Data!H965),VLOOKUP(A965,센서로그!$A$2:$C$13,3,FALSE),MiniCase_Data!H965)</x:f>
        <x:v>27.93</x:v>
      </x:c>
      <x:c r="E965" t="n">
        <x:f>IF(AND(MiniCase_Data!C965="야간",MiniCase_Data!F965="M03"),1,0)</x:f>
        <x:v>1</x:v>
      </x:c>
      <x:c r="F965" t="n">
        <x:f>IF(C965="밖",1,0)</x:f>
        <x:v>0</x:v>
      </x:c>
      <x:c r="G965" t="n">
        <x:f>IF(OR(F965=1,E965=1),1,0)</x:f>
        <x:v>1</x:v>
      </x:c>
      <x:c r="H965" t="str">
        <x:f>IF(B965=1,IF(F965=1,"TP","FN"),IF(F965=1,"FP","TN"))</x:f>
        <x:v>TN</x:v>
      </x:c>
      <x:c r="I965" t="str">
        <x:f>IF(B965=1,IF(G965=1,"TP","FN"),IF(G965=1,"FP","TN"))</x:f>
        <x:v>FP</x:v>
      </x:c>
    </x:row>
    <x:row r="966">
      <x:c r="A966" t="str">
        <x:f>MiniCase_Data!A966</x:f>
        <x:v>R00965</x:v>
      </x:c>
      <x:c r="B966" t="n">
        <x:f>IF(MiniCase_Data!O966="불합격",1,0)</x:f>
        <x:v>1</x:v>
      </x:c>
      <x:c r="C966" t="str">
        <x:f>IF(ISBLANK(MiniCase_Data!H966),"missing",IF(OR(MiniCase_Data!H966&lt;27,MiniCase_Data!H966&gt;33),"밖","안"))</x:f>
        <x:v>밖</x:v>
      </x:c>
      <x:c r="D966" t="n">
        <x:f>IF(ISBLANK(MiniCase_Data!H966),VLOOKUP(A966,센서로그!$A$2:$C$13,3,FALSE),MiniCase_Data!H966)</x:f>
        <x:v>33.88</x:v>
      </x:c>
      <x:c r="E966" t="n">
        <x:f>IF(AND(MiniCase_Data!C966="야간",MiniCase_Data!F966="M03"),1,0)</x:f>
        <x:v>0</x:v>
      </x:c>
      <x:c r="F966" t="n">
        <x:f>IF(C966="밖",1,0)</x:f>
        <x:v>1</x:v>
      </x:c>
      <x:c r="G966" t="n">
        <x:f>IF(OR(F966=1,E966=1),1,0)</x:f>
        <x:v>1</x:v>
      </x:c>
      <x:c r="H966" t="str">
        <x:f>IF(B966=1,IF(F966=1,"TP","FN"),IF(F966=1,"FP","TN"))</x:f>
        <x:v>TP</x:v>
      </x:c>
      <x:c r="I966" t="str">
        <x:f>IF(B966=1,IF(G966=1,"TP","FN"),IF(G966=1,"FP","TN"))</x:f>
        <x:v>TP</x:v>
      </x:c>
    </x:row>
    <x:row r="967">
      <x:c r="A967" t="str">
        <x:f>MiniCase_Data!A967</x:f>
        <x:v>R00966</x:v>
      </x:c>
      <x:c r="B967" t="n">
        <x:f>IF(MiniCase_Data!O967="불합격",1,0)</x:f>
        <x:v>0</x:v>
      </x:c>
      <x:c r="C967" t="str">
        <x:f>IF(ISBLANK(MiniCase_Data!H967),"missing",IF(OR(MiniCase_Data!H967&lt;27,MiniCase_Data!H967&gt;33),"밖","안"))</x:f>
        <x:v>안</x:v>
      </x:c>
      <x:c r="D967" t="n">
        <x:f>IF(ISBLANK(MiniCase_Data!H967),VLOOKUP(A967,센서로그!$A$2:$C$13,3,FALSE),MiniCase_Data!H967)</x:f>
        <x:v>30.88</x:v>
      </x:c>
      <x:c r="E967" t="n">
        <x:f>IF(AND(MiniCase_Data!C967="야간",MiniCase_Data!F967="M03"),1,0)</x:f>
        <x:v>0</x:v>
      </x:c>
      <x:c r="F967" t="n">
        <x:f>IF(C967="밖",1,0)</x:f>
        <x:v>0</x:v>
      </x:c>
      <x:c r="G967" t="n">
        <x:f>IF(OR(F967=1,E967=1),1,0)</x:f>
        <x:v>0</x:v>
      </x:c>
      <x:c r="H967" t="str">
        <x:f>IF(B967=1,IF(F967=1,"TP","FN"),IF(F967=1,"FP","TN"))</x:f>
        <x:v>TN</x:v>
      </x:c>
      <x:c r="I967" t="str">
        <x:f>IF(B967=1,IF(G967=1,"TP","FN"),IF(G967=1,"FP","TN"))</x:f>
        <x:v>TN</x:v>
      </x:c>
    </x:row>
    <x:row r="968">
      <x:c r="A968" t="str">
        <x:f>MiniCase_Data!A968</x:f>
        <x:v>R00967</x:v>
      </x:c>
      <x:c r="B968" t="n">
        <x:f>IF(MiniCase_Data!O968="불합격",1,0)</x:f>
        <x:v>0</x:v>
      </x:c>
      <x:c r="C968" t="str">
        <x:f>IF(ISBLANK(MiniCase_Data!H968),"missing",IF(OR(MiniCase_Data!H968&lt;27,MiniCase_Data!H968&gt;33),"밖","안"))</x:f>
        <x:v>안</x:v>
      </x:c>
      <x:c r="D968" t="n">
        <x:f>IF(ISBLANK(MiniCase_Data!H968),VLOOKUP(A968,센서로그!$A$2:$C$13,3,FALSE),MiniCase_Data!H968)</x:f>
        <x:v>30.1</x:v>
      </x:c>
      <x:c r="E968" t="n">
        <x:f>IF(AND(MiniCase_Data!C968="야간",MiniCase_Data!F968="M03"),1,0)</x:f>
        <x:v>0</x:v>
      </x:c>
      <x:c r="F968" t="n">
        <x:f>IF(C968="밖",1,0)</x:f>
        <x:v>0</x:v>
      </x:c>
      <x:c r="G968" t="n">
        <x:f>IF(OR(F968=1,E968=1),1,0)</x:f>
        <x:v>0</x:v>
      </x:c>
      <x:c r="H968" t="str">
        <x:f>IF(B968=1,IF(F968=1,"TP","FN"),IF(F968=1,"FP","TN"))</x:f>
        <x:v>TN</x:v>
      </x:c>
      <x:c r="I968" t="str">
        <x:f>IF(B968=1,IF(G968=1,"TP","FN"),IF(G968=1,"FP","TN"))</x:f>
        <x:v>TN</x:v>
      </x:c>
    </x:row>
    <x:row r="969">
      <x:c r="A969" t="str">
        <x:f>MiniCase_Data!A969</x:f>
        <x:v>R00968</x:v>
      </x:c>
      <x:c r="B969" t="n">
        <x:f>IF(MiniCase_Data!O969="불합격",1,0)</x:f>
        <x:v>0</x:v>
      </x:c>
      <x:c r="C969" t="str">
        <x:f>IF(ISBLANK(MiniCase_Data!H969),"missing",IF(OR(MiniCase_Data!H969&lt;27,MiniCase_Data!H969&gt;33),"밖","안"))</x:f>
        <x:v>안</x:v>
      </x:c>
      <x:c r="D969" t="n">
        <x:f>IF(ISBLANK(MiniCase_Data!H969),VLOOKUP(A969,센서로그!$A$2:$C$13,3,FALSE),MiniCase_Data!H969)</x:f>
        <x:v>30.77</x:v>
      </x:c>
      <x:c r="E969" t="n">
        <x:f>IF(AND(MiniCase_Data!C969="야간",MiniCase_Data!F969="M03"),1,0)</x:f>
        <x:v>0</x:v>
      </x:c>
      <x:c r="F969" t="n">
        <x:f>IF(C969="밖",1,0)</x:f>
        <x:v>0</x:v>
      </x:c>
      <x:c r="G969" t="n">
        <x:f>IF(OR(F969=1,E969=1),1,0)</x:f>
        <x:v>0</x:v>
      </x:c>
      <x:c r="H969" t="str">
        <x:f>IF(B969=1,IF(F969=1,"TP","FN"),IF(F969=1,"FP","TN"))</x:f>
        <x:v>TN</x:v>
      </x:c>
      <x:c r="I969" t="str">
        <x:f>IF(B969=1,IF(G969=1,"TP","FN"),IF(G969=1,"FP","TN"))</x:f>
        <x:v>TN</x:v>
      </x:c>
    </x:row>
    <x:row r="970">
      <x:c r="A970" t="str">
        <x:f>MiniCase_Data!A970</x:f>
        <x:v>R00969</x:v>
      </x:c>
      <x:c r="B970" t="n">
        <x:f>IF(MiniCase_Data!O970="불합격",1,0)</x:f>
        <x:v>0</x:v>
      </x:c>
      <x:c r="C970" t="str">
        <x:f>IF(ISBLANK(MiniCase_Data!H970),"missing",IF(OR(MiniCase_Data!H970&lt;27,MiniCase_Data!H970&gt;33),"밖","안"))</x:f>
        <x:v>안</x:v>
      </x:c>
      <x:c r="D970" t="n">
        <x:f>IF(ISBLANK(MiniCase_Data!H970),VLOOKUP(A970,센서로그!$A$2:$C$13,3,FALSE),MiniCase_Data!H970)</x:f>
        <x:v>27.85</x:v>
      </x:c>
      <x:c r="E970" t="n">
        <x:f>IF(AND(MiniCase_Data!C970="야간",MiniCase_Data!F970="M03"),1,0)</x:f>
        <x:v>1</x:v>
      </x:c>
      <x:c r="F970" t="n">
        <x:f>IF(C970="밖",1,0)</x:f>
        <x:v>0</x:v>
      </x:c>
      <x:c r="G970" t="n">
        <x:f>IF(OR(F970=1,E970=1),1,0)</x:f>
        <x:v>1</x:v>
      </x:c>
      <x:c r="H970" t="str">
        <x:f>IF(B970=1,IF(F970=1,"TP","FN"),IF(F970=1,"FP","TN"))</x:f>
        <x:v>TN</x:v>
      </x:c>
      <x:c r="I970" t="str">
        <x:f>IF(B970=1,IF(G970=1,"TP","FN"),IF(G970=1,"FP","TN"))</x:f>
        <x:v>FP</x:v>
      </x:c>
    </x:row>
    <x:row r="971">
      <x:c r="A971" t="str">
        <x:f>MiniCase_Data!A971</x:f>
        <x:v>R00970</x:v>
      </x:c>
      <x:c r="B971" t="n">
        <x:f>IF(MiniCase_Data!O971="불합격",1,0)</x:f>
        <x:v>0</x:v>
      </x:c>
      <x:c r="C971" t="str">
        <x:f>IF(ISBLANK(MiniCase_Data!H971),"missing",IF(OR(MiniCase_Data!H971&lt;27,MiniCase_Data!H971&gt;33),"밖","안"))</x:f>
        <x:v>안</x:v>
      </x:c>
      <x:c r="D971" t="n">
        <x:f>IF(ISBLANK(MiniCase_Data!H971),VLOOKUP(A971,센서로그!$A$2:$C$13,3,FALSE),MiniCase_Data!H971)</x:f>
        <x:v>29.02</x:v>
      </x:c>
      <x:c r="E971" t="n">
        <x:f>IF(AND(MiniCase_Data!C971="야간",MiniCase_Data!F971="M03"),1,0)</x:f>
        <x:v>0</x:v>
      </x:c>
      <x:c r="F971" t="n">
        <x:f>IF(C971="밖",1,0)</x:f>
        <x:v>0</x:v>
      </x:c>
      <x:c r="G971" t="n">
        <x:f>IF(OR(F971=1,E971=1),1,0)</x:f>
        <x:v>0</x:v>
      </x:c>
      <x:c r="H971" t="str">
        <x:f>IF(B971=1,IF(F971=1,"TP","FN"),IF(F971=1,"FP","TN"))</x:f>
        <x:v>TN</x:v>
      </x:c>
      <x:c r="I971" t="str">
        <x:f>IF(B971=1,IF(G971=1,"TP","FN"),IF(G971=1,"FP","TN"))</x:f>
        <x:v>TN</x:v>
      </x:c>
    </x:row>
    <x:row r="972">
      <x:c r="A972" t="str">
        <x:f>MiniCase_Data!A972</x:f>
        <x:v>R00971</x:v>
      </x:c>
      <x:c r="B972" t="n">
        <x:f>IF(MiniCase_Data!O972="불합격",1,0)</x:f>
        <x:v>1</x:v>
      </x:c>
      <x:c r="C972" t="str">
        <x:f>IF(ISBLANK(MiniCase_Data!H972),"missing",IF(OR(MiniCase_Data!H972&lt;27,MiniCase_Data!H972&gt;33),"밖","안"))</x:f>
        <x:v>안</x:v>
      </x:c>
      <x:c r="D972" t="n">
        <x:f>IF(ISBLANK(MiniCase_Data!H972),VLOOKUP(A972,센서로그!$A$2:$C$13,3,FALSE),MiniCase_Data!H972)</x:f>
        <x:v>30.21</x:v>
      </x:c>
      <x:c r="E972" t="n">
        <x:f>IF(AND(MiniCase_Data!C972="야간",MiniCase_Data!F972="M03"),1,0)</x:f>
        <x:v>0</x:v>
      </x:c>
      <x:c r="F972" t="n">
        <x:f>IF(C972="밖",1,0)</x:f>
        <x:v>0</x:v>
      </x:c>
      <x:c r="G972" t="n">
        <x:f>IF(OR(F972=1,E972=1),1,0)</x:f>
        <x:v>0</x:v>
      </x:c>
      <x:c r="H972" t="str">
        <x:f>IF(B972=1,IF(F972=1,"TP","FN"),IF(F972=1,"FP","TN"))</x:f>
        <x:v>FN</x:v>
      </x:c>
      <x:c r="I972" t="str">
        <x:f>IF(B972=1,IF(G972=1,"TP","FN"),IF(G972=1,"FP","TN"))</x:f>
        <x:v>FN</x:v>
      </x:c>
    </x:row>
    <x:row r="973">
      <x:c r="A973" t="str">
        <x:f>MiniCase_Data!A973</x:f>
        <x:v>R00972</x:v>
      </x:c>
      <x:c r="B973" t="n">
        <x:f>IF(MiniCase_Data!O973="불합격",1,0)</x:f>
        <x:v>0</x:v>
      </x:c>
      <x:c r="C973" t="str">
        <x:f>IF(ISBLANK(MiniCase_Data!H973),"missing",IF(OR(MiniCase_Data!H973&lt;27,MiniCase_Data!H973&gt;33),"밖","안"))</x:f>
        <x:v>안</x:v>
      </x:c>
      <x:c r="D973" t="n">
        <x:f>IF(ISBLANK(MiniCase_Data!H973),VLOOKUP(A973,센서로그!$A$2:$C$13,3,FALSE),MiniCase_Data!H973)</x:f>
        <x:v>32.76</x:v>
      </x:c>
      <x:c r="E973" t="n">
        <x:f>IF(AND(MiniCase_Data!C973="야간",MiniCase_Data!F973="M03"),1,0)</x:f>
        <x:v>0</x:v>
      </x:c>
      <x:c r="F973" t="n">
        <x:f>IF(C973="밖",1,0)</x:f>
        <x:v>0</x:v>
      </x:c>
      <x:c r="G973" t="n">
        <x:f>IF(OR(F973=1,E973=1),1,0)</x:f>
        <x:v>0</x:v>
      </x:c>
      <x:c r="H973" t="str">
        <x:f>IF(B973=1,IF(F973=1,"TP","FN"),IF(F973=1,"FP","TN"))</x:f>
        <x:v>TN</x:v>
      </x:c>
      <x:c r="I973" t="str">
        <x:f>IF(B973=1,IF(G973=1,"TP","FN"),IF(G973=1,"FP","TN"))</x:f>
        <x:v>TN</x:v>
      </x:c>
    </x:row>
    <x:row r="974">
      <x:c r="A974" t="str">
        <x:f>MiniCase_Data!A974</x:f>
        <x:v>R00973</x:v>
      </x:c>
      <x:c r="B974" t="n">
        <x:f>IF(MiniCase_Data!O974="불합격",1,0)</x:f>
        <x:v>0</x:v>
      </x:c>
      <x:c r="C974" t="str">
        <x:f>IF(ISBLANK(MiniCase_Data!H974),"missing",IF(OR(MiniCase_Data!H974&lt;27,MiniCase_Data!H974&gt;33),"밖","안"))</x:f>
        <x:v>안</x:v>
      </x:c>
      <x:c r="D974" t="n">
        <x:f>IF(ISBLANK(MiniCase_Data!H974),VLOOKUP(A974,센서로그!$A$2:$C$13,3,FALSE),MiniCase_Data!H974)</x:f>
        <x:v>32.28</x:v>
      </x:c>
      <x:c r="E974" t="n">
        <x:f>IF(AND(MiniCase_Data!C974="야간",MiniCase_Data!F974="M03"),1,0)</x:f>
        <x:v>0</x:v>
      </x:c>
      <x:c r="F974" t="n">
        <x:f>IF(C974="밖",1,0)</x:f>
        <x:v>0</x:v>
      </x:c>
      <x:c r="G974" t="n">
        <x:f>IF(OR(F974=1,E974=1),1,0)</x:f>
        <x:v>0</x:v>
      </x:c>
      <x:c r="H974" t="str">
        <x:f>IF(B974=1,IF(F974=1,"TP","FN"),IF(F974=1,"FP","TN"))</x:f>
        <x:v>TN</x:v>
      </x:c>
      <x:c r="I974" t="str">
        <x:f>IF(B974=1,IF(G974=1,"TP","FN"),IF(G974=1,"FP","TN"))</x:f>
        <x:v>TN</x:v>
      </x:c>
    </x:row>
    <x:row r="975">
      <x:c r="A975" t="str">
        <x:f>MiniCase_Data!A975</x:f>
        <x:v>R00974</x:v>
      </x:c>
      <x:c r="B975" t="n">
        <x:f>IF(MiniCase_Data!O975="불합격",1,0)</x:f>
        <x:v>0</x:v>
      </x:c>
      <x:c r="C975" t="str">
        <x:f>IF(ISBLANK(MiniCase_Data!H975),"missing",IF(OR(MiniCase_Data!H975&lt;27,MiniCase_Data!H975&gt;33),"밖","안"))</x:f>
        <x:v>안</x:v>
      </x:c>
      <x:c r="D975" t="n">
        <x:f>IF(ISBLANK(MiniCase_Data!H975),VLOOKUP(A975,센서로그!$A$2:$C$13,3,FALSE),MiniCase_Data!H975)</x:f>
        <x:v>32.74</x:v>
      </x:c>
      <x:c r="E975" t="n">
        <x:f>IF(AND(MiniCase_Data!C975="야간",MiniCase_Data!F975="M03"),1,0)</x:f>
        <x:v>0</x:v>
      </x:c>
      <x:c r="F975" t="n">
        <x:f>IF(C975="밖",1,0)</x:f>
        <x:v>0</x:v>
      </x:c>
      <x:c r="G975" t="n">
        <x:f>IF(OR(F975=1,E975=1),1,0)</x:f>
        <x:v>0</x:v>
      </x:c>
      <x:c r="H975" t="str">
        <x:f>IF(B975=1,IF(F975=1,"TP","FN"),IF(F975=1,"FP","TN"))</x:f>
        <x:v>TN</x:v>
      </x:c>
      <x:c r="I975" t="str">
        <x:f>IF(B975=1,IF(G975=1,"TP","FN"),IF(G975=1,"FP","TN"))</x:f>
        <x:v>TN</x:v>
      </x:c>
    </x:row>
    <x:row r="976">
      <x:c r="A976" t="str">
        <x:f>MiniCase_Data!A976</x:f>
        <x:v>R00975</x:v>
      </x:c>
      <x:c r="B976" t="n">
        <x:f>IF(MiniCase_Data!O976="불합격",1,0)</x:f>
        <x:v>0</x:v>
      </x:c>
      <x:c r="C976" t="str">
        <x:f>IF(ISBLANK(MiniCase_Data!H976),"missing",IF(OR(MiniCase_Data!H976&lt;27,MiniCase_Data!H976&gt;33),"밖","안"))</x:f>
        <x:v>안</x:v>
      </x:c>
      <x:c r="D976" t="n">
        <x:f>IF(ISBLANK(MiniCase_Data!H976),VLOOKUP(A976,센서로그!$A$2:$C$13,3,FALSE),MiniCase_Data!H976)</x:f>
        <x:v>30.21</x:v>
      </x:c>
      <x:c r="E976" t="n">
        <x:f>IF(AND(MiniCase_Data!C976="야간",MiniCase_Data!F976="M03"),1,0)</x:f>
        <x:v>0</x:v>
      </x:c>
      <x:c r="F976" t="n">
        <x:f>IF(C976="밖",1,0)</x:f>
        <x:v>0</x:v>
      </x:c>
      <x:c r="G976" t="n">
        <x:f>IF(OR(F976=1,E976=1),1,0)</x:f>
        <x:v>0</x:v>
      </x:c>
      <x:c r="H976" t="str">
        <x:f>IF(B976=1,IF(F976=1,"TP","FN"),IF(F976=1,"FP","TN"))</x:f>
        <x:v>TN</x:v>
      </x:c>
      <x:c r="I976" t="str">
        <x:f>IF(B976=1,IF(G976=1,"TP","FN"),IF(G976=1,"FP","TN"))</x:f>
        <x:v>TN</x:v>
      </x:c>
    </x:row>
    <x:row r="977">
      <x:c r="A977" t="str">
        <x:f>MiniCase_Data!A977</x:f>
        <x:v>R00976</x:v>
      </x:c>
      <x:c r="B977" t="n">
        <x:f>IF(MiniCase_Data!O977="불합격",1,0)</x:f>
        <x:v>0</x:v>
      </x:c>
      <x:c r="C977" t="str">
        <x:f>IF(ISBLANK(MiniCase_Data!H977),"missing",IF(OR(MiniCase_Data!H977&lt;27,MiniCase_Data!H977&gt;33),"밖","안"))</x:f>
        <x:v>안</x:v>
      </x:c>
      <x:c r="D977" t="n">
        <x:f>IF(ISBLANK(MiniCase_Data!H977),VLOOKUP(A977,센서로그!$A$2:$C$13,3,FALSE),MiniCase_Data!H977)</x:f>
        <x:v>28.87</x:v>
      </x:c>
      <x:c r="E977" t="n">
        <x:f>IF(AND(MiniCase_Data!C977="야간",MiniCase_Data!F977="M03"),1,0)</x:f>
        <x:v>0</x:v>
      </x:c>
      <x:c r="F977" t="n">
        <x:f>IF(C977="밖",1,0)</x:f>
        <x:v>0</x:v>
      </x:c>
      <x:c r="G977" t="n">
        <x:f>IF(OR(F977=1,E977=1),1,0)</x:f>
        <x:v>0</x:v>
      </x:c>
      <x:c r="H977" t="str">
        <x:f>IF(B977=1,IF(F977=1,"TP","FN"),IF(F977=1,"FP","TN"))</x:f>
        <x:v>TN</x:v>
      </x:c>
      <x:c r="I977" t="str">
        <x:f>IF(B977=1,IF(G977=1,"TP","FN"),IF(G977=1,"FP","TN"))</x:f>
        <x:v>TN</x:v>
      </x:c>
    </x:row>
    <x:row r="978">
      <x:c r="A978" t="str">
        <x:f>MiniCase_Data!A978</x:f>
        <x:v>R00977</x:v>
      </x:c>
      <x:c r="B978" t="n">
        <x:f>IF(MiniCase_Data!O978="불합격",1,0)</x:f>
        <x:v>0</x:v>
      </x:c>
      <x:c r="C978" t="str">
        <x:f>IF(ISBLANK(MiniCase_Data!H978),"missing",IF(OR(MiniCase_Data!H978&lt;27,MiniCase_Data!H978&gt;33),"밖","안"))</x:f>
        <x:v>안</x:v>
      </x:c>
      <x:c r="D978" t="n">
        <x:f>IF(ISBLANK(MiniCase_Data!H978),VLOOKUP(A978,센서로그!$A$2:$C$13,3,FALSE),MiniCase_Data!H978)</x:f>
        <x:v>32.02</x:v>
      </x:c>
      <x:c r="E978" t="n">
        <x:f>IF(AND(MiniCase_Data!C978="야간",MiniCase_Data!F978="M03"),1,0)</x:f>
        <x:v>0</x:v>
      </x:c>
      <x:c r="F978" t="n">
        <x:f>IF(C978="밖",1,0)</x:f>
        <x:v>0</x:v>
      </x:c>
      <x:c r="G978" t="n">
        <x:f>IF(OR(F978=1,E978=1),1,0)</x:f>
        <x:v>0</x:v>
      </x:c>
      <x:c r="H978" t="str">
        <x:f>IF(B978=1,IF(F978=1,"TP","FN"),IF(F978=1,"FP","TN"))</x:f>
        <x:v>TN</x:v>
      </x:c>
      <x:c r="I978" t="str">
        <x:f>IF(B978=1,IF(G978=1,"TP","FN"),IF(G978=1,"FP","TN"))</x:f>
        <x:v>TN</x:v>
      </x:c>
    </x:row>
    <x:row r="979">
      <x:c r="A979" t="str">
        <x:f>MiniCase_Data!A979</x:f>
        <x:v>R00978</x:v>
      </x:c>
      <x:c r="B979" t="n">
        <x:f>IF(MiniCase_Data!O979="불합격",1,0)</x:f>
        <x:v>1</x:v>
      </x:c>
      <x:c r="C979" t="str">
        <x:f>IF(ISBLANK(MiniCase_Data!H979),"missing",IF(OR(MiniCase_Data!H979&lt;27,MiniCase_Data!H979&gt;33),"밖","안"))</x:f>
        <x:v>안</x:v>
      </x:c>
      <x:c r="D979" t="n">
        <x:f>IF(ISBLANK(MiniCase_Data!H979),VLOOKUP(A979,센서로그!$A$2:$C$13,3,FALSE),MiniCase_Data!H979)</x:f>
        <x:v>30.26</x:v>
      </x:c>
      <x:c r="E979" t="n">
        <x:f>IF(AND(MiniCase_Data!C979="야간",MiniCase_Data!F979="M03"),1,0)</x:f>
        <x:v>0</x:v>
      </x:c>
      <x:c r="F979" t="n">
        <x:f>IF(C979="밖",1,0)</x:f>
        <x:v>0</x:v>
      </x:c>
      <x:c r="G979" t="n">
        <x:f>IF(OR(F979=1,E979=1),1,0)</x:f>
        <x:v>0</x:v>
      </x:c>
      <x:c r="H979" t="str">
        <x:f>IF(B979=1,IF(F979=1,"TP","FN"),IF(F979=1,"FP","TN"))</x:f>
        <x:v>FN</x:v>
      </x:c>
      <x:c r="I979" t="str">
        <x:f>IF(B979=1,IF(G979=1,"TP","FN"),IF(G979=1,"FP","TN"))</x:f>
        <x:v>FN</x:v>
      </x:c>
    </x:row>
    <x:row r="980">
      <x:c r="A980" t="str">
        <x:f>MiniCase_Data!A980</x:f>
        <x:v>R00979</x:v>
      </x:c>
      <x:c r="B980" t="n">
        <x:f>IF(MiniCase_Data!O980="불합격",1,0)</x:f>
        <x:v>0</x:v>
      </x:c>
      <x:c r="C980" t="str">
        <x:f>IF(ISBLANK(MiniCase_Data!H980),"missing",IF(OR(MiniCase_Data!H980&lt;27,MiniCase_Data!H980&gt;33),"밖","안"))</x:f>
        <x:v>안</x:v>
      </x:c>
      <x:c r="D980" t="n">
        <x:f>IF(ISBLANK(MiniCase_Data!H980),VLOOKUP(A980,센서로그!$A$2:$C$13,3,FALSE),MiniCase_Data!H980)</x:f>
        <x:v>29.57</x:v>
      </x:c>
      <x:c r="E980" t="n">
        <x:f>IF(AND(MiniCase_Data!C980="야간",MiniCase_Data!F980="M03"),1,0)</x:f>
        <x:v>0</x:v>
      </x:c>
      <x:c r="F980" t="n">
        <x:f>IF(C980="밖",1,0)</x:f>
        <x:v>0</x:v>
      </x:c>
      <x:c r="G980" t="n">
        <x:f>IF(OR(F980=1,E980=1),1,0)</x:f>
        <x:v>0</x:v>
      </x:c>
      <x:c r="H980" t="str">
        <x:f>IF(B980=1,IF(F980=1,"TP","FN"),IF(F980=1,"FP","TN"))</x:f>
        <x:v>TN</x:v>
      </x:c>
      <x:c r="I980" t="str">
        <x:f>IF(B980=1,IF(G980=1,"TP","FN"),IF(G980=1,"FP","TN"))</x:f>
        <x:v>TN</x:v>
      </x:c>
    </x:row>
    <x:row r="981">
      <x:c r="A981" t="str">
        <x:f>MiniCase_Data!A981</x:f>
        <x:v>R00980</x:v>
      </x:c>
      <x:c r="B981" t="n">
        <x:f>IF(MiniCase_Data!O981="불합격",1,0)</x:f>
        <x:v>0</x:v>
      </x:c>
      <x:c r="C981" t="str">
        <x:f>IF(ISBLANK(MiniCase_Data!H981),"missing",IF(OR(MiniCase_Data!H981&lt;27,MiniCase_Data!H981&gt;33),"밖","안"))</x:f>
        <x:v>안</x:v>
      </x:c>
      <x:c r="D981" t="n">
        <x:f>IF(ISBLANK(MiniCase_Data!H981),VLOOKUP(A981,센서로그!$A$2:$C$13,3,FALSE),MiniCase_Data!H981)</x:f>
        <x:v>29.7</x:v>
      </x:c>
      <x:c r="E981" t="n">
        <x:f>IF(AND(MiniCase_Data!C981="야간",MiniCase_Data!F981="M03"),1,0)</x:f>
        <x:v>0</x:v>
      </x:c>
      <x:c r="F981" t="n">
        <x:f>IF(C981="밖",1,0)</x:f>
        <x:v>0</x:v>
      </x:c>
      <x:c r="G981" t="n">
        <x:f>IF(OR(F981=1,E981=1),1,0)</x:f>
        <x:v>0</x:v>
      </x:c>
      <x:c r="H981" t="str">
        <x:f>IF(B981=1,IF(F981=1,"TP","FN"),IF(F981=1,"FP","TN"))</x:f>
        <x:v>TN</x:v>
      </x:c>
      <x:c r="I981" t="str">
        <x:f>IF(B981=1,IF(G981=1,"TP","FN"),IF(G981=1,"FP","TN"))</x:f>
        <x:v>TN</x:v>
      </x:c>
    </x:row>
    <x:row r="982">
      <x:c r="A982" t="str">
        <x:f>MiniCase_Data!A982</x:f>
        <x:v>R00981</x:v>
      </x:c>
      <x:c r="B982" t="n">
        <x:f>IF(MiniCase_Data!O982="불합격",1,0)</x:f>
        <x:v>0</x:v>
      </x:c>
      <x:c r="C982" t="str">
        <x:f>IF(ISBLANK(MiniCase_Data!H982),"missing",IF(OR(MiniCase_Data!H982&lt;27,MiniCase_Data!H982&gt;33),"밖","안"))</x:f>
        <x:v>안</x:v>
      </x:c>
      <x:c r="D982" t="n">
        <x:f>IF(ISBLANK(MiniCase_Data!H982),VLOOKUP(A982,센서로그!$A$2:$C$13,3,FALSE),MiniCase_Data!H982)</x:f>
        <x:v>32.74</x:v>
      </x:c>
      <x:c r="E982" t="n">
        <x:f>IF(AND(MiniCase_Data!C982="야간",MiniCase_Data!F982="M03"),1,0)</x:f>
        <x:v>0</x:v>
      </x:c>
      <x:c r="F982" t="n">
        <x:f>IF(C982="밖",1,0)</x:f>
        <x:v>0</x:v>
      </x:c>
      <x:c r="G982" t="n">
        <x:f>IF(OR(F982=1,E982=1),1,0)</x:f>
        <x:v>0</x:v>
      </x:c>
      <x:c r="H982" t="str">
        <x:f>IF(B982=1,IF(F982=1,"TP","FN"),IF(F982=1,"FP","TN"))</x:f>
        <x:v>TN</x:v>
      </x:c>
      <x:c r="I982" t="str">
        <x:f>IF(B982=1,IF(G982=1,"TP","FN"),IF(G982=1,"FP","TN"))</x:f>
        <x:v>TN</x:v>
      </x:c>
    </x:row>
    <x:row r="983">
      <x:c r="A983" t="str">
        <x:f>MiniCase_Data!A983</x:f>
        <x:v>R00982</x:v>
      </x:c>
      <x:c r="B983" t="n">
        <x:f>IF(MiniCase_Data!O983="불합격",1,0)</x:f>
        <x:v>0</x:v>
      </x:c>
      <x:c r="C983" t="str">
        <x:f>IF(ISBLANK(MiniCase_Data!H983),"missing",IF(OR(MiniCase_Data!H983&lt;27,MiniCase_Data!H983&gt;33),"밖","안"))</x:f>
        <x:v>안</x:v>
      </x:c>
      <x:c r="D983" t="n">
        <x:f>IF(ISBLANK(MiniCase_Data!H983),VLOOKUP(A983,센서로그!$A$2:$C$13,3,FALSE),MiniCase_Data!H983)</x:f>
        <x:v>28.03</x:v>
      </x:c>
      <x:c r="E983" t="n">
        <x:f>IF(AND(MiniCase_Data!C983="야간",MiniCase_Data!F983="M03"),1,0)</x:f>
        <x:v>0</x:v>
      </x:c>
      <x:c r="F983" t="n">
        <x:f>IF(C983="밖",1,0)</x:f>
        <x:v>0</x:v>
      </x:c>
      <x:c r="G983" t="n">
        <x:f>IF(OR(F983=1,E983=1),1,0)</x:f>
        <x:v>0</x:v>
      </x:c>
      <x:c r="H983" t="str">
        <x:f>IF(B983=1,IF(F983=1,"TP","FN"),IF(F983=1,"FP","TN"))</x:f>
        <x:v>TN</x:v>
      </x:c>
      <x:c r="I983" t="str">
        <x:f>IF(B983=1,IF(G983=1,"TP","FN"),IF(G983=1,"FP","TN"))</x:f>
        <x:v>TN</x:v>
      </x:c>
    </x:row>
    <x:row r="984">
      <x:c r="A984" t="str">
        <x:f>MiniCase_Data!A984</x:f>
        <x:v>R00983</x:v>
      </x:c>
      <x:c r="B984" t="n">
        <x:f>IF(MiniCase_Data!O984="불합격",1,0)</x:f>
        <x:v>0</x:v>
      </x:c>
      <x:c r="C984" t="str">
        <x:f>IF(ISBLANK(MiniCase_Data!H984),"missing",IF(OR(MiniCase_Data!H984&lt;27,MiniCase_Data!H984&gt;33),"밖","안"))</x:f>
        <x:v>안</x:v>
      </x:c>
      <x:c r="D984" t="n">
        <x:f>IF(ISBLANK(MiniCase_Data!H984),VLOOKUP(A984,센서로그!$A$2:$C$13,3,FALSE),MiniCase_Data!H984)</x:f>
        <x:v>30.81</x:v>
      </x:c>
      <x:c r="E984" t="n">
        <x:f>IF(AND(MiniCase_Data!C984="야간",MiniCase_Data!F984="M03"),1,0)</x:f>
        <x:v>0</x:v>
      </x:c>
      <x:c r="F984" t="n">
        <x:f>IF(C984="밖",1,0)</x:f>
        <x:v>0</x:v>
      </x:c>
      <x:c r="G984" t="n">
        <x:f>IF(OR(F984=1,E984=1),1,0)</x:f>
        <x:v>0</x:v>
      </x:c>
      <x:c r="H984" t="str">
        <x:f>IF(B984=1,IF(F984=1,"TP","FN"),IF(F984=1,"FP","TN"))</x:f>
        <x:v>TN</x:v>
      </x:c>
      <x:c r="I984" t="str">
        <x:f>IF(B984=1,IF(G984=1,"TP","FN"),IF(G984=1,"FP","TN"))</x:f>
        <x:v>TN</x:v>
      </x:c>
    </x:row>
    <x:row r="985">
      <x:c r="A985" t="str">
        <x:f>MiniCase_Data!A985</x:f>
        <x:v>R00984</x:v>
      </x:c>
      <x:c r="B985" t="n">
        <x:f>IF(MiniCase_Data!O985="불합격",1,0)</x:f>
        <x:v>0</x:v>
      </x:c>
      <x:c r="C985" t="str">
        <x:f>IF(ISBLANK(MiniCase_Data!H985),"missing",IF(OR(MiniCase_Data!H985&lt;27,MiniCase_Data!H985&gt;33),"밖","안"))</x:f>
        <x:v>안</x:v>
      </x:c>
      <x:c r="D985" t="n">
        <x:f>IF(ISBLANK(MiniCase_Data!H985),VLOOKUP(A985,센서로그!$A$2:$C$13,3,FALSE),MiniCase_Data!H985)</x:f>
        <x:v>28.34</x:v>
      </x:c>
      <x:c r="E985" t="n">
        <x:f>IF(AND(MiniCase_Data!C985="야간",MiniCase_Data!F985="M03"),1,0)</x:f>
        <x:v>0</x:v>
      </x:c>
      <x:c r="F985" t="n">
        <x:f>IF(C985="밖",1,0)</x:f>
        <x:v>0</x:v>
      </x:c>
      <x:c r="G985" t="n">
        <x:f>IF(OR(F985=1,E985=1),1,0)</x:f>
        <x:v>0</x:v>
      </x:c>
      <x:c r="H985" t="str">
        <x:f>IF(B985=1,IF(F985=1,"TP","FN"),IF(F985=1,"FP","TN"))</x:f>
        <x:v>TN</x:v>
      </x:c>
      <x:c r="I985" t="str">
        <x:f>IF(B985=1,IF(G985=1,"TP","FN"),IF(G985=1,"FP","TN"))</x:f>
        <x:v>TN</x:v>
      </x:c>
    </x:row>
    <x:row r="986">
      <x:c r="A986" t="str">
        <x:f>MiniCase_Data!A986</x:f>
        <x:v>R00985</x:v>
      </x:c>
      <x:c r="B986" t="n">
        <x:f>IF(MiniCase_Data!O986="불합격",1,0)</x:f>
        <x:v>0</x:v>
      </x:c>
      <x:c r="C986" t="str">
        <x:f>IF(ISBLANK(MiniCase_Data!H986),"missing",IF(OR(MiniCase_Data!H986&lt;27,MiniCase_Data!H986&gt;33),"밖","안"))</x:f>
        <x:v>안</x:v>
      </x:c>
      <x:c r="D986" t="n">
        <x:f>IF(ISBLANK(MiniCase_Data!H986),VLOOKUP(A986,센서로그!$A$2:$C$13,3,FALSE),MiniCase_Data!H986)</x:f>
        <x:v>29.31</x:v>
      </x:c>
      <x:c r="E986" t="n">
        <x:f>IF(AND(MiniCase_Data!C986="야간",MiniCase_Data!F986="M03"),1,0)</x:f>
        <x:v>1</x:v>
      </x:c>
      <x:c r="F986" t="n">
        <x:f>IF(C986="밖",1,0)</x:f>
        <x:v>0</x:v>
      </x:c>
      <x:c r="G986" t="n">
        <x:f>IF(OR(F986=1,E986=1),1,0)</x:f>
        <x:v>1</x:v>
      </x:c>
      <x:c r="H986" t="str">
        <x:f>IF(B986=1,IF(F986=1,"TP","FN"),IF(F986=1,"FP","TN"))</x:f>
        <x:v>TN</x:v>
      </x:c>
      <x:c r="I986" t="str">
        <x:f>IF(B986=1,IF(G986=1,"TP","FN"),IF(G986=1,"FP","TN"))</x:f>
        <x:v>FP</x:v>
      </x:c>
    </x:row>
    <x:row r="987">
      <x:c r="A987" t="str">
        <x:f>MiniCase_Data!A987</x:f>
        <x:v>R00986</x:v>
      </x:c>
      <x:c r="B987" t="n">
        <x:f>IF(MiniCase_Data!O987="불합격",1,0)</x:f>
        <x:v>0</x:v>
      </x:c>
      <x:c r="C987" t="str">
        <x:f>IF(ISBLANK(MiniCase_Data!H987),"missing",IF(OR(MiniCase_Data!H987&lt;27,MiniCase_Data!H987&gt;33),"밖","안"))</x:f>
        <x:v>안</x:v>
      </x:c>
      <x:c r="D987" t="n">
        <x:f>IF(ISBLANK(MiniCase_Data!H987),VLOOKUP(A987,센서로그!$A$2:$C$13,3,FALSE),MiniCase_Data!H987)</x:f>
        <x:v>32.54</x:v>
      </x:c>
      <x:c r="E987" t="n">
        <x:f>IF(AND(MiniCase_Data!C987="야간",MiniCase_Data!F987="M03"),1,0)</x:f>
        <x:v>0</x:v>
      </x:c>
      <x:c r="F987" t="n">
        <x:f>IF(C987="밖",1,0)</x:f>
        <x:v>0</x:v>
      </x:c>
      <x:c r="G987" t="n">
        <x:f>IF(OR(F987=1,E987=1),1,0)</x:f>
        <x:v>0</x:v>
      </x:c>
      <x:c r="H987" t="str">
        <x:f>IF(B987=1,IF(F987=1,"TP","FN"),IF(F987=1,"FP","TN"))</x:f>
        <x:v>TN</x:v>
      </x:c>
      <x:c r="I987" t="str">
        <x:f>IF(B987=1,IF(G987=1,"TP","FN"),IF(G987=1,"FP","TN"))</x:f>
        <x:v>TN</x:v>
      </x:c>
    </x:row>
    <x:row r="988">
      <x:c r="A988" t="str">
        <x:f>MiniCase_Data!A988</x:f>
        <x:v>R00987</x:v>
      </x:c>
      <x:c r="B988" t="n">
        <x:f>IF(MiniCase_Data!O988="불합격",1,0)</x:f>
        <x:v>0</x:v>
      </x:c>
      <x:c r="C988" t="str">
        <x:f>IF(ISBLANK(MiniCase_Data!H988),"missing",IF(OR(MiniCase_Data!H988&lt;27,MiniCase_Data!H988&gt;33),"밖","안"))</x:f>
        <x:v>안</x:v>
      </x:c>
      <x:c r="D988" t="n">
        <x:f>IF(ISBLANK(MiniCase_Data!H988),VLOOKUP(A988,센서로그!$A$2:$C$13,3,FALSE),MiniCase_Data!H988)</x:f>
        <x:v>29.83</x:v>
      </x:c>
      <x:c r="E988" t="n">
        <x:f>IF(AND(MiniCase_Data!C988="야간",MiniCase_Data!F988="M03"),1,0)</x:f>
        <x:v>0</x:v>
      </x:c>
      <x:c r="F988" t="n">
        <x:f>IF(C988="밖",1,0)</x:f>
        <x:v>0</x:v>
      </x:c>
      <x:c r="G988" t="n">
        <x:f>IF(OR(F988=1,E988=1),1,0)</x:f>
        <x:v>0</x:v>
      </x:c>
      <x:c r="H988" t="str">
        <x:f>IF(B988=1,IF(F988=1,"TP","FN"),IF(F988=1,"FP","TN"))</x:f>
        <x:v>TN</x:v>
      </x:c>
      <x:c r="I988" t="str">
        <x:f>IF(B988=1,IF(G988=1,"TP","FN"),IF(G988=1,"FP","TN"))</x:f>
        <x:v>TN</x:v>
      </x:c>
    </x:row>
    <x:row r="989">
      <x:c r="A989" t="str">
        <x:f>MiniCase_Data!A989</x:f>
        <x:v>R00988</x:v>
      </x:c>
      <x:c r="B989" t="n">
        <x:f>IF(MiniCase_Data!O989="불합격",1,0)</x:f>
        <x:v>0</x:v>
      </x:c>
      <x:c r="C989" t="str">
        <x:f>IF(ISBLANK(MiniCase_Data!H989),"missing",IF(OR(MiniCase_Data!H989&lt;27,MiniCase_Data!H989&gt;33),"밖","안"))</x:f>
        <x:v>안</x:v>
      </x:c>
      <x:c r="D989" t="n">
        <x:f>IF(ISBLANK(MiniCase_Data!H989),VLOOKUP(A989,센서로그!$A$2:$C$13,3,FALSE),MiniCase_Data!H989)</x:f>
        <x:v>31.29</x:v>
      </x:c>
      <x:c r="E989" t="n">
        <x:f>IF(AND(MiniCase_Data!C989="야간",MiniCase_Data!F989="M03"),1,0)</x:f>
        <x:v>0</x:v>
      </x:c>
      <x:c r="F989" t="n">
        <x:f>IF(C989="밖",1,0)</x:f>
        <x:v>0</x:v>
      </x:c>
      <x:c r="G989" t="n">
        <x:f>IF(OR(F989=1,E989=1),1,0)</x:f>
        <x:v>0</x:v>
      </x:c>
      <x:c r="H989" t="str">
        <x:f>IF(B989=1,IF(F989=1,"TP","FN"),IF(F989=1,"FP","TN"))</x:f>
        <x:v>TN</x:v>
      </x:c>
      <x:c r="I989" t="str">
        <x:f>IF(B989=1,IF(G989=1,"TP","FN"),IF(G989=1,"FP","TN"))</x:f>
        <x:v>TN</x:v>
      </x:c>
    </x:row>
    <x:row r="990">
      <x:c r="A990" t="str">
        <x:f>MiniCase_Data!A990</x:f>
        <x:v>R00989</x:v>
      </x:c>
      <x:c r="B990" t="n">
        <x:f>IF(MiniCase_Data!O990="불합격",1,0)</x:f>
        <x:v>0</x:v>
      </x:c>
      <x:c r="C990" t="str">
        <x:f>IF(ISBLANK(MiniCase_Data!H990),"missing",IF(OR(MiniCase_Data!H990&lt;27,MiniCase_Data!H990&gt;33),"밖","안"))</x:f>
        <x:v>안</x:v>
      </x:c>
      <x:c r="D990" t="n">
        <x:f>IF(ISBLANK(MiniCase_Data!H990),VLOOKUP(A990,센서로그!$A$2:$C$13,3,FALSE),MiniCase_Data!H990)</x:f>
        <x:v>31.14</x:v>
      </x:c>
      <x:c r="E990" t="n">
        <x:f>IF(AND(MiniCase_Data!C990="야간",MiniCase_Data!F990="M03"),1,0)</x:f>
        <x:v>0</x:v>
      </x:c>
      <x:c r="F990" t="n">
        <x:f>IF(C990="밖",1,0)</x:f>
        <x:v>0</x:v>
      </x:c>
      <x:c r="G990" t="n">
        <x:f>IF(OR(F990=1,E990=1),1,0)</x:f>
        <x:v>0</x:v>
      </x:c>
      <x:c r="H990" t="str">
        <x:f>IF(B990=1,IF(F990=1,"TP","FN"),IF(F990=1,"FP","TN"))</x:f>
        <x:v>TN</x:v>
      </x:c>
      <x:c r="I990" t="str">
        <x:f>IF(B990=1,IF(G990=1,"TP","FN"),IF(G990=1,"FP","TN"))</x:f>
        <x:v>TN</x:v>
      </x:c>
    </x:row>
    <x:row r="991">
      <x:c r="A991" t="str">
        <x:f>MiniCase_Data!A991</x:f>
        <x:v>R00990</x:v>
      </x:c>
      <x:c r="B991" t="n">
        <x:f>IF(MiniCase_Data!O991="불합격",1,0)</x:f>
        <x:v>0</x:v>
      </x:c>
      <x:c r="C991" t="str">
        <x:f>IF(ISBLANK(MiniCase_Data!H991),"missing",IF(OR(MiniCase_Data!H991&lt;27,MiniCase_Data!H991&gt;33),"밖","안"))</x:f>
        <x:v>안</x:v>
      </x:c>
      <x:c r="D991" t="n">
        <x:f>IF(ISBLANK(MiniCase_Data!H991),VLOOKUP(A991,센서로그!$A$2:$C$13,3,FALSE),MiniCase_Data!H991)</x:f>
        <x:v>30.01</x:v>
      </x:c>
      <x:c r="E991" t="n">
        <x:f>IF(AND(MiniCase_Data!C991="야간",MiniCase_Data!F991="M03"),1,0)</x:f>
        <x:v>1</x:v>
      </x:c>
      <x:c r="F991" t="n">
        <x:f>IF(C991="밖",1,0)</x:f>
        <x:v>0</x:v>
      </x:c>
      <x:c r="G991" t="n">
        <x:f>IF(OR(F991=1,E991=1),1,0)</x:f>
        <x:v>1</x:v>
      </x:c>
      <x:c r="H991" t="str">
        <x:f>IF(B991=1,IF(F991=1,"TP","FN"),IF(F991=1,"FP","TN"))</x:f>
        <x:v>TN</x:v>
      </x:c>
      <x:c r="I991" t="str">
        <x:f>IF(B991=1,IF(G991=1,"TP","FN"),IF(G991=1,"FP","TN"))</x:f>
        <x:v>FP</x:v>
      </x:c>
    </x:row>
    <x:row r="992">
      <x:c r="A992" t="str">
        <x:f>MiniCase_Data!A992</x:f>
        <x:v>R00991</x:v>
      </x:c>
      <x:c r="B992" t="n">
        <x:f>IF(MiniCase_Data!O992="불합격",1,0)</x:f>
        <x:v>0</x:v>
      </x:c>
      <x:c r="C992" t="str">
        <x:f>IF(ISBLANK(MiniCase_Data!H992),"missing",IF(OR(MiniCase_Data!H992&lt;27,MiniCase_Data!H992&gt;33),"밖","안"))</x:f>
        <x:v>안</x:v>
      </x:c>
      <x:c r="D992" t="n">
        <x:f>IF(ISBLANK(MiniCase_Data!H992),VLOOKUP(A992,센서로그!$A$2:$C$13,3,FALSE),MiniCase_Data!H992)</x:f>
        <x:v>30.85</x:v>
      </x:c>
      <x:c r="E992" t="n">
        <x:f>IF(AND(MiniCase_Data!C992="야간",MiniCase_Data!F992="M03"),1,0)</x:f>
        <x:v>0</x:v>
      </x:c>
      <x:c r="F992" t="n">
        <x:f>IF(C992="밖",1,0)</x:f>
        <x:v>0</x:v>
      </x:c>
      <x:c r="G992" t="n">
        <x:f>IF(OR(F992=1,E992=1),1,0)</x:f>
        <x:v>0</x:v>
      </x:c>
      <x:c r="H992" t="str">
        <x:f>IF(B992=1,IF(F992=1,"TP","FN"),IF(F992=1,"FP","TN"))</x:f>
        <x:v>TN</x:v>
      </x:c>
      <x:c r="I992" t="str">
        <x:f>IF(B992=1,IF(G992=1,"TP","FN"),IF(G992=1,"FP","TN"))</x:f>
        <x:v>TN</x:v>
      </x:c>
    </x:row>
    <x:row r="993">
      <x:c r="A993" t="str">
        <x:f>MiniCase_Data!A993</x:f>
        <x:v>R00992</x:v>
      </x:c>
      <x:c r="B993" t="n">
        <x:f>IF(MiniCase_Data!O993="불합격",1,0)</x:f>
        <x:v>0</x:v>
      </x:c>
      <x:c r="C993" t="str">
        <x:f>IF(ISBLANK(MiniCase_Data!H993),"missing",IF(OR(MiniCase_Data!H993&lt;27,MiniCase_Data!H993&gt;33),"밖","안"))</x:f>
        <x:v>안</x:v>
      </x:c>
      <x:c r="D993" t="n">
        <x:f>IF(ISBLANK(MiniCase_Data!H993),VLOOKUP(A993,센서로그!$A$2:$C$13,3,FALSE),MiniCase_Data!H993)</x:f>
        <x:v>31.14</x:v>
      </x:c>
      <x:c r="E993" t="n">
        <x:f>IF(AND(MiniCase_Data!C993="야간",MiniCase_Data!F993="M03"),1,0)</x:f>
        <x:v>0</x:v>
      </x:c>
      <x:c r="F993" t="n">
        <x:f>IF(C993="밖",1,0)</x:f>
        <x:v>0</x:v>
      </x:c>
      <x:c r="G993" t="n">
        <x:f>IF(OR(F993=1,E993=1),1,0)</x:f>
        <x:v>0</x:v>
      </x:c>
      <x:c r="H993" t="str">
        <x:f>IF(B993=1,IF(F993=1,"TP","FN"),IF(F993=1,"FP","TN"))</x:f>
        <x:v>TN</x:v>
      </x:c>
      <x:c r="I993" t="str">
        <x:f>IF(B993=1,IF(G993=1,"TP","FN"),IF(G993=1,"FP","TN"))</x:f>
        <x:v>TN</x:v>
      </x:c>
    </x:row>
    <x:row r="994">
      <x:c r="A994" t="str">
        <x:f>MiniCase_Data!A994</x:f>
        <x:v>R00993</x:v>
      </x:c>
      <x:c r="B994" t="n">
        <x:f>IF(MiniCase_Data!O994="불합격",1,0)</x:f>
        <x:v>0</x:v>
      </x:c>
      <x:c r="C994" t="str">
        <x:f>IF(ISBLANK(MiniCase_Data!H994),"missing",IF(OR(MiniCase_Data!H994&lt;27,MiniCase_Data!H994&gt;33),"밖","안"))</x:f>
        <x:v>안</x:v>
      </x:c>
      <x:c r="D994" t="n">
        <x:f>IF(ISBLANK(MiniCase_Data!H994),VLOOKUP(A994,센서로그!$A$2:$C$13,3,FALSE),MiniCase_Data!H994)</x:f>
        <x:v>31.26</x:v>
      </x:c>
      <x:c r="E994" t="n">
        <x:f>IF(AND(MiniCase_Data!C994="야간",MiniCase_Data!F994="M03"),1,0)</x:f>
        <x:v>0</x:v>
      </x:c>
      <x:c r="F994" t="n">
        <x:f>IF(C994="밖",1,0)</x:f>
        <x:v>0</x:v>
      </x:c>
      <x:c r="G994" t="n">
        <x:f>IF(OR(F994=1,E994=1),1,0)</x:f>
        <x:v>0</x:v>
      </x:c>
      <x:c r="H994" t="str">
        <x:f>IF(B994=1,IF(F994=1,"TP","FN"),IF(F994=1,"FP","TN"))</x:f>
        <x:v>TN</x:v>
      </x:c>
      <x:c r="I994" t="str">
        <x:f>IF(B994=1,IF(G994=1,"TP","FN"),IF(G994=1,"FP","TN"))</x:f>
        <x:v>TN</x:v>
      </x:c>
    </x:row>
    <x:row r="995">
      <x:c r="A995" t="str">
        <x:f>MiniCase_Data!A995</x:f>
        <x:v>R00994</x:v>
      </x:c>
      <x:c r="B995" t="n">
        <x:f>IF(MiniCase_Data!O995="불합격",1,0)</x:f>
        <x:v>0</x:v>
      </x:c>
      <x:c r="C995" t="str">
        <x:f>IF(ISBLANK(MiniCase_Data!H995),"missing",IF(OR(MiniCase_Data!H995&lt;27,MiniCase_Data!H995&gt;33),"밖","안"))</x:f>
        <x:v>안</x:v>
      </x:c>
      <x:c r="D995" t="n">
        <x:f>IF(ISBLANK(MiniCase_Data!H995),VLOOKUP(A995,센서로그!$A$2:$C$13,3,FALSE),MiniCase_Data!H995)</x:f>
        <x:v>31.71</x:v>
      </x:c>
      <x:c r="E995" t="n">
        <x:f>IF(AND(MiniCase_Data!C995="야간",MiniCase_Data!F995="M03"),1,0)</x:f>
        <x:v>0</x:v>
      </x:c>
      <x:c r="F995" t="n">
        <x:f>IF(C995="밖",1,0)</x:f>
        <x:v>0</x:v>
      </x:c>
      <x:c r="G995" t="n">
        <x:f>IF(OR(F995=1,E995=1),1,0)</x:f>
        <x:v>0</x:v>
      </x:c>
      <x:c r="H995" t="str">
        <x:f>IF(B995=1,IF(F995=1,"TP","FN"),IF(F995=1,"FP","TN"))</x:f>
        <x:v>TN</x:v>
      </x:c>
      <x:c r="I995" t="str">
        <x:f>IF(B995=1,IF(G995=1,"TP","FN"),IF(G995=1,"FP","TN"))</x:f>
        <x:v>TN</x:v>
      </x:c>
    </x:row>
    <x:row r="996">
      <x:c r="A996" t="str">
        <x:f>MiniCase_Data!A996</x:f>
        <x:v>R00995</x:v>
      </x:c>
      <x:c r="B996" t="n">
        <x:f>IF(MiniCase_Data!O996="불합격",1,0)</x:f>
        <x:v>0</x:v>
      </x:c>
      <x:c r="C996" t="str">
        <x:f>IF(ISBLANK(MiniCase_Data!H996),"missing",IF(OR(MiniCase_Data!H996&lt;27,MiniCase_Data!H996&gt;33),"밖","안"))</x:f>
        <x:v>안</x:v>
      </x:c>
      <x:c r="D996" t="n">
        <x:f>IF(ISBLANK(MiniCase_Data!H996),VLOOKUP(A996,센서로그!$A$2:$C$13,3,FALSE),MiniCase_Data!H996)</x:f>
        <x:v>28</x:v>
      </x:c>
      <x:c r="E996" t="n">
        <x:f>IF(AND(MiniCase_Data!C996="야간",MiniCase_Data!F996="M03"),1,0)</x:f>
        <x:v>0</x:v>
      </x:c>
      <x:c r="F996" t="n">
        <x:f>IF(C996="밖",1,0)</x:f>
        <x:v>0</x:v>
      </x:c>
      <x:c r="G996" t="n">
        <x:f>IF(OR(F996=1,E996=1),1,0)</x:f>
        <x:v>0</x:v>
      </x:c>
      <x:c r="H996" t="str">
        <x:f>IF(B996=1,IF(F996=1,"TP","FN"),IF(F996=1,"FP","TN"))</x:f>
        <x:v>TN</x:v>
      </x:c>
      <x:c r="I996" t="str">
        <x:f>IF(B996=1,IF(G996=1,"TP","FN"),IF(G996=1,"FP","TN"))</x:f>
        <x:v>TN</x:v>
      </x:c>
    </x:row>
    <x:row r="997">
      <x:c r="A997" t="str">
        <x:f>MiniCase_Data!A997</x:f>
        <x:v>R00996</x:v>
      </x:c>
      <x:c r="B997" t="n">
        <x:f>IF(MiniCase_Data!O997="불합격",1,0)</x:f>
        <x:v>0</x:v>
      </x:c>
      <x:c r="C997" t="str">
        <x:f>IF(ISBLANK(MiniCase_Data!H997),"missing",IF(OR(MiniCase_Data!H997&lt;27,MiniCase_Data!H997&gt;33),"밖","안"))</x:f>
        <x:v>안</x:v>
      </x:c>
      <x:c r="D997" t="n">
        <x:f>IF(ISBLANK(MiniCase_Data!H997),VLOOKUP(A997,센서로그!$A$2:$C$13,3,FALSE),MiniCase_Data!H997)</x:f>
        <x:v>30.55</x:v>
      </x:c>
      <x:c r="E997" t="n">
        <x:f>IF(AND(MiniCase_Data!C997="야간",MiniCase_Data!F997="M03"),1,0)</x:f>
        <x:v>0</x:v>
      </x:c>
      <x:c r="F997" t="n">
        <x:f>IF(C997="밖",1,0)</x:f>
        <x:v>0</x:v>
      </x:c>
      <x:c r="G997" t="n">
        <x:f>IF(OR(F997=1,E997=1),1,0)</x:f>
        <x:v>0</x:v>
      </x:c>
      <x:c r="H997" t="str">
        <x:f>IF(B997=1,IF(F997=1,"TP","FN"),IF(F997=1,"FP","TN"))</x:f>
        <x:v>TN</x:v>
      </x:c>
      <x:c r="I997" t="str">
        <x:f>IF(B997=1,IF(G997=1,"TP","FN"),IF(G997=1,"FP","TN"))</x:f>
        <x:v>TN</x:v>
      </x:c>
    </x:row>
    <x:row r="998">
      <x:c r="A998" t="str">
        <x:f>MiniCase_Data!A998</x:f>
        <x:v>R00997</x:v>
      </x:c>
      <x:c r="B998" t="n">
        <x:f>IF(MiniCase_Data!O998="불합격",1,0)</x:f>
        <x:v>0</x:v>
      </x:c>
      <x:c r="C998" t="str">
        <x:f>IF(ISBLANK(MiniCase_Data!H998),"missing",IF(OR(MiniCase_Data!H998&lt;27,MiniCase_Data!H998&gt;33),"밖","안"))</x:f>
        <x:v>안</x:v>
      </x:c>
      <x:c r="D998" t="n">
        <x:f>IF(ISBLANK(MiniCase_Data!H998),VLOOKUP(A998,센서로그!$A$2:$C$13,3,FALSE),MiniCase_Data!H998)</x:f>
        <x:v>30.69</x:v>
      </x:c>
      <x:c r="E998" t="n">
        <x:f>IF(AND(MiniCase_Data!C998="야간",MiniCase_Data!F998="M03"),1,0)</x:f>
        <x:v>0</x:v>
      </x:c>
      <x:c r="F998" t="n">
        <x:f>IF(C998="밖",1,0)</x:f>
        <x:v>0</x:v>
      </x:c>
      <x:c r="G998" t="n">
        <x:f>IF(OR(F998=1,E998=1),1,0)</x:f>
        <x:v>0</x:v>
      </x:c>
      <x:c r="H998" t="str">
        <x:f>IF(B998=1,IF(F998=1,"TP","FN"),IF(F998=1,"FP","TN"))</x:f>
        <x:v>TN</x:v>
      </x:c>
      <x:c r="I998" t="str">
        <x:f>IF(B998=1,IF(G998=1,"TP","FN"),IF(G998=1,"FP","TN"))</x:f>
        <x:v>TN</x:v>
      </x:c>
    </x:row>
    <x:row r="999">
      <x:c r="A999" t="str">
        <x:f>MiniCase_Data!A999</x:f>
        <x:v>R00998</x:v>
      </x:c>
      <x:c r="B999" t="n">
        <x:f>IF(MiniCase_Data!O999="불합격",1,0)</x:f>
        <x:v>0</x:v>
      </x:c>
      <x:c r="C999" t="str">
        <x:f>IF(ISBLANK(MiniCase_Data!H999),"missing",IF(OR(MiniCase_Data!H999&lt;27,MiniCase_Data!H999&gt;33),"밖","안"))</x:f>
        <x:v>안</x:v>
      </x:c>
      <x:c r="D999" t="n">
        <x:f>IF(ISBLANK(MiniCase_Data!H999),VLOOKUP(A999,센서로그!$A$2:$C$13,3,FALSE),MiniCase_Data!H999)</x:f>
        <x:v>28.59</x:v>
      </x:c>
      <x:c r="E999" t="n">
        <x:f>IF(AND(MiniCase_Data!C999="야간",MiniCase_Data!F999="M03"),1,0)</x:f>
        <x:v>0</x:v>
      </x:c>
      <x:c r="F999" t="n">
        <x:f>IF(C999="밖",1,0)</x:f>
        <x:v>0</x:v>
      </x:c>
      <x:c r="G999" t="n">
        <x:f>IF(OR(F999=1,E999=1),1,0)</x:f>
        <x:v>0</x:v>
      </x:c>
      <x:c r="H999" t="str">
        <x:f>IF(B999=1,IF(F999=1,"TP","FN"),IF(F999=1,"FP","TN"))</x:f>
        <x:v>TN</x:v>
      </x:c>
      <x:c r="I999" t="str">
        <x:f>IF(B999=1,IF(G999=1,"TP","FN"),IF(G999=1,"FP","TN"))</x:f>
        <x:v>TN</x:v>
      </x:c>
    </x:row>
    <x:row r="1000">
      <x:c r="A1000" t="str">
        <x:f>MiniCase_Data!A1000</x:f>
        <x:v>R00999</x:v>
      </x:c>
      <x:c r="B1000" t="n">
        <x:f>IF(MiniCase_Data!O1000="불합격",1,0)</x:f>
        <x:v>0</x:v>
      </x:c>
      <x:c r="C1000" t="str">
        <x:f>IF(ISBLANK(MiniCase_Data!H1000),"missing",IF(OR(MiniCase_Data!H1000&lt;27,MiniCase_Data!H1000&gt;33),"밖","안"))</x:f>
        <x:v>안</x:v>
      </x:c>
      <x:c r="D1000" t="n">
        <x:f>IF(ISBLANK(MiniCase_Data!H1000),VLOOKUP(A1000,센서로그!$A$2:$C$13,3,FALSE),MiniCase_Data!H1000)</x:f>
        <x:v>28.13</x:v>
      </x:c>
      <x:c r="E1000" t="n">
        <x:f>IF(AND(MiniCase_Data!C1000="야간",MiniCase_Data!F1000="M03"),1,0)</x:f>
        <x:v>0</x:v>
      </x:c>
      <x:c r="F1000" t="n">
        <x:f>IF(C1000="밖",1,0)</x:f>
        <x:v>0</x:v>
      </x:c>
      <x:c r="G1000" t="n">
        <x:f>IF(OR(F1000=1,E1000=1),1,0)</x:f>
        <x:v>0</x:v>
      </x:c>
      <x:c r="H1000" t="str">
        <x:f>IF(B1000=1,IF(F1000=1,"TP","FN"),IF(F1000=1,"FP","TN"))</x:f>
        <x:v>TN</x:v>
      </x:c>
      <x:c r="I1000" t="str">
        <x:f>IF(B1000=1,IF(G1000=1,"TP","FN"),IF(G1000=1,"FP","TN"))</x:f>
        <x:v>TN</x:v>
      </x:c>
    </x:row>
    <x:row r="1001">
      <x:c r="A1001" t="str">
        <x:f>MiniCase_Data!A1001</x:f>
        <x:v>R01000</x:v>
      </x:c>
      <x:c r="B1001" t="n">
        <x:f>IF(MiniCase_Data!O1001="불합격",1,0)</x:f>
        <x:v>1</x:v>
      </x:c>
      <x:c r="C1001" t="str">
        <x:f>IF(ISBLANK(MiniCase_Data!H1001),"missing",IF(OR(MiniCase_Data!H1001&lt;27,MiniCase_Data!H1001&gt;33),"밖","안"))</x:f>
        <x:v>안</x:v>
      </x:c>
      <x:c r="D1001" t="n">
        <x:f>IF(ISBLANK(MiniCase_Data!H1001),VLOOKUP(A1001,센서로그!$A$2:$C$13,3,FALSE),MiniCase_Data!H1001)</x:f>
        <x:v>29.04</x:v>
      </x:c>
      <x:c r="E1001" t="n">
        <x:f>IF(AND(MiniCase_Data!C1001="야간",MiniCase_Data!F1001="M03"),1,0)</x:f>
        <x:v>1</x:v>
      </x:c>
      <x:c r="F1001" t="n">
        <x:f>IF(C1001="밖",1,0)</x:f>
        <x:v>0</x:v>
      </x:c>
      <x:c r="G1001" t="n">
        <x:f>IF(OR(F1001=1,E1001=1),1,0)</x:f>
        <x:v>1</x:v>
      </x:c>
      <x:c r="H1001" t="str">
        <x:f>IF(B1001=1,IF(F1001=1,"TP","FN"),IF(F1001=1,"FP","TN"))</x:f>
        <x:v>FN</x:v>
      </x:c>
      <x:c r="I1001" t="str">
        <x:f>IF(B1001=1,IF(G1001=1,"TP","FN"),IF(G1001=1,"FP","TN"))</x:f>
        <x:v>TP</x:v>
      </x:c>
    </x:row>
    <x:row r="1002">
      <x:c r="A1002" t="str">
        <x:f>MiniCase_Data!A1002</x:f>
        <x:v>R01001</x:v>
      </x:c>
      <x:c r="B1002" t="n">
        <x:f>IF(MiniCase_Data!O1002="불합격",1,0)</x:f>
        <x:v>0</x:v>
      </x:c>
      <x:c r="C1002" t="str">
        <x:f>IF(ISBLANK(MiniCase_Data!H1002),"missing",IF(OR(MiniCase_Data!H1002&lt;27,MiniCase_Data!H1002&gt;33),"밖","안"))</x:f>
        <x:v>안</x:v>
      </x:c>
      <x:c r="D1002" t="n">
        <x:f>IF(ISBLANK(MiniCase_Data!H1002),VLOOKUP(A1002,센서로그!$A$2:$C$13,3,FALSE),MiniCase_Data!H1002)</x:f>
        <x:v>30.26</x:v>
      </x:c>
      <x:c r="E1002" t="n">
        <x:f>IF(AND(MiniCase_Data!C1002="야간",MiniCase_Data!F1002="M03"),1,0)</x:f>
        <x:v>0</x:v>
      </x:c>
      <x:c r="F1002" t="n">
        <x:f>IF(C1002="밖",1,0)</x:f>
        <x:v>0</x:v>
      </x:c>
      <x:c r="G1002" t="n">
        <x:f>IF(OR(F1002=1,E1002=1),1,0)</x:f>
        <x:v>0</x:v>
      </x:c>
      <x:c r="H1002" t="str">
        <x:f>IF(B1002=1,IF(F1002=1,"TP","FN"),IF(F1002=1,"FP","TN"))</x:f>
        <x:v>TN</x:v>
      </x:c>
      <x:c r="I1002" t="str">
        <x:f>IF(B1002=1,IF(G1002=1,"TP","FN"),IF(G1002=1,"FP","TN"))</x:f>
        <x:v>TN</x:v>
      </x:c>
    </x:row>
    <x:row r="1003">
      <x:c r="A1003" t="str">
        <x:f>MiniCase_Data!A1003</x:f>
        <x:v>R01002</x:v>
      </x:c>
      <x:c r="B1003" t="n">
        <x:f>IF(MiniCase_Data!O1003="불합격",1,0)</x:f>
        <x:v>0</x:v>
      </x:c>
      <x:c r="C1003" t="str">
        <x:f>IF(ISBLANK(MiniCase_Data!H1003),"missing",IF(OR(MiniCase_Data!H1003&lt;27,MiniCase_Data!H1003&gt;33),"밖","안"))</x:f>
        <x:v>안</x:v>
      </x:c>
      <x:c r="D1003" t="n">
        <x:f>IF(ISBLANK(MiniCase_Data!H1003),VLOOKUP(A1003,센서로그!$A$2:$C$13,3,FALSE),MiniCase_Data!H1003)</x:f>
        <x:v>31.73</x:v>
      </x:c>
      <x:c r="E1003" t="n">
        <x:f>IF(AND(MiniCase_Data!C1003="야간",MiniCase_Data!F1003="M03"),1,0)</x:f>
        <x:v>0</x:v>
      </x:c>
      <x:c r="F1003" t="n">
        <x:f>IF(C1003="밖",1,0)</x:f>
        <x:v>0</x:v>
      </x:c>
      <x:c r="G1003" t="n">
        <x:f>IF(OR(F1003=1,E1003=1),1,0)</x:f>
        <x:v>0</x:v>
      </x:c>
      <x:c r="H1003" t="str">
        <x:f>IF(B1003=1,IF(F1003=1,"TP","FN"),IF(F1003=1,"FP","TN"))</x:f>
        <x:v>TN</x:v>
      </x:c>
      <x:c r="I1003" t="str">
        <x:f>IF(B1003=1,IF(G1003=1,"TP","FN"),IF(G1003=1,"FP","TN"))</x:f>
        <x:v>TN</x:v>
      </x:c>
    </x:row>
    <x:row r="1004">
      <x:c r="A1004" t="str">
        <x:f>MiniCase_Data!A1004</x:f>
        <x:v>R01003</x:v>
      </x:c>
      <x:c r="B1004" t="n">
        <x:f>IF(MiniCase_Data!O1004="불합격",1,0)</x:f>
        <x:v>0</x:v>
      </x:c>
      <x:c r="C1004" t="str">
        <x:f>IF(ISBLANK(MiniCase_Data!H1004),"missing",IF(OR(MiniCase_Data!H1004&lt;27,MiniCase_Data!H1004&gt;33),"밖","안"))</x:f>
        <x:v>밖</x:v>
      </x:c>
      <x:c r="D1004" t="n">
        <x:f>IF(ISBLANK(MiniCase_Data!H1004),VLOOKUP(A1004,센서로그!$A$2:$C$13,3,FALSE),MiniCase_Data!H1004)</x:f>
        <x:v>33.64</x:v>
      </x:c>
      <x:c r="E1004" t="n">
        <x:f>IF(AND(MiniCase_Data!C1004="야간",MiniCase_Data!F1004="M03"),1,0)</x:f>
        <x:v>1</x:v>
      </x:c>
      <x:c r="F1004" t="n">
        <x:f>IF(C1004="밖",1,0)</x:f>
        <x:v>1</x:v>
      </x:c>
      <x:c r="G1004" t="n">
        <x:f>IF(OR(F1004=1,E1004=1),1,0)</x:f>
        <x:v>1</x:v>
      </x:c>
      <x:c r="H1004" t="str">
        <x:f>IF(B1004=1,IF(F1004=1,"TP","FN"),IF(F1004=1,"FP","TN"))</x:f>
        <x:v>FP</x:v>
      </x:c>
      <x:c r="I1004" t="str">
        <x:f>IF(B1004=1,IF(G1004=1,"TP","FN"),IF(G1004=1,"FP","TN"))</x:f>
        <x:v>FP</x:v>
      </x:c>
    </x:row>
    <x:row r="1005">
      <x:c r="A1005" t="str">
        <x:f>MiniCase_Data!A1005</x:f>
        <x:v>R01004</x:v>
      </x:c>
      <x:c r="B1005" t="n">
        <x:f>IF(MiniCase_Data!O1005="불합격",1,0)</x:f>
        <x:v>0</x:v>
      </x:c>
      <x:c r="C1005" t="str">
        <x:f>IF(ISBLANK(MiniCase_Data!H1005),"missing",IF(OR(MiniCase_Data!H1005&lt;27,MiniCase_Data!H1005&gt;33),"밖","안"))</x:f>
        <x:v>안</x:v>
      </x:c>
      <x:c r="D1005" t="n">
        <x:f>IF(ISBLANK(MiniCase_Data!H1005),VLOOKUP(A1005,센서로그!$A$2:$C$13,3,FALSE),MiniCase_Data!H1005)</x:f>
        <x:v>31.28</x:v>
      </x:c>
      <x:c r="E1005" t="n">
        <x:f>IF(AND(MiniCase_Data!C1005="야간",MiniCase_Data!F1005="M03"),1,0)</x:f>
        <x:v>0</x:v>
      </x:c>
      <x:c r="F1005" t="n">
        <x:f>IF(C1005="밖",1,0)</x:f>
        <x:v>0</x:v>
      </x:c>
      <x:c r="G1005" t="n">
        <x:f>IF(OR(F1005=1,E1005=1),1,0)</x:f>
        <x:v>0</x:v>
      </x:c>
      <x:c r="H1005" t="str">
        <x:f>IF(B1005=1,IF(F1005=1,"TP","FN"),IF(F1005=1,"FP","TN"))</x:f>
        <x:v>TN</x:v>
      </x:c>
      <x:c r="I1005" t="str">
        <x:f>IF(B1005=1,IF(G1005=1,"TP","FN"),IF(G1005=1,"FP","TN"))</x:f>
        <x:v>TN</x:v>
      </x:c>
    </x:row>
    <x:row r="1006">
      <x:c r="A1006" t="str">
        <x:f>MiniCase_Data!A1006</x:f>
        <x:v>R01005</x:v>
      </x:c>
      <x:c r="B1006" t="n">
        <x:f>IF(MiniCase_Data!O1006="불합격",1,0)</x:f>
        <x:v>0</x:v>
      </x:c>
      <x:c r="C1006" t="str">
        <x:f>IF(ISBLANK(MiniCase_Data!H1006),"missing",IF(OR(MiniCase_Data!H1006&lt;27,MiniCase_Data!H1006&gt;33),"밖","안"))</x:f>
        <x:v>안</x:v>
      </x:c>
      <x:c r="D1006" t="n">
        <x:f>IF(ISBLANK(MiniCase_Data!H1006),VLOOKUP(A1006,센서로그!$A$2:$C$13,3,FALSE),MiniCase_Data!H1006)</x:f>
        <x:v>32.07</x:v>
      </x:c>
      <x:c r="E1006" t="n">
        <x:f>IF(AND(MiniCase_Data!C1006="야간",MiniCase_Data!F1006="M03"),1,0)</x:f>
        <x:v>0</x:v>
      </x:c>
      <x:c r="F1006" t="n">
        <x:f>IF(C1006="밖",1,0)</x:f>
        <x:v>0</x:v>
      </x:c>
      <x:c r="G1006" t="n">
        <x:f>IF(OR(F1006=1,E1006=1),1,0)</x:f>
        <x:v>0</x:v>
      </x:c>
      <x:c r="H1006" t="str">
        <x:f>IF(B1006=1,IF(F1006=1,"TP","FN"),IF(F1006=1,"FP","TN"))</x:f>
        <x:v>TN</x:v>
      </x:c>
      <x:c r="I1006" t="str">
        <x:f>IF(B1006=1,IF(G1006=1,"TP","FN"),IF(G1006=1,"FP","TN"))</x:f>
        <x:v>TN</x:v>
      </x:c>
    </x:row>
    <x:row r="1007">
      <x:c r="A1007" t="str">
        <x:f>MiniCase_Data!A1007</x:f>
        <x:v>R01006</x:v>
      </x:c>
      <x:c r="B1007" t="n">
        <x:f>IF(MiniCase_Data!O1007="불합격",1,0)</x:f>
        <x:v>0</x:v>
      </x:c>
      <x:c r="C1007" t="str">
        <x:f>IF(ISBLANK(MiniCase_Data!H1007),"missing",IF(OR(MiniCase_Data!H1007&lt;27,MiniCase_Data!H1007&gt;33),"밖","안"))</x:f>
        <x:v>안</x:v>
      </x:c>
      <x:c r="D1007" t="n">
        <x:f>IF(ISBLANK(MiniCase_Data!H1007),VLOOKUP(A1007,센서로그!$A$2:$C$13,3,FALSE),MiniCase_Data!H1007)</x:f>
        <x:v>32.55</x:v>
      </x:c>
      <x:c r="E1007" t="n">
        <x:f>IF(AND(MiniCase_Data!C1007="야간",MiniCase_Data!F1007="M03"),1,0)</x:f>
        <x:v>0</x:v>
      </x:c>
      <x:c r="F1007" t="n">
        <x:f>IF(C1007="밖",1,0)</x:f>
        <x:v>0</x:v>
      </x:c>
      <x:c r="G1007" t="n">
        <x:f>IF(OR(F1007=1,E1007=1),1,0)</x:f>
        <x:v>0</x:v>
      </x:c>
      <x:c r="H1007" t="str">
        <x:f>IF(B1007=1,IF(F1007=1,"TP","FN"),IF(F1007=1,"FP","TN"))</x:f>
        <x:v>TN</x:v>
      </x:c>
      <x:c r="I1007" t="str">
        <x:f>IF(B1007=1,IF(G1007=1,"TP","FN"),IF(G1007=1,"FP","TN"))</x:f>
        <x:v>TN</x:v>
      </x:c>
    </x:row>
    <x:row r="1008">
      <x:c r="A1008" t="str">
        <x:f>MiniCase_Data!A1008</x:f>
        <x:v>R01007</x:v>
      </x:c>
      <x:c r="B1008" t="n">
        <x:f>IF(MiniCase_Data!O1008="불합격",1,0)</x:f>
        <x:v>0</x:v>
      </x:c>
      <x:c r="C1008" t="str">
        <x:f>IF(ISBLANK(MiniCase_Data!H1008),"missing",IF(OR(MiniCase_Data!H1008&lt;27,MiniCase_Data!H1008&gt;33),"밖","안"))</x:f>
        <x:v>안</x:v>
      </x:c>
      <x:c r="D1008" t="n">
        <x:f>IF(ISBLANK(MiniCase_Data!H1008),VLOOKUP(A1008,센서로그!$A$2:$C$13,3,FALSE),MiniCase_Data!H1008)</x:f>
        <x:v>29.57</x:v>
      </x:c>
      <x:c r="E1008" t="n">
        <x:f>IF(AND(MiniCase_Data!C1008="야간",MiniCase_Data!F1008="M03"),1,0)</x:f>
        <x:v>0</x:v>
      </x:c>
      <x:c r="F1008" t="n">
        <x:f>IF(C1008="밖",1,0)</x:f>
        <x:v>0</x:v>
      </x:c>
      <x:c r="G1008" t="n">
        <x:f>IF(OR(F1008=1,E1008=1),1,0)</x:f>
        <x:v>0</x:v>
      </x:c>
      <x:c r="H1008" t="str">
        <x:f>IF(B1008=1,IF(F1008=1,"TP","FN"),IF(F1008=1,"FP","TN"))</x:f>
        <x:v>TN</x:v>
      </x:c>
      <x:c r="I1008" t="str">
        <x:f>IF(B1008=1,IF(G1008=1,"TP","FN"),IF(G1008=1,"FP","TN"))</x:f>
        <x:v>TN</x:v>
      </x:c>
    </x:row>
    <x:row r="1009">
      <x:c r="A1009" t="str">
        <x:f>MiniCase_Data!A1009</x:f>
        <x:v>R01008</x:v>
      </x:c>
      <x:c r="B1009" t="n">
        <x:f>IF(MiniCase_Data!O1009="불합격",1,0)</x:f>
        <x:v>0</x:v>
      </x:c>
      <x:c r="C1009" t="str">
        <x:f>IF(ISBLANK(MiniCase_Data!H1009),"missing",IF(OR(MiniCase_Data!H1009&lt;27,MiniCase_Data!H1009&gt;33),"밖","안"))</x:f>
        <x:v>안</x:v>
      </x:c>
      <x:c r="D1009" t="n">
        <x:f>IF(ISBLANK(MiniCase_Data!H1009),VLOOKUP(A1009,센서로그!$A$2:$C$13,3,FALSE),MiniCase_Data!H1009)</x:f>
        <x:v>27.99</x:v>
      </x:c>
      <x:c r="E1009" t="n">
        <x:f>IF(AND(MiniCase_Data!C1009="야간",MiniCase_Data!F1009="M03"),1,0)</x:f>
        <x:v>0</x:v>
      </x:c>
      <x:c r="F1009" t="n">
        <x:f>IF(C1009="밖",1,0)</x:f>
        <x:v>0</x:v>
      </x:c>
      <x:c r="G1009" t="n">
        <x:f>IF(OR(F1009=1,E1009=1),1,0)</x:f>
        <x:v>0</x:v>
      </x:c>
      <x:c r="H1009" t="str">
        <x:f>IF(B1009=1,IF(F1009=1,"TP","FN"),IF(F1009=1,"FP","TN"))</x:f>
        <x:v>TN</x:v>
      </x:c>
      <x:c r="I1009" t="str">
        <x:f>IF(B1009=1,IF(G1009=1,"TP","FN"),IF(G1009=1,"FP","TN"))</x:f>
        <x:v>TN</x:v>
      </x:c>
    </x:row>
    <x:row r="1010">
      <x:c r="A1010" t="str">
        <x:f>MiniCase_Data!A1010</x:f>
        <x:v>R01009</x:v>
      </x:c>
      <x:c r="B1010" t="n">
        <x:f>IF(MiniCase_Data!O1010="불합격",1,0)</x:f>
        <x:v>0</x:v>
      </x:c>
      <x:c r="C1010" t="str">
        <x:f>IF(ISBLANK(MiniCase_Data!H1010),"missing",IF(OR(MiniCase_Data!H1010&lt;27,MiniCase_Data!H1010&gt;33),"밖","안"))</x:f>
        <x:v>안</x:v>
      </x:c>
      <x:c r="D1010" t="n">
        <x:f>IF(ISBLANK(MiniCase_Data!H1010),VLOOKUP(A1010,센서로그!$A$2:$C$13,3,FALSE),MiniCase_Data!H1010)</x:f>
        <x:v>32.15</x:v>
      </x:c>
      <x:c r="E1010" t="n">
        <x:f>IF(AND(MiniCase_Data!C1010="야간",MiniCase_Data!F1010="M03"),1,0)</x:f>
        <x:v>0</x:v>
      </x:c>
      <x:c r="F1010" t="n">
        <x:f>IF(C1010="밖",1,0)</x:f>
        <x:v>0</x:v>
      </x:c>
      <x:c r="G1010" t="n">
        <x:f>IF(OR(F1010=1,E1010=1),1,0)</x:f>
        <x:v>0</x:v>
      </x:c>
      <x:c r="H1010" t="str">
        <x:f>IF(B1010=1,IF(F1010=1,"TP","FN"),IF(F1010=1,"FP","TN"))</x:f>
        <x:v>TN</x:v>
      </x:c>
      <x:c r="I1010" t="str">
        <x:f>IF(B1010=1,IF(G1010=1,"TP","FN"),IF(G1010=1,"FP","TN"))</x:f>
        <x:v>TN</x:v>
      </x:c>
    </x:row>
    <x:row r="1011">
      <x:c r="A1011" t="str">
        <x:f>MiniCase_Data!A1011</x:f>
        <x:v>R01010</x:v>
      </x:c>
      <x:c r="B1011" t="n">
        <x:f>IF(MiniCase_Data!O1011="불합격",1,0)</x:f>
        <x:v>0</x:v>
      </x:c>
      <x:c r="C1011" t="str">
        <x:f>IF(ISBLANK(MiniCase_Data!H1011),"missing",IF(OR(MiniCase_Data!H1011&lt;27,MiniCase_Data!H1011&gt;33),"밖","안"))</x:f>
        <x:v>안</x:v>
      </x:c>
      <x:c r="D1011" t="n">
        <x:f>IF(ISBLANK(MiniCase_Data!H1011),VLOOKUP(A1011,센서로그!$A$2:$C$13,3,FALSE),MiniCase_Data!H1011)</x:f>
        <x:v>31.19</x:v>
      </x:c>
      <x:c r="E1011" t="n">
        <x:f>IF(AND(MiniCase_Data!C1011="야간",MiniCase_Data!F1011="M03"),1,0)</x:f>
        <x:v>0</x:v>
      </x:c>
      <x:c r="F1011" t="n">
        <x:f>IF(C1011="밖",1,0)</x:f>
        <x:v>0</x:v>
      </x:c>
      <x:c r="G1011" t="n">
        <x:f>IF(OR(F1011=1,E1011=1),1,0)</x:f>
        <x:v>0</x:v>
      </x:c>
      <x:c r="H1011" t="str">
        <x:f>IF(B1011=1,IF(F1011=1,"TP","FN"),IF(F1011=1,"FP","TN"))</x:f>
        <x:v>TN</x:v>
      </x:c>
      <x:c r="I1011" t="str">
        <x:f>IF(B1011=1,IF(G1011=1,"TP","FN"),IF(G1011=1,"FP","TN"))</x:f>
        <x:v>TN</x:v>
      </x:c>
    </x:row>
    <x:row r="1012">
      <x:c r="A1012" t="str">
        <x:f>MiniCase_Data!A1012</x:f>
        <x:v>R01011</x:v>
      </x:c>
      <x:c r="B1012" t="n">
        <x:f>IF(MiniCase_Data!O1012="불합격",1,0)</x:f>
        <x:v>0</x:v>
      </x:c>
      <x:c r="C1012" t="str">
        <x:f>IF(ISBLANK(MiniCase_Data!H1012),"missing",IF(OR(MiniCase_Data!H1012&lt;27,MiniCase_Data!H1012&gt;33),"밖","안"))</x:f>
        <x:v>안</x:v>
      </x:c>
      <x:c r="D1012" t="n">
        <x:f>IF(ISBLANK(MiniCase_Data!H1012),VLOOKUP(A1012,센서로그!$A$2:$C$13,3,FALSE),MiniCase_Data!H1012)</x:f>
        <x:v>30.74</x:v>
      </x:c>
      <x:c r="E1012" t="n">
        <x:f>IF(AND(MiniCase_Data!C1012="야간",MiniCase_Data!F1012="M03"),1,0)</x:f>
        <x:v>0</x:v>
      </x:c>
      <x:c r="F1012" t="n">
        <x:f>IF(C1012="밖",1,0)</x:f>
        <x:v>0</x:v>
      </x:c>
      <x:c r="G1012" t="n">
        <x:f>IF(OR(F1012=1,E1012=1),1,0)</x:f>
        <x:v>0</x:v>
      </x:c>
      <x:c r="H1012" t="str">
        <x:f>IF(B1012=1,IF(F1012=1,"TP","FN"),IF(F1012=1,"FP","TN"))</x:f>
        <x:v>TN</x:v>
      </x:c>
      <x:c r="I1012" t="str">
        <x:f>IF(B1012=1,IF(G1012=1,"TP","FN"),IF(G1012=1,"FP","TN"))</x:f>
        <x:v>TN</x:v>
      </x:c>
    </x:row>
    <x:row r="1013">
      <x:c r="A1013" t="str">
        <x:f>MiniCase_Data!A1013</x:f>
        <x:v>R01012</x:v>
      </x:c>
      <x:c r="B1013" t="n">
        <x:f>IF(MiniCase_Data!O1013="불합격",1,0)</x:f>
        <x:v>0</x:v>
      </x:c>
      <x:c r="C1013" t="str">
        <x:f>IF(ISBLANK(MiniCase_Data!H1013),"missing",IF(OR(MiniCase_Data!H1013&lt;27,MiniCase_Data!H1013&gt;33),"밖","안"))</x:f>
        <x:v>안</x:v>
      </x:c>
      <x:c r="D1013" t="n">
        <x:f>IF(ISBLANK(MiniCase_Data!H1013),VLOOKUP(A1013,센서로그!$A$2:$C$13,3,FALSE),MiniCase_Data!H1013)</x:f>
        <x:v>32.33</x:v>
      </x:c>
      <x:c r="E1013" t="n">
        <x:f>IF(AND(MiniCase_Data!C1013="야간",MiniCase_Data!F1013="M03"),1,0)</x:f>
        <x:v>0</x:v>
      </x:c>
      <x:c r="F1013" t="n">
        <x:f>IF(C1013="밖",1,0)</x:f>
        <x:v>0</x:v>
      </x:c>
      <x:c r="G1013" t="n">
        <x:f>IF(OR(F1013=1,E1013=1),1,0)</x:f>
        <x:v>0</x:v>
      </x:c>
      <x:c r="H1013" t="str">
        <x:f>IF(B1013=1,IF(F1013=1,"TP","FN"),IF(F1013=1,"FP","TN"))</x:f>
        <x:v>TN</x:v>
      </x:c>
      <x:c r="I1013" t="str">
        <x:f>IF(B1013=1,IF(G1013=1,"TP","FN"),IF(G1013=1,"FP","TN"))</x:f>
        <x:v>TN</x:v>
      </x:c>
    </x:row>
    <x:row r="1014">
      <x:c r="A1014" t="str">
        <x:f>MiniCase_Data!A1014</x:f>
        <x:v>R01013</x:v>
      </x:c>
      <x:c r="B1014" t="n">
        <x:f>IF(MiniCase_Data!O1014="불합격",1,0)</x:f>
        <x:v>0</x:v>
      </x:c>
      <x:c r="C1014" t="str">
        <x:f>IF(ISBLANK(MiniCase_Data!H1014),"missing",IF(OR(MiniCase_Data!H1014&lt;27,MiniCase_Data!H1014&gt;33),"밖","안"))</x:f>
        <x:v>안</x:v>
      </x:c>
      <x:c r="D1014" t="n">
        <x:f>IF(ISBLANK(MiniCase_Data!H1014),VLOOKUP(A1014,센서로그!$A$2:$C$13,3,FALSE),MiniCase_Data!H1014)</x:f>
        <x:v>27.4</x:v>
      </x:c>
      <x:c r="E1014" t="n">
        <x:f>IF(AND(MiniCase_Data!C1014="야간",MiniCase_Data!F1014="M03"),1,0)</x:f>
        <x:v>0</x:v>
      </x:c>
      <x:c r="F1014" t="n">
        <x:f>IF(C1014="밖",1,0)</x:f>
        <x:v>0</x:v>
      </x:c>
      <x:c r="G1014" t="n">
        <x:f>IF(OR(F1014=1,E1014=1),1,0)</x:f>
        <x:v>0</x:v>
      </x:c>
      <x:c r="H1014" t="str">
        <x:f>IF(B1014=1,IF(F1014=1,"TP","FN"),IF(F1014=1,"FP","TN"))</x:f>
        <x:v>TN</x:v>
      </x:c>
      <x:c r="I1014" t="str">
        <x:f>IF(B1014=1,IF(G1014=1,"TP","FN"),IF(G1014=1,"FP","TN"))</x:f>
        <x:v>TN</x:v>
      </x:c>
    </x:row>
    <x:row r="1015">
      <x:c r="A1015" t="str">
        <x:f>MiniCase_Data!A1015</x:f>
        <x:v>R01014</x:v>
      </x:c>
      <x:c r="B1015" t="n">
        <x:f>IF(MiniCase_Data!O1015="불합격",1,0)</x:f>
        <x:v>0</x:v>
      </x:c>
      <x:c r="C1015" t="str">
        <x:f>IF(ISBLANK(MiniCase_Data!H1015),"missing",IF(OR(MiniCase_Data!H1015&lt;27,MiniCase_Data!H1015&gt;33),"밖","안"))</x:f>
        <x:v>안</x:v>
      </x:c>
      <x:c r="D1015" t="n">
        <x:f>IF(ISBLANK(MiniCase_Data!H1015),VLOOKUP(A1015,센서로그!$A$2:$C$13,3,FALSE),MiniCase_Data!H1015)</x:f>
        <x:v>30.72</x:v>
      </x:c>
      <x:c r="E1015" t="n">
        <x:f>IF(AND(MiniCase_Data!C1015="야간",MiniCase_Data!F1015="M03"),1,0)</x:f>
        <x:v>0</x:v>
      </x:c>
      <x:c r="F1015" t="n">
        <x:f>IF(C1015="밖",1,0)</x:f>
        <x:v>0</x:v>
      </x:c>
      <x:c r="G1015" t="n">
        <x:f>IF(OR(F1015=1,E1015=1),1,0)</x:f>
        <x:v>0</x:v>
      </x:c>
      <x:c r="H1015" t="str">
        <x:f>IF(B1015=1,IF(F1015=1,"TP","FN"),IF(F1015=1,"FP","TN"))</x:f>
        <x:v>TN</x:v>
      </x:c>
      <x:c r="I1015" t="str">
        <x:f>IF(B1015=1,IF(G1015=1,"TP","FN"),IF(G1015=1,"FP","TN"))</x:f>
        <x:v>TN</x:v>
      </x:c>
    </x:row>
    <x:row r="1016">
      <x:c r="A1016" t="str">
        <x:f>MiniCase_Data!A1016</x:f>
        <x:v>R01015</x:v>
      </x:c>
      <x:c r="B1016" t="n">
        <x:f>IF(MiniCase_Data!O1016="불합격",1,0)</x:f>
        <x:v>0</x:v>
      </x:c>
      <x:c r="C1016" t="str">
        <x:f>IF(ISBLANK(MiniCase_Data!H1016),"missing",IF(OR(MiniCase_Data!H1016&lt;27,MiniCase_Data!H1016&gt;33),"밖","안"))</x:f>
        <x:v>안</x:v>
      </x:c>
      <x:c r="D1016" t="n">
        <x:f>IF(ISBLANK(MiniCase_Data!H1016),VLOOKUP(A1016,센서로그!$A$2:$C$13,3,FALSE),MiniCase_Data!H1016)</x:f>
        <x:v>29.5</x:v>
      </x:c>
      <x:c r="E1016" t="n">
        <x:f>IF(AND(MiniCase_Data!C1016="야간",MiniCase_Data!F1016="M03"),1,0)</x:f>
        <x:v>0</x:v>
      </x:c>
      <x:c r="F1016" t="n">
        <x:f>IF(C1016="밖",1,0)</x:f>
        <x:v>0</x:v>
      </x:c>
      <x:c r="G1016" t="n">
        <x:f>IF(OR(F1016=1,E1016=1),1,0)</x:f>
        <x:v>0</x:v>
      </x:c>
      <x:c r="H1016" t="str">
        <x:f>IF(B1016=1,IF(F1016=1,"TP","FN"),IF(F1016=1,"FP","TN"))</x:f>
        <x:v>TN</x:v>
      </x:c>
      <x:c r="I1016" t="str">
        <x:f>IF(B1016=1,IF(G1016=1,"TP","FN"),IF(G1016=1,"FP","TN"))</x:f>
        <x:v>TN</x:v>
      </x:c>
    </x:row>
    <x:row r="1017">
      <x:c r="A1017" t="str">
        <x:f>MiniCase_Data!A1017</x:f>
        <x:v>R01016</x:v>
      </x:c>
      <x:c r="B1017" t="n">
        <x:f>IF(MiniCase_Data!O1017="불합격",1,0)</x:f>
        <x:v>0</x:v>
      </x:c>
      <x:c r="C1017" t="str">
        <x:f>IF(ISBLANK(MiniCase_Data!H1017),"missing",IF(OR(MiniCase_Data!H1017&lt;27,MiniCase_Data!H1017&gt;33),"밖","안"))</x:f>
        <x:v>안</x:v>
      </x:c>
      <x:c r="D1017" t="n">
        <x:f>IF(ISBLANK(MiniCase_Data!H1017),VLOOKUP(A1017,센서로그!$A$2:$C$13,3,FALSE),MiniCase_Data!H1017)</x:f>
        <x:v>27.43</x:v>
      </x:c>
      <x:c r="E1017" t="n">
        <x:f>IF(AND(MiniCase_Data!C1017="야간",MiniCase_Data!F1017="M03"),1,0)</x:f>
        <x:v>0</x:v>
      </x:c>
      <x:c r="F1017" t="n">
        <x:f>IF(C1017="밖",1,0)</x:f>
        <x:v>0</x:v>
      </x:c>
      <x:c r="G1017" t="n">
        <x:f>IF(OR(F1017=1,E1017=1),1,0)</x:f>
        <x:v>0</x:v>
      </x:c>
      <x:c r="H1017" t="str">
        <x:f>IF(B1017=1,IF(F1017=1,"TP","FN"),IF(F1017=1,"FP","TN"))</x:f>
        <x:v>TN</x:v>
      </x:c>
      <x:c r="I1017" t="str">
        <x:f>IF(B1017=1,IF(G1017=1,"TP","FN"),IF(G1017=1,"FP","TN"))</x:f>
        <x:v>TN</x:v>
      </x:c>
    </x:row>
    <x:row r="1018">
      <x:c r="A1018" t="str">
        <x:f>MiniCase_Data!A1018</x:f>
        <x:v>R01017</x:v>
      </x:c>
      <x:c r="B1018" t="n">
        <x:f>IF(MiniCase_Data!O1018="불합격",1,0)</x:f>
        <x:v>0</x:v>
      </x:c>
      <x:c r="C1018" t="str">
        <x:f>IF(ISBLANK(MiniCase_Data!H1018),"missing",IF(OR(MiniCase_Data!H1018&lt;27,MiniCase_Data!H1018&gt;33),"밖","안"))</x:f>
        <x:v>안</x:v>
      </x:c>
      <x:c r="D1018" t="n">
        <x:f>IF(ISBLANK(MiniCase_Data!H1018),VLOOKUP(A1018,센서로그!$A$2:$C$13,3,FALSE),MiniCase_Data!H1018)</x:f>
        <x:v>29.47</x:v>
      </x:c>
      <x:c r="E1018" t="n">
        <x:f>IF(AND(MiniCase_Data!C1018="야간",MiniCase_Data!F1018="M03"),1,0)</x:f>
        <x:v>0</x:v>
      </x:c>
      <x:c r="F1018" t="n">
        <x:f>IF(C1018="밖",1,0)</x:f>
        <x:v>0</x:v>
      </x:c>
      <x:c r="G1018" t="n">
        <x:f>IF(OR(F1018=1,E1018=1),1,0)</x:f>
        <x:v>0</x:v>
      </x:c>
      <x:c r="H1018" t="str">
        <x:f>IF(B1018=1,IF(F1018=1,"TP","FN"),IF(F1018=1,"FP","TN"))</x:f>
        <x:v>TN</x:v>
      </x:c>
      <x:c r="I1018" t="str">
        <x:f>IF(B1018=1,IF(G1018=1,"TP","FN"),IF(G1018=1,"FP","TN"))</x:f>
        <x:v>TN</x:v>
      </x:c>
    </x:row>
    <x:row r="1019">
      <x:c r="A1019" t="str">
        <x:f>MiniCase_Data!A1019</x:f>
        <x:v>R01018</x:v>
      </x:c>
      <x:c r="B1019" t="n">
        <x:f>IF(MiniCase_Data!O1019="불합격",1,0)</x:f>
        <x:v>0</x:v>
      </x:c>
      <x:c r="C1019" t="str">
        <x:f>IF(ISBLANK(MiniCase_Data!H1019),"missing",IF(OR(MiniCase_Data!H1019&lt;27,MiniCase_Data!H1019&gt;33),"밖","안"))</x:f>
        <x:v>안</x:v>
      </x:c>
      <x:c r="D1019" t="n">
        <x:f>IF(ISBLANK(MiniCase_Data!H1019),VLOOKUP(A1019,센서로그!$A$2:$C$13,3,FALSE),MiniCase_Data!H1019)</x:f>
        <x:v>32.3</x:v>
      </x:c>
      <x:c r="E1019" t="n">
        <x:f>IF(AND(MiniCase_Data!C1019="야간",MiniCase_Data!F1019="M03"),1,0)</x:f>
        <x:v>0</x:v>
      </x:c>
      <x:c r="F1019" t="n">
        <x:f>IF(C1019="밖",1,0)</x:f>
        <x:v>0</x:v>
      </x:c>
      <x:c r="G1019" t="n">
        <x:f>IF(OR(F1019=1,E1019=1),1,0)</x:f>
        <x:v>0</x:v>
      </x:c>
      <x:c r="H1019" t="str">
        <x:f>IF(B1019=1,IF(F1019=1,"TP","FN"),IF(F1019=1,"FP","TN"))</x:f>
        <x:v>TN</x:v>
      </x:c>
      <x:c r="I1019" t="str">
        <x:f>IF(B1019=1,IF(G1019=1,"TP","FN"),IF(G1019=1,"FP","TN"))</x:f>
        <x:v>TN</x:v>
      </x:c>
    </x:row>
    <x:row r="1020">
      <x:c r="A1020" t="str">
        <x:f>MiniCase_Data!A1020</x:f>
        <x:v>R01019</x:v>
      </x:c>
      <x:c r="B1020" t="n">
        <x:f>IF(MiniCase_Data!O1020="불합격",1,0)</x:f>
        <x:v>0</x:v>
      </x:c>
      <x:c r="C1020" t="str">
        <x:f>IF(ISBLANK(MiniCase_Data!H1020),"missing",IF(OR(MiniCase_Data!H1020&lt;27,MiniCase_Data!H1020&gt;33),"밖","안"))</x:f>
        <x:v>안</x:v>
      </x:c>
      <x:c r="D1020" t="n">
        <x:f>IF(ISBLANK(MiniCase_Data!H1020),VLOOKUP(A1020,센서로그!$A$2:$C$13,3,FALSE),MiniCase_Data!H1020)</x:f>
        <x:v>31.44</x:v>
      </x:c>
      <x:c r="E1020" t="n">
        <x:f>IF(AND(MiniCase_Data!C1020="야간",MiniCase_Data!F1020="M03"),1,0)</x:f>
        <x:v>0</x:v>
      </x:c>
      <x:c r="F1020" t="n">
        <x:f>IF(C1020="밖",1,0)</x:f>
        <x:v>0</x:v>
      </x:c>
      <x:c r="G1020" t="n">
        <x:f>IF(OR(F1020=1,E1020=1),1,0)</x:f>
        <x:v>0</x:v>
      </x:c>
      <x:c r="H1020" t="str">
        <x:f>IF(B1020=1,IF(F1020=1,"TP","FN"),IF(F1020=1,"FP","TN"))</x:f>
        <x:v>TN</x:v>
      </x:c>
      <x:c r="I1020" t="str">
        <x:f>IF(B1020=1,IF(G1020=1,"TP","FN"),IF(G1020=1,"FP","TN"))</x:f>
        <x:v>TN</x:v>
      </x:c>
    </x:row>
    <x:row r="1021">
      <x:c r="A1021" t="str">
        <x:f>MiniCase_Data!A1021</x:f>
        <x:v>R01020</x:v>
      </x:c>
      <x:c r="B1021" t="n">
        <x:f>IF(MiniCase_Data!O1021="불합격",1,0)</x:f>
        <x:v>0</x:v>
      </x:c>
      <x:c r="C1021" t="str">
        <x:f>IF(ISBLANK(MiniCase_Data!H1021),"missing",IF(OR(MiniCase_Data!H1021&lt;27,MiniCase_Data!H1021&gt;33),"밖","안"))</x:f>
        <x:v>안</x:v>
      </x:c>
      <x:c r="D1021" t="n">
        <x:f>IF(ISBLANK(MiniCase_Data!H1021),VLOOKUP(A1021,센서로그!$A$2:$C$13,3,FALSE),MiniCase_Data!H1021)</x:f>
        <x:v>27.62</x:v>
      </x:c>
      <x:c r="E1021" t="n">
        <x:f>IF(AND(MiniCase_Data!C1021="야간",MiniCase_Data!F1021="M03"),1,0)</x:f>
        <x:v>0</x:v>
      </x:c>
      <x:c r="F1021" t="n">
        <x:f>IF(C1021="밖",1,0)</x:f>
        <x:v>0</x:v>
      </x:c>
      <x:c r="G1021" t="n">
        <x:f>IF(OR(F1021=1,E1021=1),1,0)</x:f>
        <x:v>0</x:v>
      </x:c>
      <x:c r="H1021" t="str">
        <x:f>IF(B1021=1,IF(F1021=1,"TP","FN"),IF(F1021=1,"FP","TN"))</x:f>
        <x:v>TN</x:v>
      </x:c>
      <x:c r="I1021" t="str">
        <x:f>IF(B1021=1,IF(G1021=1,"TP","FN"),IF(G1021=1,"FP","TN"))</x:f>
        <x:v>TN</x:v>
      </x:c>
    </x:row>
    <x:row r="1022">
      <x:c r="A1022" t="str">
        <x:f>MiniCase_Data!A1022</x:f>
        <x:v>R01021</x:v>
      </x:c>
      <x:c r="B1022" t="n">
        <x:f>IF(MiniCase_Data!O1022="불합격",1,0)</x:f>
        <x:v>0</x:v>
      </x:c>
      <x:c r="C1022" t="str">
        <x:f>IF(ISBLANK(MiniCase_Data!H1022),"missing",IF(OR(MiniCase_Data!H1022&lt;27,MiniCase_Data!H1022&gt;33),"밖","안"))</x:f>
        <x:v>안</x:v>
      </x:c>
      <x:c r="D1022" t="n">
        <x:f>IF(ISBLANK(MiniCase_Data!H1022),VLOOKUP(A1022,센서로그!$A$2:$C$13,3,FALSE),MiniCase_Data!H1022)</x:f>
        <x:v>29.87</x:v>
      </x:c>
      <x:c r="E1022" t="n">
        <x:f>IF(AND(MiniCase_Data!C1022="야간",MiniCase_Data!F1022="M03"),1,0)</x:f>
        <x:v>0</x:v>
      </x:c>
      <x:c r="F1022" t="n">
        <x:f>IF(C1022="밖",1,0)</x:f>
        <x:v>0</x:v>
      </x:c>
      <x:c r="G1022" t="n">
        <x:f>IF(OR(F1022=1,E1022=1),1,0)</x:f>
        <x:v>0</x:v>
      </x:c>
      <x:c r="H1022" t="str">
        <x:f>IF(B1022=1,IF(F1022=1,"TP","FN"),IF(F1022=1,"FP","TN"))</x:f>
        <x:v>TN</x:v>
      </x:c>
      <x:c r="I1022" t="str">
        <x:f>IF(B1022=1,IF(G1022=1,"TP","FN"),IF(G1022=1,"FP","TN"))</x:f>
        <x:v>TN</x:v>
      </x:c>
    </x:row>
    <x:row r="1023">
      <x:c r="A1023" t="str">
        <x:f>MiniCase_Data!A1023</x:f>
        <x:v>R01022</x:v>
      </x:c>
      <x:c r="B1023" t="n">
        <x:f>IF(MiniCase_Data!O1023="불합격",1,0)</x:f>
        <x:v>0</x:v>
      </x:c>
      <x:c r="C1023" t="str">
        <x:f>IF(ISBLANK(MiniCase_Data!H1023),"missing",IF(OR(MiniCase_Data!H1023&lt;27,MiniCase_Data!H1023&gt;33),"밖","안"))</x:f>
        <x:v>안</x:v>
      </x:c>
      <x:c r="D1023" t="n">
        <x:f>IF(ISBLANK(MiniCase_Data!H1023),VLOOKUP(A1023,센서로그!$A$2:$C$13,3,FALSE),MiniCase_Data!H1023)</x:f>
        <x:v>32.49</x:v>
      </x:c>
      <x:c r="E1023" t="n">
        <x:f>IF(AND(MiniCase_Data!C1023="야간",MiniCase_Data!F1023="M03"),1,0)</x:f>
        <x:v>0</x:v>
      </x:c>
      <x:c r="F1023" t="n">
        <x:f>IF(C1023="밖",1,0)</x:f>
        <x:v>0</x:v>
      </x:c>
      <x:c r="G1023" t="n">
        <x:f>IF(OR(F1023=1,E1023=1),1,0)</x:f>
        <x:v>0</x:v>
      </x:c>
      <x:c r="H1023" t="str">
        <x:f>IF(B1023=1,IF(F1023=1,"TP","FN"),IF(F1023=1,"FP","TN"))</x:f>
        <x:v>TN</x:v>
      </x:c>
      <x:c r="I1023" t="str">
        <x:f>IF(B1023=1,IF(G1023=1,"TP","FN"),IF(G1023=1,"FP","TN"))</x:f>
        <x:v>TN</x:v>
      </x:c>
    </x:row>
    <x:row r="1024">
      <x:c r="A1024" t="str">
        <x:f>MiniCase_Data!A1024</x:f>
        <x:v>R01023</x:v>
      </x:c>
      <x:c r="B1024" t="n">
        <x:f>IF(MiniCase_Data!O1024="불합격",1,0)</x:f>
        <x:v>0</x:v>
      </x:c>
      <x:c r="C1024" t="str">
        <x:f>IF(ISBLANK(MiniCase_Data!H1024),"missing",IF(OR(MiniCase_Data!H1024&lt;27,MiniCase_Data!H1024&gt;33),"밖","안"))</x:f>
        <x:v>안</x:v>
      </x:c>
      <x:c r="D1024" t="n">
        <x:f>IF(ISBLANK(MiniCase_Data!H1024),VLOOKUP(A1024,센서로그!$A$2:$C$13,3,FALSE),MiniCase_Data!H1024)</x:f>
        <x:v>31.68</x:v>
      </x:c>
      <x:c r="E1024" t="n">
        <x:f>IF(AND(MiniCase_Data!C1024="야간",MiniCase_Data!F1024="M03"),1,0)</x:f>
        <x:v>0</x:v>
      </x:c>
      <x:c r="F1024" t="n">
        <x:f>IF(C1024="밖",1,0)</x:f>
        <x:v>0</x:v>
      </x:c>
      <x:c r="G1024" t="n">
        <x:f>IF(OR(F1024=1,E1024=1),1,0)</x:f>
        <x:v>0</x:v>
      </x:c>
      <x:c r="H1024" t="str">
        <x:f>IF(B1024=1,IF(F1024=1,"TP","FN"),IF(F1024=1,"FP","TN"))</x:f>
        <x:v>TN</x:v>
      </x:c>
      <x:c r="I1024" t="str">
        <x:f>IF(B1024=1,IF(G1024=1,"TP","FN"),IF(G1024=1,"FP","TN"))</x:f>
        <x:v>TN</x:v>
      </x:c>
    </x:row>
    <x:row r="1025">
      <x:c r="A1025" t="str">
        <x:f>MiniCase_Data!A1025</x:f>
        <x:v>R01024</x:v>
      </x:c>
      <x:c r="B1025" t="n">
        <x:f>IF(MiniCase_Data!O1025="불합격",1,0)</x:f>
        <x:v>1</x:v>
      </x:c>
      <x:c r="C1025" t="str">
        <x:f>IF(ISBLANK(MiniCase_Data!H1025),"missing",IF(OR(MiniCase_Data!H1025&lt;27,MiniCase_Data!H1025&gt;33),"밖","안"))</x:f>
        <x:v>안</x:v>
      </x:c>
      <x:c r="D1025" t="n">
        <x:f>IF(ISBLANK(MiniCase_Data!H1025),VLOOKUP(A1025,센서로그!$A$2:$C$13,3,FALSE),MiniCase_Data!H1025)</x:f>
        <x:v>32.74</x:v>
      </x:c>
      <x:c r="E1025" t="n">
        <x:f>IF(AND(MiniCase_Data!C1025="야간",MiniCase_Data!F1025="M03"),1,0)</x:f>
        <x:v>1</x:v>
      </x:c>
      <x:c r="F1025" t="n">
        <x:f>IF(C1025="밖",1,0)</x:f>
        <x:v>0</x:v>
      </x:c>
      <x:c r="G1025" t="n">
        <x:f>IF(OR(F1025=1,E1025=1),1,0)</x:f>
        <x:v>1</x:v>
      </x:c>
      <x:c r="H1025" t="str">
        <x:f>IF(B1025=1,IF(F1025=1,"TP","FN"),IF(F1025=1,"FP","TN"))</x:f>
        <x:v>FN</x:v>
      </x:c>
      <x:c r="I1025" t="str">
        <x:f>IF(B1025=1,IF(G1025=1,"TP","FN"),IF(G1025=1,"FP","TN"))</x:f>
        <x:v>TP</x:v>
      </x:c>
    </x:row>
    <x:row r="1026">
      <x:c r="A1026" t="str">
        <x:f>MiniCase_Data!A1026</x:f>
        <x:v>R01025</x:v>
      </x:c>
      <x:c r="B1026" t="n">
        <x:f>IF(MiniCase_Data!O1026="불합격",1,0)</x:f>
        <x:v>0</x:v>
      </x:c>
      <x:c r="C1026" t="str">
        <x:f>IF(ISBLANK(MiniCase_Data!H1026),"missing",IF(OR(MiniCase_Data!H1026&lt;27,MiniCase_Data!H1026&gt;33),"밖","안"))</x:f>
        <x:v>안</x:v>
      </x:c>
      <x:c r="D1026" t="n">
        <x:f>IF(ISBLANK(MiniCase_Data!H1026),VLOOKUP(A1026,센서로그!$A$2:$C$13,3,FALSE),MiniCase_Data!H1026)</x:f>
        <x:v>30.49</x:v>
      </x:c>
      <x:c r="E1026" t="n">
        <x:f>IF(AND(MiniCase_Data!C1026="야간",MiniCase_Data!F1026="M03"),1,0)</x:f>
        <x:v>0</x:v>
      </x:c>
      <x:c r="F1026" t="n">
        <x:f>IF(C1026="밖",1,0)</x:f>
        <x:v>0</x:v>
      </x:c>
      <x:c r="G1026" t="n">
        <x:f>IF(OR(F1026=1,E1026=1),1,0)</x:f>
        <x:v>0</x:v>
      </x:c>
      <x:c r="H1026" t="str">
        <x:f>IF(B1026=1,IF(F1026=1,"TP","FN"),IF(F1026=1,"FP","TN"))</x:f>
        <x:v>TN</x:v>
      </x:c>
      <x:c r="I1026" t="str">
        <x:f>IF(B1026=1,IF(G1026=1,"TP","FN"),IF(G1026=1,"FP","TN"))</x:f>
        <x:v>TN</x:v>
      </x:c>
    </x:row>
    <x:row r="1027">
      <x:c r="A1027" t="str">
        <x:f>MiniCase_Data!A1027</x:f>
        <x:v>R01026</x:v>
      </x:c>
      <x:c r="B1027" t="n">
        <x:f>IF(MiniCase_Data!O1027="불합격",1,0)</x:f>
        <x:v>0</x:v>
      </x:c>
      <x:c r="C1027" t="str">
        <x:f>IF(ISBLANK(MiniCase_Data!H1027),"missing",IF(OR(MiniCase_Data!H1027&lt;27,MiniCase_Data!H1027&gt;33),"밖","안"))</x:f>
        <x:v>안</x:v>
      </x:c>
      <x:c r="D1027" t="n">
        <x:f>IF(ISBLANK(MiniCase_Data!H1027),VLOOKUP(A1027,센서로그!$A$2:$C$13,3,FALSE),MiniCase_Data!H1027)</x:f>
        <x:v>29.08</x:v>
      </x:c>
      <x:c r="E1027" t="n">
        <x:f>IF(AND(MiniCase_Data!C1027="야간",MiniCase_Data!F1027="M03"),1,0)</x:f>
        <x:v>0</x:v>
      </x:c>
      <x:c r="F1027" t="n">
        <x:f>IF(C1027="밖",1,0)</x:f>
        <x:v>0</x:v>
      </x:c>
      <x:c r="G1027" t="n">
        <x:f>IF(OR(F1027=1,E1027=1),1,0)</x:f>
        <x:v>0</x:v>
      </x:c>
      <x:c r="H1027" t="str">
        <x:f>IF(B1027=1,IF(F1027=1,"TP","FN"),IF(F1027=1,"FP","TN"))</x:f>
        <x:v>TN</x:v>
      </x:c>
      <x:c r="I1027" t="str">
        <x:f>IF(B1027=1,IF(G1027=1,"TP","FN"),IF(G1027=1,"FP","TN"))</x:f>
        <x:v>TN</x:v>
      </x:c>
    </x:row>
    <x:row r="1028">
      <x:c r="A1028" t="str">
        <x:f>MiniCase_Data!A1028</x:f>
        <x:v>R01027</x:v>
      </x:c>
      <x:c r="B1028" t="n">
        <x:f>IF(MiniCase_Data!O1028="불합격",1,0)</x:f>
        <x:v>0</x:v>
      </x:c>
      <x:c r="C1028" t="str">
        <x:f>IF(ISBLANK(MiniCase_Data!H1028),"missing",IF(OR(MiniCase_Data!H1028&lt;27,MiniCase_Data!H1028&gt;33),"밖","안"))</x:f>
        <x:v>안</x:v>
      </x:c>
      <x:c r="D1028" t="n">
        <x:f>IF(ISBLANK(MiniCase_Data!H1028),VLOOKUP(A1028,센서로그!$A$2:$C$13,3,FALSE),MiniCase_Data!H1028)</x:f>
        <x:v>27.72</x:v>
      </x:c>
      <x:c r="E1028" t="n">
        <x:f>IF(AND(MiniCase_Data!C1028="야간",MiniCase_Data!F1028="M03"),1,0)</x:f>
        <x:v>0</x:v>
      </x:c>
      <x:c r="F1028" t="n">
        <x:f>IF(C1028="밖",1,0)</x:f>
        <x:v>0</x:v>
      </x:c>
      <x:c r="G1028" t="n">
        <x:f>IF(OR(F1028=1,E1028=1),1,0)</x:f>
        <x:v>0</x:v>
      </x:c>
      <x:c r="H1028" t="str">
        <x:f>IF(B1028=1,IF(F1028=1,"TP","FN"),IF(F1028=1,"FP","TN"))</x:f>
        <x:v>TN</x:v>
      </x:c>
      <x:c r="I1028" t="str">
        <x:f>IF(B1028=1,IF(G1028=1,"TP","FN"),IF(G1028=1,"FP","TN"))</x:f>
        <x:v>TN</x:v>
      </x:c>
    </x:row>
    <x:row r="1029">
      <x:c r="A1029" t="str">
        <x:f>MiniCase_Data!A1029</x:f>
        <x:v>R01028</x:v>
      </x:c>
      <x:c r="B1029" t="n">
        <x:f>IF(MiniCase_Data!O1029="불합격",1,0)</x:f>
        <x:v>0</x:v>
      </x:c>
      <x:c r="C1029" t="str">
        <x:f>IF(ISBLANK(MiniCase_Data!H1029),"missing",IF(OR(MiniCase_Data!H1029&lt;27,MiniCase_Data!H1029&gt;33),"밖","안"))</x:f>
        <x:v>안</x:v>
      </x:c>
      <x:c r="D1029" t="n">
        <x:f>IF(ISBLANK(MiniCase_Data!H1029),VLOOKUP(A1029,센서로그!$A$2:$C$13,3,FALSE),MiniCase_Data!H1029)</x:f>
        <x:v>27.49</x:v>
      </x:c>
      <x:c r="E1029" t="n">
        <x:f>IF(AND(MiniCase_Data!C1029="야간",MiniCase_Data!F1029="M03"),1,0)</x:f>
        <x:v>0</x:v>
      </x:c>
      <x:c r="F1029" t="n">
        <x:f>IF(C1029="밖",1,0)</x:f>
        <x:v>0</x:v>
      </x:c>
      <x:c r="G1029" t="n">
        <x:f>IF(OR(F1029=1,E1029=1),1,0)</x:f>
        <x:v>0</x:v>
      </x:c>
      <x:c r="H1029" t="str">
        <x:f>IF(B1029=1,IF(F1029=1,"TP","FN"),IF(F1029=1,"FP","TN"))</x:f>
        <x:v>TN</x:v>
      </x:c>
      <x:c r="I1029" t="str">
        <x:f>IF(B1029=1,IF(G1029=1,"TP","FN"),IF(G1029=1,"FP","TN"))</x:f>
        <x:v>TN</x:v>
      </x:c>
    </x:row>
    <x:row r="1030">
      <x:c r="A1030" t="str">
        <x:f>MiniCase_Data!A1030</x:f>
        <x:v>R01029</x:v>
      </x:c>
      <x:c r="B1030" t="n">
        <x:f>IF(MiniCase_Data!O1030="불합격",1,0)</x:f>
        <x:v>0</x:v>
      </x:c>
      <x:c r="C1030" t="str">
        <x:f>IF(ISBLANK(MiniCase_Data!H1030),"missing",IF(OR(MiniCase_Data!H1030&lt;27,MiniCase_Data!H1030&gt;33),"밖","안"))</x:f>
        <x:v>안</x:v>
      </x:c>
      <x:c r="D1030" t="n">
        <x:f>IF(ISBLANK(MiniCase_Data!H1030),VLOOKUP(A1030,센서로그!$A$2:$C$13,3,FALSE),MiniCase_Data!H1030)</x:f>
        <x:v>28.46</x:v>
      </x:c>
      <x:c r="E1030" t="n">
        <x:f>IF(AND(MiniCase_Data!C1030="야간",MiniCase_Data!F1030="M03"),1,0)</x:f>
        <x:v>0</x:v>
      </x:c>
      <x:c r="F1030" t="n">
        <x:f>IF(C1030="밖",1,0)</x:f>
        <x:v>0</x:v>
      </x:c>
      <x:c r="G1030" t="n">
        <x:f>IF(OR(F1030=1,E1030=1),1,0)</x:f>
        <x:v>0</x:v>
      </x:c>
      <x:c r="H1030" t="str">
        <x:f>IF(B1030=1,IF(F1030=1,"TP","FN"),IF(F1030=1,"FP","TN"))</x:f>
        <x:v>TN</x:v>
      </x:c>
      <x:c r="I1030" t="str">
        <x:f>IF(B1030=1,IF(G1030=1,"TP","FN"),IF(G1030=1,"FP","TN"))</x:f>
        <x:v>TN</x:v>
      </x:c>
    </x:row>
    <x:row r="1031">
      <x:c r="A1031" t="str">
        <x:f>MiniCase_Data!A1031</x:f>
        <x:v>R01030</x:v>
      </x:c>
      <x:c r="B1031" t="n">
        <x:f>IF(MiniCase_Data!O1031="불합격",1,0)</x:f>
        <x:v>0</x:v>
      </x:c>
      <x:c r="C1031" t="str">
        <x:f>IF(ISBLANK(MiniCase_Data!H1031),"missing",IF(OR(MiniCase_Data!H1031&lt;27,MiniCase_Data!H1031&gt;33),"밖","안"))</x:f>
        <x:v>안</x:v>
      </x:c>
      <x:c r="D1031" t="n">
        <x:f>IF(ISBLANK(MiniCase_Data!H1031),VLOOKUP(A1031,센서로그!$A$2:$C$13,3,FALSE),MiniCase_Data!H1031)</x:f>
        <x:v>27.82</x:v>
      </x:c>
      <x:c r="E1031" t="n">
        <x:f>IF(AND(MiniCase_Data!C1031="야간",MiniCase_Data!F1031="M03"),1,0)</x:f>
        <x:v>0</x:v>
      </x:c>
      <x:c r="F1031" t="n">
        <x:f>IF(C1031="밖",1,0)</x:f>
        <x:v>0</x:v>
      </x:c>
      <x:c r="G1031" t="n">
        <x:f>IF(OR(F1031=1,E1031=1),1,0)</x:f>
        <x:v>0</x:v>
      </x:c>
      <x:c r="H1031" t="str">
        <x:f>IF(B1031=1,IF(F1031=1,"TP","FN"),IF(F1031=1,"FP","TN"))</x:f>
        <x:v>TN</x:v>
      </x:c>
      <x:c r="I1031" t="str">
        <x:f>IF(B1031=1,IF(G1031=1,"TP","FN"),IF(G1031=1,"FP","TN"))</x:f>
        <x:v>TN</x:v>
      </x:c>
    </x:row>
    <x:row r="1032">
      <x:c r="A1032" t="str">
        <x:f>MiniCase_Data!A1032</x:f>
        <x:v>R01031</x:v>
      </x:c>
      <x:c r="B1032" t="n">
        <x:f>IF(MiniCase_Data!O1032="불합격",1,0)</x:f>
        <x:v>0</x:v>
      </x:c>
      <x:c r="C1032" t="str">
        <x:f>IF(ISBLANK(MiniCase_Data!H1032),"missing",IF(OR(MiniCase_Data!H1032&lt;27,MiniCase_Data!H1032&gt;33),"밖","안"))</x:f>
        <x:v>안</x:v>
      </x:c>
      <x:c r="D1032" t="n">
        <x:f>IF(ISBLANK(MiniCase_Data!H1032),VLOOKUP(A1032,센서로그!$A$2:$C$13,3,FALSE),MiniCase_Data!H1032)</x:f>
        <x:v>28.24</x:v>
      </x:c>
      <x:c r="E1032" t="n">
        <x:f>IF(AND(MiniCase_Data!C1032="야간",MiniCase_Data!F1032="M03"),1,0)</x:f>
        <x:v>0</x:v>
      </x:c>
      <x:c r="F1032" t="n">
        <x:f>IF(C1032="밖",1,0)</x:f>
        <x:v>0</x:v>
      </x:c>
      <x:c r="G1032" t="n">
        <x:f>IF(OR(F1032=1,E1032=1),1,0)</x:f>
        <x:v>0</x:v>
      </x:c>
      <x:c r="H1032" t="str">
        <x:f>IF(B1032=1,IF(F1032=1,"TP","FN"),IF(F1032=1,"FP","TN"))</x:f>
        <x:v>TN</x:v>
      </x:c>
      <x:c r="I1032" t="str">
        <x:f>IF(B1032=1,IF(G1032=1,"TP","FN"),IF(G1032=1,"FP","TN"))</x:f>
        <x:v>TN</x:v>
      </x:c>
    </x:row>
    <x:row r="1033">
      <x:c r="A1033" t="str">
        <x:f>MiniCase_Data!A1033</x:f>
        <x:v>R01032</x:v>
      </x:c>
      <x:c r="B1033" t="n">
        <x:f>IF(MiniCase_Data!O1033="불합격",1,0)</x:f>
        <x:v>0</x:v>
      </x:c>
      <x:c r="C1033" t="str">
        <x:f>IF(ISBLANK(MiniCase_Data!H1033),"missing",IF(OR(MiniCase_Data!H1033&lt;27,MiniCase_Data!H1033&gt;33),"밖","안"))</x:f>
        <x:v>안</x:v>
      </x:c>
      <x:c r="D1033" t="n">
        <x:f>IF(ISBLANK(MiniCase_Data!H1033),VLOOKUP(A1033,센서로그!$A$2:$C$13,3,FALSE),MiniCase_Data!H1033)</x:f>
        <x:v>29.99</x:v>
      </x:c>
      <x:c r="E1033" t="n">
        <x:f>IF(AND(MiniCase_Data!C1033="야간",MiniCase_Data!F1033="M03"),1,0)</x:f>
        <x:v>0</x:v>
      </x:c>
      <x:c r="F1033" t="n">
        <x:f>IF(C1033="밖",1,0)</x:f>
        <x:v>0</x:v>
      </x:c>
      <x:c r="G1033" t="n">
        <x:f>IF(OR(F1033=1,E1033=1),1,0)</x:f>
        <x:v>0</x:v>
      </x:c>
      <x:c r="H1033" t="str">
        <x:f>IF(B1033=1,IF(F1033=1,"TP","FN"),IF(F1033=1,"FP","TN"))</x:f>
        <x:v>TN</x:v>
      </x:c>
      <x:c r="I1033" t="str">
        <x:f>IF(B1033=1,IF(G1033=1,"TP","FN"),IF(G1033=1,"FP","TN"))</x:f>
        <x:v>TN</x:v>
      </x:c>
    </x:row>
    <x:row r="1034">
      <x:c r="A1034" t="str">
        <x:f>MiniCase_Data!A1034</x:f>
        <x:v>R01033</x:v>
      </x:c>
      <x:c r="B1034" t="n">
        <x:f>IF(MiniCase_Data!O1034="불합격",1,0)</x:f>
        <x:v>0</x:v>
      </x:c>
      <x:c r="C1034" t="str">
        <x:f>IF(ISBLANK(MiniCase_Data!H1034),"missing",IF(OR(MiniCase_Data!H1034&lt;27,MiniCase_Data!H1034&gt;33),"밖","안"))</x:f>
        <x:v>안</x:v>
      </x:c>
      <x:c r="D1034" t="n">
        <x:f>IF(ISBLANK(MiniCase_Data!H1034),VLOOKUP(A1034,센서로그!$A$2:$C$13,3,FALSE),MiniCase_Data!H1034)</x:f>
        <x:v>30.31</x:v>
      </x:c>
      <x:c r="E1034" t="n">
        <x:f>IF(AND(MiniCase_Data!C1034="야간",MiniCase_Data!F1034="M03"),1,0)</x:f>
        <x:v>0</x:v>
      </x:c>
      <x:c r="F1034" t="n">
        <x:f>IF(C1034="밖",1,0)</x:f>
        <x:v>0</x:v>
      </x:c>
      <x:c r="G1034" t="n">
        <x:f>IF(OR(F1034=1,E1034=1),1,0)</x:f>
        <x:v>0</x:v>
      </x:c>
      <x:c r="H1034" t="str">
        <x:f>IF(B1034=1,IF(F1034=1,"TP","FN"),IF(F1034=1,"FP","TN"))</x:f>
        <x:v>TN</x:v>
      </x:c>
      <x:c r="I1034" t="str">
        <x:f>IF(B1034=1,IF(G1034=1,"TP","FN"),IF(G1034=1,"FP","TN"))</x:f>
        <x:v>TN</x:v>
      </x:c>
    </x:row>
    <x:row r="1035">
      <x:c r="A1035" t="str">
        <x:f>MiniCase_Data!A1035</x:f>
        <x:v>R01034</x:v>
      </x:c>
      <x:c r="B1035" t="n">
        <x:f>IF(MiniCase_Data!O1035="불합격",1,0)</x:f>
        <x:v>0</x:v>
      </x:c>
      <x:c r="C1035" t="str">
        <x:f>IF(ISBLANK(MiniCase_Data!H1035),"missing",IF(OR(MiniCase_Data!H1035&lt;27,MiniCase_Data!H1035&gt;33),"밖","안"))</x:f>
        <x:v>안</x:v>
      </x:c>
      <x:c r="D1035" t="n">
        <x:f>IF(ISBLANK(MiniCase_Data!H1035),VLOOKUP(A1035,센서로그!$A$2:$C$13,3,FALSE),MiniCase_Data!H1035)</x:f>
        <x:v>32.13</x:v>
      </x:c>
      <x:c r="E1035" t="n">
        <x:f>IF(AND(MiniCase_Data!C1035="야간",MiniCase_Data!F1035="M03"),1,0)</x:f>
        <x:v>0</x:v>
      </x:c>
      <x:c r="F1035" t="n">
        <x:f>IF(C1035="밖",1,0)</x:f>
        <x:v>0</x:v>
      </x:c>
      <x:c r="G1035" t="n">
        <x:f>IF(OR(F1035=1,E1035=1),1,0)</x:f>
        <x:v>0</x:v>
      </x:c>
      <x:c r="H1035" t="str">
        <x:f>IF(B1035=1,IF(F1035=1,"TP","FN"),IF(F1035=1,"FP","TN"))</x:f>
        <x:v>TN</x:v>
      </x:c>
      <x:c r="I1035" t="str">
        <x:f>IF(B1035=1,IF(G1035=1,"TP","FN"),IF(G1035=1,"FP","TN"))</x:f>
        <x:v>TN</x:v>
      </x:c>
    </x:row>
    <x:row r="1036">
      <x:c r="A1036" t="str">
        <x:f>MiniCase_Data!A1036</x:f>
        <x:v>R01035</x:v>
      </x:c>
      <x:c r="B1036" t="n">
        <x:f>IF(MiniCase_Data!O1036="불합격",1,0)</x:f>
        <x:v>0</x:v>
      </x:c>
      <x:c r="C1036" t="str">
        <x:f>IF(ISBLANK(MiniCase_Data!H1036),"missing",IF(OR(MiniCase_Data!H1036&lt;27,MiniCase_Data!H1036&gt;33),"밖","안"))</x:f>
        <x:v>안</x:v>
      </x:c>
      <x:c r="D1036" t="n">
        <x:f>IF(ISBLANK(MiniCase_Data!H1036),VLOOKUP(A1036,센서로그!$A$2:$C$13,3,FALSE),MiniCase_Data!H1036)</x:f>
        <x:v>30.74</x:v>
      </x:c>
      <x:c r="E1036" t="n">
        <x:f>IF(AND(MiniCase_Data!C1036="야간",MiniCase_Data!F1036="M03"),1,0)</x:f>
        <x:v>0</x:v>
      </x:c>
      <x:c r="F1036" t="n">
        <x:f>IF(C1036="밖",1,0)</x:f>
        <x:v>0</x:v>
      </x:c>
      <x:c r="G1036" t="n">
        <x:f>IF(OR(F1036=1,E1036=1),1,0)</x:f>
        <x:v>0</x:v>
      </x:c>
      <x:c r="H1036" t="str">
        <x:f>IF(B1036=1,IF(F1036=1,"TP","FN"),IF(F1036=1,"FP","TN"))</x:f>
        <x:v>TN</x:v>
      </x:c>
      <x:c r="I1036" t="str">
        <x:f>IF(B1036=1,IF(G1036=1,"TP","FN"),IF(G1036=1,"FP","TN"))</x:f>
        <x:v>TN</x:v>
      </x:c>
    </x:row>
    <x:row r="1037">
      <x:c r="A1037" t="str">
        <x:f>MiniCase_Data!A1037</x:f>
        <x:v>R01036</x:v>
      </x:c>
      <x:c r="B1037" t="n">
        <x:f>IF(MiniCase_Data!O1037="불합격",1,0)</x:f>
        <x:v>0</x:v>
      </x:c>
      <x:c r="C1037" t="str">
        <x:f>IF(ISBLANK(MiniCase_Data!H1037),"missing",IF(OR(MiniCase_Data!H1037&lt;27,MiniCase_Data!H1037&gt;33),"밖","안"))</x:f>
        <x:v>안</x:v>
      </x:c>
      <x:c r="D1037" t="n">
        <x:f>IF(ISBLANK(MiniCase_Data!H1037),VLOOKUP(A1037,센서로그!$A$2:$C$13,3,FALSE),MiniCase_Data!H1037)</x:f>
        <x:v>30.72</x:v>
      </x:c>
      <x:c r="E1037" t="n">
        <x:f>IF(AND(MiniCase_Data!C1037="야간",MiniCase_Data!F1037="M03"),1,0)</x:f>
        <x:v>0</x:v>
      </x:c>
      <x:c r="F1037" t="n">
        <x:f>IF(C1037="밖",1,0)</x:f>
        <x:v>0</x:v>
      </x:c>
      <x:c r="G1037" t="n">
        <x:f>IF(OR(F1037=1,E1037=1),1,0)</x:f>
        <x:v>0</x:v>
      </x:c>
      <x:c r="H1037" t="str">
        <x:f>IF(B1037=1,IF(F1037=1,"TP","FN"),IF(F1037=1,"FP","TN"))</x:f>
        <x:v>TN</x:v>
      </x:c>
      <x:c r="I1037" t="str">
        <x:f>IF(B1037=1,IF(G1037=1,"TP","FN"),IF(G1037=1,"FP","TN"))</x:f>
        <x:v>TN</x:v>
      </x:c>
    </x:row>
    <x:row r="1038">
      <x:c r="A1038" t="str">
        <x:f>MiniCase_Data!A1038</x:f>
        <x:v>R01037</x:v>
      </x:c>
      <x:c r="B1038" t="n">
        <x:f>IF(MiniCase_Data!O1038="불합격",1,0)</x:f>
        <x:v>0</x:v>
      </x:c>
      <x:c r="C1038" t="str">
        <x:f>IF(ISBLANK(MiniCase_Data!H1038),"missing",IF(OR(MiniCase_Data!H1038&lt;27,MiniCase_Data!H1038&gt;33),"밖","안"))</x:f>
        <x:v>안</x:v>
      </x:c>
      <x:c r="D1038" t="n">
        <x:f>IF(ISBLANK(MiniCase_Data!H1038),VLOOKUP(A1038,센서로그!$A$2:$C$13,3,FALSE),MiniCase_Data!H1038)</x:f>
        <x:v>29.88</x:v>
      </x:c>
      <x:c r="E1038" t="n">
        <x:f>IF(AND(MiniCase_Data!C1038="야간",MiniCase_Data!F1038="M03"),1,0)</x:f>
        <x:v>0</x:v>
      </x:c>
      <x:c r="F1038" t="n">
        <x:f>IF(C1038="밖",1,0)</x:f>
        <x:v>0</x:v>
      </x:c>
      <x:c r="G1038" t="n">
        <x:f>IF(OR(F1038=1,E1038=1),1,0)</x:f>
        <x:v>0</x:v>
      </x:c>
      <x:c r="H1038" t="str">
        <x:f>IF(B1038=1,IF(F1038=1,"TP","FN"),IF(F1038=1,"FP","TN"))</x:f>
        <x:v>TN</x:v>
      </x:c>
      <x:c r="I1038" t="str">
        <x:f>IF(B1038=1,IF(G1038=1,"TP","FN"),IF(G1038=1,"FP","TN"))</x:f>
        <x:v>TN</x:v>
      </x:c>
    </x:row>
    <x:row r="1039">
      <x:c r="A1039" t="str">
        <x:f>MiniCase_Data!A1039</x:f>
        <x:v>R01038</x:v>
      </x:c>
      <x:c r="B1039" t="n">
        <x:f>IF(MiniCase_Data!O1039="불합격",1,0)</x:f>
        <x:v>0</x:v>
      </x:c>
      <x:c r="C1039" t="str">
        <x:f>IF(ISBLANK(MiniCase_Data!H1039),"missing",IF(OR(MiniCase_Data!H1039&lt;27,MiniCase_Data!H1039&gt;33),"밖","안"))</x:f>
        <x:v>안</x:v>
      </x:c>
      <x:c r="D1039" t="n">
        <x:f>IF(ISBLANK(MiniCase_Data!H1039),VLOOKUP(A1039,센서로그!$A$2:$C$13,3,FALSE),MiniCase_Data!H1039)</x:f>
        <x:v>31.21</x:v>
      </x:c>
      <x:c r="E1039" t="n">
        <x:f>IF(AND(MiniCase_Data!C1039="야간",MiniCase_Data!F1039="M03"),1,0)</x:f>
        <x:v>0</x:v>
      </x:c>
      <x:c r="F1039" t="n">
        <x:f>IF(C1039="밖",1,0)</x:f>
        <x:v>0</x:v>
      </x:c>
      <x:c r="G1039" t="n">
        <x:f>IF(OR(F1039=1,E1039=1),1,0)</x:f>
        <x:v>0</x:v>
      </x:c>
      <x:c r="H1039" t="str">
        <x:f>IF(B1039=1,IF(F1039=1,"TP","FN"),IF(F1039=1,"FP","TN"))</x:f>
        <x:v>TN</x:v>
      </x:c>
      <x:c r="I1039" t="str">
        <x:f>IF(B1039=1,IF(G1039=1,"TP","FN"),IF(G1039=1,"FP","TN"))</x:f>
        <x:v>TN</x:v>
      </x:c>
    </x:row>
    <x:row r="1040">
      <x:c r="A1040" t="str">
        <x:f>MiniCase_Data!A1040</x:f>
        <x:v>R01039</x:v>
      </x:c>
      <x:c r="B1040" t="n">
        <x:f>IF(MiniCase_Data!O1040="불합격",1,0)</x:f>
        <x:v>0</x:v>
      </x:c>
      <x:c r="C1040" t="str">
        <x:f>IF(ISBLANK(MiniCase_Data!H1040),"missing",IF(OR(MiniCase_Data!H1040&lt;27,MiniCase_Data!H1040&gt;33),"밖","안"))</x:f>
        <x:v>안</x:v>
      </x:c>
      <x:c r="D1040" t="n">
        <x:f>IF(ISBLANK(MiniCase_Data!H1040),VLOOKUP(A1040,센서로그!$A$2:$C$13,3,FALSE),MiniCase_Data!H1040)</x:f>
        <x:v>28.59</x:v>
      </x:c>
      <x:c r="E1040" t="n">
        <x:f>IF(AND(MiniCase_Data!C1040="야간",MiniCase_Data!F1040="M03"),1,0)</x:f>
        <x:v>0</x:v>
      </x:c>
      <x:c r="F1040" t="n">
        <x:f>IF(C1040="밖",1,0)</x:f>
        <x:v>0</x:v>
      </x:c>
      <x:c r="G1040" t="n">
        <x:f>IF(OR(F1040=1,E1040=1),1,0)</x:f>
        <x:v>0</x:v>
      </x:c>
      <x:c r="H1040" t="str">
        <x:f>IF(B1040=1,IF(F1040=1,"TP","FN"),IF(F1040=1,"FP","TN"))</x:f>
        <x:v>TN</x:v>
      </x:c>
      <x:c r="I1040" t="str">
        <x:f>IF(B1040=1,IF(G1040=1,"TP","FN"),IF(G1040=1,"FP","TN"))</x:f>
        <x:v>TN</x:v>
      </x:c>
    </x:row>
    <x:row r="1041">
      <x:c r="A1041" t="str">
        <x:f>MiniCase_Data!A1041</x:f>
        <x:v>R01040</x:v>
      </x:c>
      <x:c r="B1041" t="n">
        <x:f>IF(MiniCase_Data!O1041="불합격",1,0)</x:f>
        <x:v>0</x:v>
      </x:c>
      <x:c r="C1041" t="str">
        <x:f>IF(ISBLANK(MiniCase_Data!H1041),"missing",IF(OR(MiniCase_Data!H1041&lt;27,MiniCase_Data!H1041&gt;33),"밖","안"))</x:f>
        <x:v>안</x:v>
      </x:c>
      <x:c r="D1041" t="n">
        <x:f>IF(ISBLANK(MiniCase_Data!H1041),VLOOKUP(A1041,센서로그!$A$2:$C$13,3,FALSE),MiniCase_Data!H1041)</x:f>
        <x:v>30.3</x:v>
      </x:c>
      <x:c r="E1041" t="n">
        <x:f>IF(AND(MiniCase_Data!C1041="야간",MiniCase_Data!F1041="M03"),1,0)</x:f>
        <x:v>0</x:v>
      </x:c>
      <x:c r="F1041" t="n">
        <x:f>IF(C1041="밖",1,0)</x:f>
        <x:v>0</x:v>
      </x:c>
      <x:c r="G1041" t="n">
        <x:f>IF(OR(F1041=1,E1041=1),1,0)</x:f>
        <x:v>0</x:v>
      </x:c>
      <x:c r="H1041" t="str">
        <x:f>IF(B1041=1,IF(F1041=1,"TP","FN"),IF(F1041=1,"FP","TN"))</x:f>
        <x:v>TN</x:v>
      </x:c>
      <x:c r="I1041" t="str">
        <x:f>IF(B1041=1,IF(G1041=1,"TP","FN"),IF(G1041=1,"FP","TN"))</x:f>
        <x:v>TN</x:v>
      </x:c>
    </x:row>
    <x:row r="1042">
      <x:c r="A1042" t="str">
        <x:f>MiniCase_Data!A1042</x:f>
        <x:v>R01041</x:v>
      </x:c>
      <x:c r="B1042" t="n">
        <x:f>IF(MiniCase_Data!O1042="불합격",1,0)</x:f>
        <x:v>0</x:v>
      </x:c>
      <x:c r="C1042" t="str">
        <x:f>IF(ISBLANK(MiniCase_Data!H1042),"missing",IF(OR(MiniCase_Data!H1042&lt;27,MiniCase_Data!H1042&gt;33),"밖","안"))</x:f>
        <x:v>안</x:v>
      </x:c>
      <x:c r="D1042" t="n">
        <x:f>IF(ISBLANK(MiniCase_Data!H1042),VLOOKUP(A1042,센서로그!$A$2:$C$13,3,FALSE),MiniCase_Data!H1042)</x:f>
        <x:v>32.35</x:v>
      </x:c>
      <x:c r="E1042" t="n">
        <x:f>IF(AND(MiniCase_Data!C1042="야간",MiniCase_Data!F1042="M03"),1,0)</x:f>
        <x:v>0</x:v>
      </x:c>
      <x:c r="F1042" t="n">
        <x:f>IF(C1042="밖",1,0)</x:f>
        <x:v>0</x:v>
      </x:c>
      <x:c r="G1042" t="n">
        <x:f>IF(OR(F1042=1,E1042=1),1,0)</x:f>
        <x:v>0</x:v>
      </x:c>
      <x:c r="H1042" t="str">
        <x:f>IF(B1042=1,IF(F1042=1,"TP","FN"),IF(F1042=1,"FP","TN"))</x:f>
        <x:v>TN</x:v>
      </x:c>
      <x:c r="I1042" t="str">
        <x:f>IF(B1042=1,IF(G1042=1,"TP","FN"),IF(G1042=1,"FP","TN"))</x:f>
        <x:v>TN</x:v>
      </x:c>
    </x:row>
    <x:row r="1043">
      <x:c r="A1043" t="str">
        <x:f>MiniCase_Data!A1043</x:f>
        <x:v>R01042</x:v>
      </x:c>
      <x:c r="B1043" t="n">
        <x:f>IF(MiniCase_Data!O1043="불합격",1,0)</x:f>
        <x:v>0</x:v>
      </x:c>
      <x:c r="C1043" t="str">
        <x:f>IF(ISBLANK(MiniCase_Data!H1043),"missing",IF(OR(MiniCase_Data!H1043&lt;27,MiniCase_Data!H1043&gt;33),"밖","안"))</x:f>
        <x:v>안</x:v>
      </x:c>
      <x:c r="D1043" t="n">
        <x:f>IF(ISBLANK(MiniCase_Data!H1043),VLOOKUP(A1043,센서로그!$A$2:$C$13,3,FALSE),MiniCase_Data!H1043)</x:f>
        <x:v>30.11</x:v>
      </x:c>
      <x:c r="E1043" t="n">
        <x:f>IF(AND(MiniCase_Data!C1043="야간",MiniCase_Data!F1043="M03"),1,0)</x:f>
        <x:v>0</x:v>
      </x:c>
      <x:c r="F1043" t="n">
        <x:f>IF(C1043="밖",1,0)</x:f>
        <x:v>0</x:v>
      </x:c>
      <x:c r="G1043" t="n">
        <x:f>IF(OR(F1043=1,E1043=1),1,0)</x:f>
        <x:v>0</x:v>
      </x:c>
      <x:c r="H1043" t="str">
        <x:f>IF(B1043=1,IF(F1043=1,"TP","FN"),IF(F1043=1,"FP","TN"))</x:f>
        <x:v>TN</x:v>
      </x:c>
      <x:c r="I1043" t="str">
        <x:f>IF(B1043=1,IF(G1043=1,"TP","FN"),IF(G1043=1,"FP","TN"))</x:f>
        <x:v>TN</x:v>
      </x:c>
    </x:row>
    <x:row r="1044">
      <x:c r="A1044" t="str">
        <x:f>MiniCase_Data!A1044</x:f>
        <x:v>R01043</x:v>
      </x:c>
      <x:c r="B1044" t="n">
        <x:f>IF(MiniCase_Data!O1044="불합격",1,0)</x:f>
        <x:v>1</x:v>
      </x:c>
      <x:c r="C1044" t="str">
        <x:f>IF(ISBLANK(MiniCase_Data!H1044),"missing",IF(OR(MiniCase_Data!H1044&lt;27,MiniCase_Data!H1044&gt;33),"밖","안"))</x:f>
        <x:v>밖</x:v>
      </x:c>
      <x:c r="D1044" t="n">
        <x:f>IF(ISBLANK(MiniCase_Data!H1044),VLOOKUP(A1044,센서로그!$A$2:$C$13,3,FALSE),MiniCase_Data!H1044)</x:f>
        <x:v>33.63</x:v>
      </x:c>
      <x:c r="E1044" t="n">
        <x:f>IF(AND(MiniCase_Data!C1044="야간",MiniCase_Data!F1044="M03"),1,0)</x:f>
        <x:v>0</x:v>
      </x:c>
      <x:c r="F1044" t="n">
        <x:f>IF(C1044="밖",1,0)</x:f>
        <x:v>1</x:v>
      </x:c>
      <x:c r="G1044" t="n">
        <x:f>IF(OR(F1044=1,E1044=1),1,0)</x:f>
        <x:v>1</x:v>
      </x:c>
      <x:c r="H1044" t="str">
        <x:f>IF(B1044=1,IF(F1044=1,"TP","FN"),IF(F1044=1,"FP","TN"))</x:f>
        <x:v>TP</x:v>
      </x:c>
      <x:c r="I1044" t="str">
        <x:f>IF(B1044=1,IF(G1044=1,"TP","FN"),IF(G1044=1,"FP","TN"))</x:f>
        <x:v>TP</x:v>
      </x:c>
    </x:row>
    <x:row r="1045">
      <x:c r="A1045" t="str">
        <x:f>MiniCase_Data!A1045</x:f>
        <x:v>R01044</x:v>
      </x:c>
      <x:c r="B1045" t="n">
        <x:f>IF(MiniCase_Data!O1045="불합격",1,0)</x:f>
        <x:v>0</x:v>
      </x:c>
      <x:c r="C1045" t="str">
        <x:f>IF(ISBLANK(MiniCase_Data!H1045),"missing",IF(OR(MiniCase_Data!H1045&lt;27,MiniCase_Data!H1045&gt;33),"밖","안"))</x:f>
        <x:v>안</x:v>
      </x:c>
      <x:c r="D1045" t="n">
        <x:f>IF(ISBLANK(MiniCase_Data!H1045),VLOOKUP(A1045,센서로그!$A$2:$C$13,3,FALSE),MiniCase_Data!H1045)</x:f>
        <x:v>28.62</x:v>
      </x:c>
      <x:c r="E1045" t="n">
        <x:f>IF(AND(MiniCase_Data!C1045="야간",MiniCase_Data!F1045="M03"),1,0)</x:f>
        <x:v>0</x:v>
      </x:c>
      <x:c r="F1045" t="n">
        <x:f>IF(C1045="밖",1,0)</x:f>
        <x:v>0</x:v>
      </x:c>
      <x:c r="G1045" t="n">
        <x:f>IF(OR(F1045=1,E1045=1),1,0)</x:f>
        <x:v>0</x:v>
      </x:c>
      <x:c r="H1045" t="str">
        <x:f>IF(B1045=1,IF(F1045=1,"TP","FN"),IF(F1045=1,"FP","TN"))</x:f>
        <x:v>TN</x:v>
      </x:c>
      <x:c r="I1045" t="str">
        <x:f>IF(B1045=1,IF(G1045=1,"TP","FN"),IF(G1045=1,"FP","TN"))</x:f>
        <x:v>TN</x:v>
      </x:c>
    </x:row>
    <x:row r="1046">
      <x:c r="A1046" t="str">
        <x:f>MiniCase_Data!A1046</x:f>
        <x:v>R01045</x:v>
      </x:c>
      <x:c r="B1046" t="n">
        <x:f>IF(MiniCase_Data!O1046="불합격",1,0)</x:f>
        <x:v>0</x:v>
      </x:c>
      <x:c r="C1046" t="str">
        <x:f>IF(ISBLANK(MiniCase_Data!H1046),"missing",IF(OR(MiniCase_Data!H1046&lt;27,MiniCase_Data!H1046&gt;33),"밖","안"))</x:f>
        <x:v>안</x:v>
      </x:c>
      <x:c r="D1046" t="n">
        <x:f>IF(ISBLANK(MiniCase_Data!H1046),VLOOKUP(A1046,센서로그!$A$2:$C$13,3,FALSE),MiniCase_Data!H1046)</x:f>
        <x:v>31.02</x:v>
      </x:c>
      <x:c r="E1046" t="n">
        <x:f>IF(AND(MiniCase_Data!C1046="야간",MiniCase_Data!F1046="M03"),1,0)</x:f>
        <x:v>0</x:v>
      </x:c>
      <x:c r="F1046" t="n">
        <x:f>IF(C1046="밖",1,0)</x:f>
        <x:v>0</x:v>
      </x:c>
      <x:c r="G1046" t="n">
        <x:f>IF(OR(F1046=1,E1046=1),1,0)</x:f>
        <x:v>0</x:v>
      </x:c>
      <x:c r="H1046" t="str">
        <x:f>IF(B1046=1,IF(F1046=1,"TP","FN"),IF(F1046=1,"FP","TN"))</x:f>
        <x:v>TN</x:v>
      </x:c>
      <x:c r="I1046" t="str">
        <x:f>IF(B1046=1,IF(G1046=1,"TP","FN"),IF(G1046=1,"FP","TN"))</x:f>
        <x:v>TN</x:v>
      </x:c>
    </x:row>
    <x:row r="1047">
      <x:c r="A1047" t="str">
        <x:f>MiniCase_Data!A1047</x:f>
        <x:v>R01046</x:v>
      </x:c>
      <x:c r="B1047" t="n">
        <x:f>IF(MiniCase_Data!O1047="불합격",1,0)</x:f>
        <x:v>0</x:v>
      </x:c>
      <x:c r="C1047" t="str">
        <x:f>IF(ISBLANK(MiniCase_Data!H1047),"missing",IF(OR(MiniCase_Data!H1047&lt;27,MiniCase_Data!H1047&gt;33),"밖","안"))</x:f>
        <x:v>안</x:v>
      </x:c>
      <x:c r="D1047" t="n">
        <x:f>IF(ISBLANK(MiniCase_Data!H1047),VLOOKUP(A1047,센서로그!$A$2:$C$13,3,FALSE),MiniCase_Data!H1047)</x:f>
        <x:v>30.3</x:v>
      </x:c>
      <x:c r="E1047" t="n">
        <x:f>IF(AND(MiniCase_Data!C1047="야간",MiniCase_Data!F1047="M03"),1,0)</x:f>
        <x:v>1</x:v>
      </x:c>
      <x:c r="F1047" t="n">
        <x:f>IF(C1047="밖",1,0)</x:f>
        <x:v>0</x:v>
      </x:c>
      <x:c r="G1047" t="n">
        <x:f>IF(OR(F1047=1,E1047=1),1,0)</x:f>
        <x:v>1</x:v>
      </x:c>
      <x:c r="H1047" t="str">
        <x:f>IF(B1047=1,IF(F1047=1,"TP","FN"),IF(F1047=1,"FP","TN"))</x:f>
        <x:v>TN</x:v>
      </x:c>
      <x:c r="I1047" t="str">
        <x:f>IF(B1047=1,IF(G1047=1,"TP","FN"),IF(G1047=1,"FP","TN"))</x:f>
        <x:v>FP</x:v>
      </x:c>
    </x:row>
    <x:row r="1048">
      <x:c r="A1048" t="str">
        <x:f>MiniCase_Data!A1048</x:f>
        <x:v>R01047</x:v>
      </x:c>
      <x:c r="B1048" t="n">
        <x:f>IF(MiniCase_Data!O1048="불합격",1,0)</x:f>
        <x:v>0</x:v>
      </x:c>
      <x:c r="C1048" t="str">
        <x:f>IF(ISBLANK(MiniCase_Data!H1048),"missing",IF(OR(MiniCase_Data!H1048&lt;27,MiniCase_Data!H1048&gt;33),"밖","안"))</x:f>
        <x:v>밖</x:v>
      </x:c>
      <x:c r="D1048" t="n">
        <x:f>IF(ISBLANK(MiniCase_Data!H1048),VLOOKUP(A1048,센서로그!$A$2:$C$13,3,FALSE),MiniCase_Data!H1048)</x:f>
        <x:v>33.84</x:v>
      </x:c>
      <x:c r="E1048" t="n">
        <x:f>IF(AND(MiniCase_Data!C1048="야간",MiniCase_Data!F1048="M03"),1,0)</x:f>
        <x:v>1</x:v>
      </x:c>
      <x:c r="F1048" t="n">
        <x:f>IF(C1048="밖",1,0)</x:f>
        <x:v>1</x:v>
      </x:c>
      <x:c r="G1048" t="n">
        <x:f>IF(OR(F1048=1,E1048=1),1,0)</x:f>
        <x:v>1</x:v>
      </x:c>
      <x:c r="H1048" t="str">
        <x:f>IF(B1048=1,IF(F1048=1,"TP","FN"),IF(F1048=1,"FP","TN"))</x:f>
        <x:v>FP</x:v>
      </x:c>
      <x:c r="I1048" t="str">
        <x:f>IF(B1048=1,IF(G1048=1,"TP","FN"),IF(G1048=1,"FP","TN"))</x:f>
        <x:v>FP</x:v>
      </x:c>
    </x:row>
    <x:row r="1049">
      <x:c r="A1049" t="str">
        <x:f>MiniCase_Data!A1049</x:f>
        <x:v>R01048</x:v>
      </x:c>
      <x:c r="B1049" t="n">
        <x:f>IF(MiniCase_Data!O1049="불합격",1,0)</x:f>
        <x:v>0</x:v>
      </x:c>
      <x:c r="C1049" t="str">
        <x:f>IF(ISBLANK(MiniCase_Data!H1049),"missing",IF(OR(MiniCase_Data!H1049&lt;27,MiniCase_Data!H1049&gt;33),"밖","안"))</x:f>
        <x:v>안</x:v>
      </x:c>
      <x:c r="D1049" t="n">
        <x:f>IF(ISBLANK(MiniCase_Data!H1049),VLOOKUP(A1049,센서로그!$A$2:$C$13,3,FALSE),MiniCase_Data!H1049)</x:f>
        <x:v>29.07</x:v>
      </x:c>
      <x:c r="E1049" t="n">
        <x:f>IF(AND(MiniCase_Data!C1049="야간",MiniCase_Data!F1049="M03"),1,0)</x:f>
        <x:v>0</x:v>
      </x:c>
      <x:c r="F1049" t="n">
        <x:f>IF(C1049="밖",1,0)</x:f>
        <x:v>0</x:v>
      </x:c>
      <x:c r="G1049" t="n">
        <x:f>IF(OR(F1049=1,E1049=1),1,0)</x:f>
        <x:v>0</x:v>
      </x:c>
      <x:c r="H1049" t="str">
        <x:f>IF(B1049=1,IF(F1049=1,"TP","FN"),IF(F1049=1,"FP","TN"))</x:f>
        <x:v>TN</x:v>
      </x:c>
      <x:c r="I1049" t="str">
        <x:f>IF(B1049=1,IF(G1049=1,"TP","FN"),IF(G1049=1,"FP","TN"))</x:f>
        <x:v>TN</x:v>
      </x:c>
    </x:row>
    <x:row r="1050">
      <x:c r="A1050" t="str">
        <x:f>MiniCase_Data!A1050</x:f>
        <x:v>R01049</x:v>
      </x:c>
      <x:c r="B1050" t="n">
        <x:f>IF(MiniCase_Data!O1050="불합격",1,0)</x:f>
        <x:v>0</x:v>
      </x:c>
      <x:c r="C1050" t="str">
        <x:f>IF(ISBLANK(MiniCase_Data!H1050),"missing",IF(OR(MiniCase_Data!H1050&lt;27,MiniCase_Data!H1050&gt;33),"밖","안"))</x:f>
        <x:v>안</x:v>
      </x:c>
      <x:c r="D1050" t="n">
        <x:f>IF(ISBLANK(MiniCase_Data!H1050),VLOOKUP(A1050,센서로그!$A$2:$C$13,3,FALSE),MiniCase_Data!H1050)</x:f>
        <x:v>32.13</x:v>
      </x:c>
      <x:c r="E1050" t="n">
        <x:f>IF(AND(MiniCase_Data!C1050="야간",MiniCase_Data!F1050="M03"),1,0)</x:f>
        <x:v>0</x:v>
      </x:c>
      <x:c r="F1050" t="n">
        <x:f>IF(C1050="밖",1,0)</x:f>
        <x:v>0</x:v>
      </x:c>
      <x:c r="G1050" t="n">
        <x:f>IF(OR(F1050=1,E1050=1),1,0)</x:f>
        <x:v>0</x:v>
      </x:c>
      <x:c r="H1050" t="str">
        <x:f>IF(B1050=1,IF(F1050=1,"TP","FN"),IF(F1050=1,"FP","TN"))</x:f>
        <x:v>TN</x:v>
      </x:c>
      <x:c r="I1050" t="str">
        <x:f>IF(B1050=1,IF(G1050=1,"TP","FN"),IF(G1050=1,"FP","TN"))</x:f>
        <x:v>TN</x:v>
      </x:c>
    </x:row>
    <x:row r="1051">
      <x:c r="A1051" t="str">
        <x:f>MiniCase_Data!A1051</x:f>
        <x:v>R01050</x:v>
      </x:c>
      <x:c r="B1051" t="n">
        <x:f>IF(MiniCase_Data!O1051="불합격",1,0)</x:f>
        <x:v>0</x:v>
      </x:c>
      <x:c r="C1051" t="str">
        <x:f>IF(ISBLANK(MiniCase_Data!H1051),"missing",IF(OR(MiniCase_Data!H1051&lt;27,MiniCase_Data!H1051&gt;33),"밖","안"))</x:f>
        <x:v>안</x:v>
      </x:c>
      <x:c r="D1051" t="n">
        <x:f>IF(ISBLANK(MiniCase_Data!H1051),VLOOKUP(A1051,센서로그!$A$2:$C$13,3,FALSE),MiniCase_Data!H1051)</x:f>
        <x:v>29.93</x:v>
      </x:c>
      <x:c r="E1051" t="n">
        <x:f>IF(AND(MiniCase_Data!C1051="야간",MiniCase_Data!F1051="M03"),1,0)</x:f>
        <x:v>0</x:v>
      </x:c>
      <x:c r="F1051" t="n">
        <x:f>IF(C1051="밖",1,0)</x:f>
        <x:v>0</x:v>
      </x:c>
      <x:c r="G1051" t="n">
        <x:f>IF(OR(F1051=1,E1051=1),1,0)</x:f>
        <x:v>0</x:v>
      </x:c>
      <x:c r="H1051" t="str">
        <x:f>IF(B1051=1,IF(F1051=1,"TP","FN"),IF(F1051=1,"FP","TN"))</x:f>
        <x:v>TN</x:v>
      </x:c>
      <x:c r="I1051" t="str">
        <x:f>IF(B1051=1,IF(G1051=1,"TP","FN"),IF(G1051=1,"FP","TN"))</x:f>
        <x:v>TN</x:v>
      </x:c>
    </x:row>
    <x:row r="1052">
      <x:c r="A1052" t="str">
        <x:f>MiniCase_Data!A1052</x:f>
        <x:v>R01051</x:v>
      </x:c>
      <x:c r="B1052" t="n">
        <x:f>IF(MiniCase_Data!O1052="불합격",1,0)</x:f>
        <x:v>0</x:v>
      </x:c>
      <x:c r="C1052" t="str">
        <x:f>IF(ISBLANK(MiniCase_Data!H1052),"missing",IF(OR(MiniCase_Data!H1052&lt;27,MiniCase_Data!H1052&gt;33),"밖","안"))</x:f>
        <x:v>안</x:v>
      </x:c>
      <x:c r="D1052" t="n">
        <x:f>IF(ISBLANK(MiniCase_Data!H1052),VLOOKUP(A1052,센서로그!$A$2:$C$13,3,FALSE),MiniCase_Data!H1052)</x:f>
        <x:v>32.64</x:v>
      </x:c>
      <x:c r="E1052" t="n">
        <x:f>IF(AND(MiniCase_Data!C1052="야간",MiniCase_Data!F1052="M03"),1,0)</x:f>
        <x:v>1</x:v>
      </x:c>
      <x:c r="F1052" t="n">
        <x:f>IF(C1052="밖",1,0)</x:f>
        <x:v>0</x:v>
      </x:c>
      <x:c r="G1052" t="n">
        <x:f>IF(OR(F1052=1,E1052=1),1,0)</x:f>
        <x:v>1</x:v>
      </x:c>
      <x:c r="H1052" t="str">
        <x:f>IF(B1052=1,IF(F1052=1,"TP","FN"),IF(F1052=1,"FP","TN"))</x:f>
        <x:v>TN</x:v>
      </x:c>
      <x:c r="I1052" t="str">
        <x:f>IF(B1052=1,IF(G1052=1,"TP","FN"),IF(G1052=1,"FP","TN"))</x:f>
        <x:v>FP</x:v>
      </x:c>
    </x:row>
    <x:row r="1053">
      <x:c r="A1053" t="str">
        <x:f>MiniCase_Data!A1053</x:f>
        <x:v>R01052</x:v>
      </x:c>
      <x:c r="B1053" t="n">
        <x:f>IF(MiniCase_Data!O1053="불합격",1,0)</x:f>
        <x:v>0</x:v>
      </x:c>
      <x:c r="C1053" t="str">
        <x:f>IF(ISBLANK(MiniCase_Data!H1053),"missing",IF(OR(MiniCase_Data!H1053&lt;27,MiniCase_Data!H1053&gt;33),"밖","안"))</x:f>
        <x:v>안</x:v>
      </x:c>
      <x:c r="D1053" t="n">
        <x:f>IF(ISBLANK(MiniCase_Data!H1053),VLOOKUP(A1053,센서로그!$A$2:$C$13,3,FALSE),MiniCase_Data!H1053)</x:f>
        <x:v>32.42</x:v>
      </x:c>
      <x:c r="E1053" t="n">
        <x:f>IF(AND(MiniCase_Data!C1053="야간",MiniCase_Data!F1053="M03"),1,0)</x:f>
        <x:v>0</x:v>
      </x:c>
      <x:c r="F1053" t="n">
        <x:f>IF(C1053="밖",1,0)</x:f>
        <x:v>0</x:v>
      </x:c>
      <x:c r="G1053" t="n">
        <x:f>IF(OR(F1053=1,E1053=1),1,0)</x:f>
        <x:v>0</x:v>
      </x:c>
      <x:c r="H1053" t="str">
        <x:f>IF(B1053=1,IF(F1053=1,"TP","FN"),IF(F1053=1,"FP","TN"))</x:f>
        <x:v>TN</x:v>
      </x:c>
      <x:c r="I1053" t="str">
        <x:f>IF(B1053=1,IF(G1053=1,"TP","FN"),IF(G1053=1,"FP","TN"))</x:f>
        <x:v>TN</x:v>
      </x:c>
    </x:row>
    <x:row r="1054">
      <x:c r="A1054" t="str">
        <x:f>MiniCase_Data!A1054</x:f>
        <x:v>R01053</x:v>
      </x:c>
      <x:c r="B1054" t="n">
        <x:f>IF(MiniCase_Data!O1054="불합격",1,0)</x:f>
        <x:v>0</x:v>
      </x:c>
      <x:c r="C1054" t="str">
        <x:f>IF(ISBLANK(MiniCase_Data!H1054),"missing",IF(OR(MiniCase_Data!H1054&lt;27,MiniCase_Data!H1054&gt;33),"밖","안"))</x:f>
        <x:v>안</x:v>
      </x:c>
      <x:c r="D1054" t="n">
        <x:f>IF(ISBLANK(MiniCase_Data!H1054),VLOOKUP(A1054,센서로그!$A$2:$C$13,3,FALSE),MiniCase_Data!H1054)</x:f>
        <x:v>28.33</x:v>
      </x:c>
      <x:c r="E1054" t="n">
        <x:f>IF(AND(MiniCase_Data!C1054="야간",MiniCase_Data!F1054="M03"),1,0)</x:f>
        <x:v>0</x:v>
      </x:c>
      <x:c r="F1054" t="n">
        <x:f>IF(C1054="밖",1,0)</x:f>
        <x:v>0</x:v>
      </x:c>
      <x:c r="G1054" t="n">
        <x:f>IF(OR(F1054=1,E1054=1),1,0)</x:f>
        <x:v>0</x:v>
      </x:c>
      <x:c r="H1054" t="str">
        <x:f>IF(B1054=1,IF(F1054=1,"TP","FN"),IF(F1054=1,"FP","TN"))</x:f>
        <x:v>TN</x:v>
      </x:c>
      <x:c r="I1054" t="str">
        <x:f>IF(B1054=1,IF(G1054=1,"TP","FN"),IF(G1054=1,"FP","TN"))</x:f>
        <x:v>TN</x:v>
      </x:c>
    </x:row>
    <x:row r="1055">
      <x:c r="A1055" t="str">
        <x:f>MiniCase_Data!A1055</x:f>
        <x:v>R01054</x:v>
      </x:c>
      <x:c r="B1055" t="n">
        <x:f>IF(MiniCase_Data!O1055="불합격",1,0)</x:f>
        <x:v>0</x:v>
      </x:c>
      <x:c r="C1055" t="str">
        <x:f>IF(ISBLANK(MiniCase_Data!H1055),"missing",IF(OR(MiniCase_Data!H1055&lt;27,MiniCase_Data!H1055&gt;33),"밖","안"))</x:f>
        <x:v>안</x:v>
      </x:c>
      <x:c r="D1055" t="n">
        <x:f>IF(ISBLANK(MiniCase_Data!H1055),VLOOKUP(A1055,센서로그!$A$2:$C$13,3,FALSE),MiniCase_Data!H1055)</x:f>
        <x:v>30.79</x:v>
      </x:c>
      <x:c r="E1055" t="n">
        <x:f>IF(AND(MiniCase_Data!C1055="야간",MiniCase_Data!F1055="M03"),1,0)</x:f>
        <x:v>1</x:v>
      </x:c>
      <x:c r="F1055" t="n">
        <x:f>IF(C1055="밖",1,0)</x:f>
        <x:v>0</x:v>
      </x:c>
      <x:c r="G1055" t="n">
        <x:f>IF(OR(F1055=1,E1055=1),1,0)</x:f>
        <x:v>1</x:v>
      </x:c>
      <x:c r="H1055" t="str">
        <x:f>IF(B1055=1,IF(F1055=1,"TP","FN"),IF(F1055=1,"FP","TN"))</x:f>
        <x:v>TN</x:v>
      </x:c>
      <x:c r="I1055" t="str">
        <x:f>IF(B1055=1,IF(G1055=1,"TP","FN"),IF(G1055=1,"FP","TN"))</x:f>
        <x:v>FP</x:v>
      </x:c>
    </x:row>
    <x:row r="1056">
      <x:c r="A1056" t="str">
        <x:f>MiniCase_Data!A1056</x:f>
        <x:v>R01055</x:v>
      </x:c>
      <x:c r="B1056" t="n">
        <x:f>IF(MiniCase_Data!O1056="불합격",1,0)</x:f>
        <x:v>0</x:v>
      </x:c>
      <x:c r="C1056" t="str">
        <x:f>IF(ISBLANK(MiniCase_Data!H1056),"missing",IF(OR(MiniCase_Data!H1056&lt;27,MiniCase_Data!H1056&gt;33),"밖","안"))</x:f>
        <x:v>밖</x:v>
      </x:c>
      <x:c r="D1056" t="n">
        <x:f>IF(ISBLANK(MiniCase_Data!H1056),VLOOKUP(A1056,센서로그!$A$2:$C$13,3,FALSE),MiniCase_Data!H1056)</x:f>
        <x:v>33.34</x:v>
      </x:c>
      <x:c r="E1056" t="n">
        <x:f>IF(AND(MiniCase_Data!C1056="야간",MiniCase_Data!F1056="M03"),1,0)</x:f>
        <x:v>1</x:v>
      </x:c>
      <x:c r="F1056" t="n">
        <x:f>IF(C1056="밖",1,0)</x:f>
        <x:v>1</x:v>
      </x:c>
      <x:c r="G1056" t="n">
        <x:f>IF(OR(F1056=1,E1056=1),1,0)</x:f>
        <x:v>1</x:v>
      </x:c>
      <x:c r="H1056" t="str">
        <x:f>IF(B1056=1,IF(F1056=1,"TP","FN"),IF(F1056=1,"FP","TN"))</x:f>
        <x:v>FP</x:v>
      </x:c>
      <x:c r="I1056" t="str">
        <x:f>IF(B1056=1,IF(G1056=1,"TP","FN"),IF(G1056=1,"FP","TN"))</x:f>
        <x:v>FP</x:v>
      </x:c>
    </x:row>
    <x:row r="1057">
      <x:c r="A1057" t="str">
        <x:f>MiniCase_Data!A1057</x:f>
        <x:v>R01056</x:v>
      </x:c>
      <x:c r="B1057" t="n">
        <x:f>IF(MiniCase_Data!O1057="불합격",1,0)</x:f>
        <x:v>0</x:v>
      </x:c>
      <x:c r="C1057" t="str">
        <x:f>IF(ISBLANK(MiniCase_Data!H1057),"missing",IF(OR(MiniCase_Data!H1057&lt;27,MiniCase_Data!H1057&gt;33),"밖","안"))</x:f>
        <x:v>안</x:v>
      </x:c>
      <x:c r="D1057" t="n">
        <x:f>IF(ISBLANK(MiniCase_Data!H1057),VLOOKUP(A1057,센서로그!$A$2:$C$13,3,FALSE),MiniCase_Data!H1057)</x:f>
        <x:v>31.59</x:v>
      </x:c>
      <x:c r="E1057" t="n">
        <x:f>IF(AND(MiniCase_Data!C1057="야간",MiniCase_Data!F1057="M03"),1,0)</x:f>
        <x:v>0</x:v>
      </x:c>
      <x:c r="F1057" t="n">
        <x:f>IF(C1057="밖",1,0)</x:f>
        <x:v>0</x:v>
      </x:c>
      <x:c r="G1057" t="n">
        <x:f>IF(OR(F1057=1,E1057=1),1,0)</x:f>
        <x:v>0</x:v>
      </x:c>
      <x:c r="H1057" t="str">
        <x:f>IF(B1057=1,IF(F1057=1,"TP","FN"),IF(F1057=1,"FP","TN"))</x:f>
        <x:v>TN</x:v>
      </x:c>
      <x:c r="I1057" t="str">
        <x:f>IF(B1057=1,IF(G1057=1,"TP","FN"),IF(G1057=1,"FP","TN"))</x:f>
        <x:v>TN</x:v>
      </x:c>
    </x:row>
    <x:row r="1058">
      <x:c r="A1058" t="str">
        <x:f>MiniCase_Data!A1058</x:f>
        <x:v>R01057</x:v>
      </x:c>
      <x:c r="B1058" t="n">
        <x:f>IF(MiniCase_Data!O1058="불합격",1,0)</x:f>
        <x:v>0</x:v>
      </x:c>
      <x:c r="C1058" t="str">
        <x:f>IF(ISBLANK(MiniCase_Data!H1058),"missing",IF(OR(MiniCase_Data!H1058&lt;27,MiniCase_Data!H1058&gt;33),"밖","안"))</x:f>
        <x:v>안</x:v>
      </x:c>
      <x:c r="D1058" t="n">
        <x:f>IF(ISBLANK(MiniCase_Data!H1058),VLOOKUP(A1058,센서로그!$A$2:$C$13,3,FALSE),MiniCase_Data!H1058)</x:f>
        <x:v>30.55</x:v>
      </x:c>
      <x:c r="E1058" t="n">
        <x:f>IF(AND(MiniCase_Data!C1058="야간",MiniCase_Data!F1058="M03"),1,0)</x:f>
        <x:v>0</x:v>
      </x:c>
      <x:c r="F1058" t="n">
        <x:f>IF(C1058="밖",1,0)</x:f>
        <x:v>0</x:v>
      </x:c>
      <x:c r="G1058" t="n">
        <x:f>IF(OR(F1058=1,E1058=1),1,0)</x:f>
        <x:v>0</x:v>
      </x:c>
      <x:c r="H1058" t="str">
        <x:f>IF(B1058=1,IF(F1058=1,"TP","FN"),IF(F1058=1,"FP","TN"))</x:f>
        <x:v>TN</x:v>
      </x:c>
      <x:c r="I1058" t="str">
        <x:f>IF(B1058=1,IF(G1058=1,"TP","FN"),IF(G1058=1,"FP","TN"))</x:f>
        <x:v>TN</x:v>
      </x:c>
    </x:row>
    <x:row r="1059">
      <x:c r="A1059" t="str">
        <x:f>MiniCase_Data!A1059</x:f>
        <x:v>R01058</x:v>
      </x:c>
      <x:c r="B1059" t="n">
        <x:f>IF(MiniCase_Data!O1059="불합격",1,0)</x:f>
        <x:v>0</x:v>
      </x:c>
      <x:c r="C1059" t="str">
        <x:f>IF(ISBLANK(MiniCase_Data!H1059),"missing",IF(OR(MiniCase_Data!H1059&lt;27,MiniCase_Data!H1059&gt;33),"밖","안"))</x:f>
        <x:v>안</x:v>
      </x:c>
      <x:c r="D1059" t="n">
        <x:f>IF(ISBLANK(MiniCase_Data!H1059),VLOOKUP(A1059,센서로그!$A$2:$C$13,3,FALSE),MiniCase_Data!H1059)</x:f>
        <x:v>30.59</x:v>
      </x:c>
      <x:c r="E1059" t="n">
        <x:f>IF(AND(MiniCase_Data!C1059="야간",MiniCase_Data!F1059="M03"),1,0)</x:f>
        <x:v>0</x:v>
      </x:c>
      <x:c r="F1059" t="n">
        <x:f>IF(C1059="밖",1,0)</x:f>
        <x:v>0</x:v>
      </x:c>
      <x:c r="G1059" t="n">
        <x:f>IF(OR(F1059=1,E1059=1),1,0)</x:f>
        <x:v>0</x:v>
      </x:c>
      <x:c r="H1059" t="str">
        <x:f>IF(B1059=1,IF(F1059=1,"TP","FN"),IF(F1059=1,"FP","TN"))</x:f>
        <x:v>TN</x:v>
      </x:c>
      <x:c r="I1059" t="str">
        <x:f>IF(B1059=1,IF(G1059=1,"TP","FN"),IF(G1059=1,"FP","TN"))</x:f>
        <x:v>TN</x:v>
      </x:c>
    </x:row>
    <x:row r="1060">
      <x:c r="A1060" t="str">
        <x:f>MiniCase_Data!A1060</x:f>
        <x:v>R01059</x:v>
      </x:c>
      <x:c r="B1060" t="n">
        <x:f>IF(MiniCase_Data!O1060="불합격",1,0)</x:f>
        <x:v>0</x:v>
      </x:c>
      <x:c r="C1060" t="str">
        <x:f>IF(ISBLANK(MiniCase_Data!H1060),"missing",IF(OR(MiniCase_Data!H1060&lt;27,MiniCase_Data!H1060&gt;33),"밖","안"))</x:f>
        <x:v>안</x:v>
      </x:c>
      <x:c r="D1060" t="n">
        <x:f>IF(ISBLANK(MiniCase_Data!H1060),VLOOKUP(A1060,센서로그!$A$2:$C$13,3,FALSE),MiniCase_Data!H1060)</x:f>
        <x:v>28.98</x:v>
      </x:c>
      <x:c r="E1060" t="n">
        <x:f>IF(AND(MiniCase_Data!C1060="야간",MiniCase_Data!F1060="M03"),1,0)</x:f>
        <x:v>0</x:v>
      </x:c>
      <x:c r="F1060" t="n">
        <x:f>IF(C1060="밖",1,0)</x:f>
        <x:v>0</x:v>
      </x:c>
      <x:c r="G1060" t="n">
        <x:f>IF(OR(F1060=1,E1060=1),1,0)</x:f>
        <x:v>0</x:v>
      </x:c>
      <x:c r="H1060" t="str">
        <x:f>IF(B1060=1,IF(F1060=1,"TP","FN"),IF(F1060=1,"FP","TN"))</x:f>
        <x:v>TN</x:v>
      </x:c>
      <x:c r="I1060" t="str">
        <x:f>IF(B1060=1,IF(G1060=1,"TP","FN"),IF(G1060=1,"FP","TN"))</x:f>
        <x:v>TN</x:v>
      </x:c>
    </x:row>
    <x:row r="1061">
      <x:c r="A1061" t="str">
        <x:f>MiniCase_Data!A1061</x:f>
        <x:v>R01060</x:v>
      </x:c>
      <x:c r="B1061" t="n">
        <x:f>IF(MiniCase_Data!O1061="불합격",1,0)</x:f>
        <x:v>0</x:v>
      </x:c>
      <x:c r="C1061" t="str">
        <x:f>IF(ISBLANK(MiniCase_Data!H1061),"missing",IF(OR(MiniCase_Data!H1061&lt;27,MiniCase_Data!H1061&gt;33),"밖","안"))</x:f>
        <x:v>안</x:v>
      </x:c>
      <x:c r="D1061" t="n">
        <x:f>IF(ISBLANK(MiniCase_Data!H1061),VLOOKUP(A1061,센서로그!$A$2:$C$13,3,FALSE),MiniCase_Data!H1061)</x:f>
        <x:v>32.24</x:v>
      </x:c>
      <x:c r="E1061" t="n">
        <x:f>IF(AND(MiniCase_Data!C1061="야간",MiniCase_Data!F1061="M03"),1,0)</x:f>
        <x:v>0</x:v>
      </x:c>
      <x:c r="F1061" t="n">
        <x:f>IF(C1061="밖",1,0)</x:f>
        <x:v>0</x:v>
      </x:c>
      <x:c r="G1061" t="n">
        <x:f>IF(OR(F1061=1,E1061=1),1,0)</x:f>
        <x:v>0</x:v>
      </x:c>
      <x:c r="H1061" t="str">
        <x:f>IF(B1061=1,IF(F1061=1,"TP","FN"),IF(F1061=1,"FP","TN"))</x:f>
        <x:v>TN</x:v>
      </x:c>
      <x:c r="I1061" t="str">
        <x:f>IF(B1061=1,IF(G1061=1,"TP","FN"),IF(G1061=1,"FP","TN"))</x:f>
        <x:v>TN</x:v>
      </x:c>
    </x:row>
    <x:row r="1062">
      <x:c r="A1062" t="str">
        <x:f>MiniCase_Data!A1062</x:f>
        <x:v>R01061</x:v>
      </x:c>
      <x:c r="B1062" t="n">
        <x:f>IF(MiniCase_Data!O1062="불합격",1,0)</x:f>
        <x:v>0</x:v>
      </x:c>
      <x:c r="C1062" t="str">
        <x:f>IF(ISBLANK(MiniCase_Data!H1062),"missing",IF(OR(MiniCase_Data!H1062&lt;27,MiniCase_Data!H1062&gt;33),"밖","안"))</x:f>
        <x:v>안</x:v>
      </x:c>
      <x:c r="D1062" t="n">
        <x:f>IF(ISBLANK(MiniCase_Data!H1062),VLOOKUP(A1062,센서로그!$A$2:$C$13,3,FALSE),MiniCase_Data!H1062)</x:f>
        <x:v>27.69</x:v>
      </x:c>
      <x:c r="E1062" t="n">
        <x:f>IF(AND(MiniCase_Data!C1062="야간",MiniCase_Data!F1062="M03"),1,0)</x:f>
        <x:v>0</x:v>
      </x:c>
      <x:c r="F1062" t="n">
        <x:f>IF(C1062="밖",1,0)</x:f>
        <x:v>0</x:v>
      </x:c>
      <x:c r="G1062" t="n">
        <x:f>IF(OR(F1062=1,E1062=1),1,0)</x:f>
        <x:v>0</x:v>
      </x:c>
      <x:c r="H1062" t="str">
        <x:f>IF(B1062=1,IF(F1062=1,"TP","FN"),IF(F1062=1,"FP","TN"))</x:f>
        <x:v>TN</x:v>
      </x:c>
      <x:c r="I1062" t="str">
        <x:f>IF(B1062=1,IF(G1062=1,"TP","FN"),IF(G1062=1,"FP","TN"))</x:f>
        <x:v>TN</x:v>
      </x:c>
    </x:row>
    <x:row r="1063">
      <x:c r="A1063" t="str">
        <x:f>MiniCase_Data!A1063</x:f>
        <x:v>R01062</x:v>
      </x:c>
      <x:c r="B1063" t="n">
        <x:f>IF(MiniCase_Data!O1063="불합격",1,0)</x:f>
        <x:v>0</x:v>
      </x:c>
      <x:c r="C1063" t="str">
        <x:f>IF(ISBLANK(MiniCase_Data!H1063),"missing",IF(OR(MiniCase_Data!H1063&lt;27,MiniCase_Data!H1063&gt;33),"밖","안"))</x:f>
        <x:v>안</x:v>
      </x:c>
      <x:c r="D1063" t="n">
        <x:f>IF(ISBLANK(MiniCase_Data!H1063),VLOOKUP(A1063,센서로그!$A$2:$C$13,3,FALSE),MiniCase_Data!H1063)</x:f>
        <x:v>28.95</x:v>
      </x:c>
      <x:c r="E1063" t="n">
        <x:f>IF(AND(MiniCase_Data!C1063="야간",MiniCase_Data!F1063="M03"),1,0)</x:f>
        <x:v>0</x:v>
      </x:c>
      <x:c r="F1063" t="n">
        <x:f>IF(C1063="밖",1,0)</x:f>
        <x:v>0</x:v>
      </x:c>
      <x:c r="G1063" t="n">
        <x:f>IF(OR(F1063=1,E1063=1),1,0)</x:f>
        <x:v>0</x:v>
      </x:c>
      <x:c r="H1063" t="str">
        <x:f>IF(B1063=1,IF(F1063=1,"TP","FN"),IF(F1063=1,"FP","TN"))</x:f>
        <x:v>TN</x:v>
      </x:c>
      <x:c r="I1063" t="str">
        <x:f>IF(B1063=1,IF(G1063=1,"TP","FN"),IF(G1063=1,"FP","TN"))</x:f>
        <x:v>TN</x:v>
      </x:c>
    </x:row>
    <x:row r="1064">
      <x:c r="A1064" t="str">
        <x:f>MiniCase_Data!A1064</x:f>
        <x:v>R01063</x:v>
      </x:c>
      <x:c r="B1064" t="n">
        <x:f>IF(MiniCase_Data!O1064="불합격",1,0)</x:f>
        <x:v>0</x:v>
      </x:c>
      <x:c r="C1064" t="str">
        <x:f>IF(ISBLANK(MiniCase_Data!H1064),"missing",IF(OR(MiniCase_Data!H1064&lt;27,MiniCase_Data!H1064&gt;33),"밖","안"))</x:f>
        <x:v>밖</x:v>
      </x:c>
      <x:c r="D1064" t="n">
        <x:f>IF(ISBLANK(MiniCase_Data!H1064),VLOOKUP(A1064,센서로그!$A$2:$C$13,3,FALSE),MiniCase_Data!H1064)</x:f>
        <x:v>33.37</x:v>
      </x:c>
      <x:c r="E1064" t="n">
        <x:f>IF(AND(MiniCase_Data!C1064="야간",MiniCase_Data!F1064="M03"),1,0)</x:f>
        <x:v>1</x:v>
      </x:c>
      <x:c r="F1064" t="n">
        <x:f>IF(C1064="밖",1,0)</x:f>
        <x:v>1</x:v>
      </x:c>
      <x:c r="G1064" t="n">
        <x:f>IF(OR(F1064=1,E1064=1),1,0)</x:f>
        <x:v>1</x:v>
      </x:c>
      <x:c r="H1064" t="str">
        <x:f>IF(B1064=1,IF(F1064=1,"TP","FN"),IF(F1064=1,"FP","TN"))</x:f>
        <x:v>FP</x:v>
      </x:c>
      <x:c r="I1064" t="str">
        <x:f>IF(B1064=1,IF(G1064=1,"TP","FN"),IF(G1064=1,"FP","TN"))</x:f>
        <x:v>FP</x:v>
      </x:c>
    </x:row>
    <x:row r="1065">
      <x:c r="A1065" t="str">
        <x:f>MiniCase_Data!A1065</x:f>
        <x:v>R01064</x:v>
      </x:c>
      <x:c r="B1065" t="n">
        <x:f>IF(MiniCase_Data!O1065="불합격",1,0)</x:f>
        <x:v>0</x:v>
      </x:c>
      <x:c r="C1065" t="str">
        <x:f>IF(ISBLANK(MiniCase_Data!H1065),"missing",IF(OR(MiniCase_Data!H1065&lt;27,MiniCase_Data!H1065&gt;33),"밖","안"))</x:f>
        <x:v>안</x:v>
      </x:c>
      <x:c r="D1065" t="n">
        <x:f>IF(ISBLANK(MiniCase_Data!H1065),VLOOKUP(A1065,센서로그!$A$2:$C$13,3,FALSE),MiniCase_Data!H1065)</x:f>
        <x:v>28.94</x:v>
      </x:c>
      <x:c r="E1065" t="n">
        <x:f>IF(AND(MiniCase_Data!C1065="야간",MiniCase_Data!F1065="M03"),1,0)</x:f>
        <x:v>0</x:v>
      </x:c>
      <x:c r="F1065" t="n">
        <x:f>IF(C1065="밖",1,0)</x:f>
        <x:v>0</x:v>
      </x:c>
      <x:c r="G1065" t="n">
        <x:f>IF(OR(F1065=1,E1065=1),1,0)</x:f>
        <x:v>0</x:v>
      </x:c>
      <x:c r="H1065" t="str">
        <x:f>IF(B1065=1,IF(F1065=1,"TP","FN"),IF(F1065=1,"FP","TN"))</x:f>
        <x:v>TN</x:v>
      </x:c>
      <x:c r="I1065" t="str">
        <x:f>IF(B1065=1,IF(G1065=1,"TP","FN"),IF(G1065=1,"FP","TN"))</x:f>
        <x:v>TN</x:v>
      </x:c>
    </x:row>
    <x:row r="1066">
      <x:c r="A1066" t="str">
        <x:f>MiniCase_Data!A1066</x:f>
        <x:v>R01065</x:v>
      </x:c>
      <x:c r="B1066" t="n">
        <x:f>IF(MiniCase_Data!O1066="불합격",1,0)</x:f>
        <x:v>0</x:v>
      </x:c>
      <x:c r="C1066" t="str">
        <x:f>IF(ISBLANK(MiniCase_Data!H1066),"missing",IF(OR(MiniCase_Data!H1066&lt;27,MiniCase_Data!H1066&gt;33),"밖","안"))</x:f>
        <x:v>안</x:v>
      </x:c>
      <x:c r="D1066" t="n">
        <x:f>IF(ISBLANK(MiniCase_Data!H1066),VLOOKUP(A1066,센서로그!$A$2:$C$13,3,FALSE),MiniCase_Data!H1066)</x:f>
        <x:v>31.29</x:v>
      </x:c>
      <x:c r="E1066" t="n">
        <x:f>IF(AND(MiniCase_Data!C1066="야간",MiniCase_Data!F1066="M03"),1,0)</x:f>
        <x:v>1</x:v>
      </x:c>
      <x:c r="F1066" t="n">
        <x:f>IF(C1066="밖",1,0)</x:f>
        <x:v>0</x:v>
      </x:c>
      <x:c r="G1066" t="n">
        <x:f>IF(OR(F1066=1,E1066=1),1,0)</x:f>
        <x:v>1</x:v>
      </x:c>
      <x:c r="H1066" t="str">
        <x:f>IF(B1066=1,IF(F1066=1,"TP","FN"),IF(F1066=1,"FP","TN"))</x:f>
        <x:v>TN</x:v>
      </x:c>
      <x:c r="I1066" t="str">
        <x:f>IF(B1066=1,IF(G1066=1,"TP","FN"),IF(G1066=1,"FP","TN"))</x:f>
        <x:v>FP</x:v>
      </x:c>
    </x:row>
    <x:row r="1067">
      <x:c r="A1067" t="str">
        <x:f>MiniCase_Data!A1067</x:f>
        <x:v>R01066</x:v>
      </x:c>
      <x:c r="B1067" t="n">
        <x:f>IF(MiniCase_Data!O1067="불합격",1,0)</x:f>
        <x:v>0</x:v>
      </x:c>
      <x:c r="C1067" t="str">
        <x:f>IF(ISBLANK(MiniCase_Data!H1067),"missing",IF(OR(MiniCase_Data!H1067&lt;27,MiniCase_Data!H1067&gt;33),"밖","안"))</x:f>
        <x:v>안</x:v>
      </x:c>
      <x:c r="D1067" t="n">
        <x:f>IF(ISBLANK(MiniCase_Data!H1067),VLOOKUP(A1067,센서로그!$A$2:$C$13,3,FALSE),MiniCase_Data!H1067)</x:f>
        <x:v>27.82</x:v>
      </x:c>
      <x:c r="E1067" t="n">
        <x:f>IF(AND(MiniCase_Data!C1067="야간",MiniCase_Data!F1067="M03"),1,0)</x:f>
        <x:v>0</x:v>
      </x:c>
      <x:c r="F1067" t="n">
        <x:f>IF(C1067="밖",1,0)</x:f>
        <x:v>0</x:v>
      </x:c>
      <x:c r="G1067" t="n">
        <x:f>IF(OR(F1067=1,E1067=1),1,0)</x:f>
        <x:v>0</x:v>
      </x:c>
      <x:c r="H1067" t="str">
        <x:f>IF(B1067=1,IF(F1067=1,"TP","FN"),IF(F1067=1,"FP","TN"))</x:f>
        <x:v>TN</x:v>
      </x:c>
      <x:c r="I1067" t="str">
        <x:f>IF(B1067=1,IF(G1067=1,"TP","FN"),IF(G1067=1,"FP","TN"))</x:f>
        <x:v>TN</x:v>
      </x:c>
    </x:row>
    <x:row r="1068">
      <x:c r="A1068" t="str">
        <x:f>MiniCase_Data!A1068</x:f>
        <x:v>R01067</x:v>
      </x:c>
      <x:c r="B1068" t="n">
        <x:f>IF(MiniCase_Data!O1068="불합격",1,0)</x:f>
        <x:v>0</x:v>
      </x:c>
      <x:c r="C1068" t="str">
        <x:f>IF(ISBLANK(MiniCase_Data!H1068),"missing",IF(OR(MiniCase_Data!H1068&lt;27,MiniCase_Data!H1068&gt;33),"밖","안"))</x:f>
        <x:v>안</x:v>
      </x:c>
      <x:c r="D1068" t="n">
        <x:f>IF(ISBLANK(MiniCase_Data!H1068),VLOOKUP(A1068,센서로그!$A$2:$C$13,3,FALSE),MiniCase_Data!H1068)</x:f>
        <x:v>31.86</x:v>
      </x:c>
      <x:c r="E1068" t="n">
        <x:f>IF(AND(MiniCase_Data!C1068="야간",MiniCase_Data!F1068="M03"),1,0)</x:f>
        <x:v>0</x:v>
      </x:c>
      <x:c r="F1068" t="n">
        <x:f>IF(C1068="밖",1,0)</x:f>
        <x:v>0</x:v>
      </x:c>
      <x:c r="G1068" t="n">
        <x:f>IF(OR(F1068=1,E1068=1),1,0)</x:f>
        <x:v>0</x:v>
      </x:c>
      <x:c r="H1068" t="str">
        <x:f>IF(B1068=1,IF(F1068=1,"TP","FN"),IF(F1068=1,"FP","TN"))</x:f>
        <x:v>TN</x:v>
      </x:c>
      <x:c r="I1068" t="str">
        <x:f>IF(B1068=1,IF(G1068=1,"TP","FN"),IF(G1068=1,"FP","TN"))</x:f>
        <x:v>TN</x:v>
      </x:c>
    </x:row>
    <x:row r="1069">
      <x:c r="A1069" t="str">
        <x:f>MiniCase_Data!A1069</x:f>
        <x:v>R01068</x:v>
      </x:c>
      <x:c r="B1069" t="n">
        <x:f>IF(MiniCase_Data!O1069="불합격",1,0)</x:f>
        <x:v>0</x:v>
      </x:c>
      <x:c r="C1069" t="str">
        <x:f>IF(ISBLANK(MiniCase_Data!H1069),"missing",IF(OR(MiniCase_Data!H1069&lt;27,MiniCase_Data!H1069&gt;33),"밖","안"))</x:f>
        <x:v>안</x:v>
      </x:c>
      <x:c r="D1069" t="n">
        <x:f>IF(ISBLANK(MiniCase_Data!H1069),VLOOKUP(A1069,센서로그!$A$2:$C$13,3,FALSE),MiniCase_Data!H1069)</x:f>
        <x:v>32.28</x:v>
      </x:c>
      <x:c r="E1069" t="n">
        <x:f>IF(AND(MiniCase_Data!C1069="야간",MiniCase_Data!F1069="M03"),1,0)</x:f>
        <x:v>0</x:v>
      </x:c>
      <x:c r="F1069" t="n">
        <x:f>IF(C1069="밖",1,0)</x:f>
        <x:v>0</x:v>
      </x:c>
      <x:c r="G1069" t="n">
        <x:f>IF(OR(F1069=1,E1069=1),1,0)</x:f>
        <x:v>0</x:v>
      </x:c>
      <x:c r="H1069" t="str">
        <x:f>IF(B1069=1,IF(F1069=1,"TP","FN"),IF(F1069=1,"FP","TN"))</x:f>
        <x:v>TN</x:v>
      </x:c>
      <x:c r="I1069" t="str">
        <x:f>IF(B1069=1,IF(G1069=1,"TP","FN"),IF(G1069=1,"FP","TN"))</x:f>
        <x:v>TN</x:v>
      </x:c>
    </x:row>
    <x:row r="1070">
      <x:c r="A1070" t="str">
        <x:f>MiniCase_Data!A1070</x:f>
        <x:v>R01069</x:v>
      </x:c>
      <x:c r="B1070" t="n">
        <x:f>IF(MiniCase_Data!O1070="불합격",1,0)</x:f>
        <x:v>0</x:v>
      </x:c>
      <x:c r="C1070" t="str">
        <x:f>IF(ISBLANK(MiniCase_Data!H1070),"missing",IF(OR(MiniCase_Data!H1070&lt;27,MiniCase_Data!H1070&gt;33),"밖","안"))</x:f>
        <x:v>안</x:v>
      </x:c>
      <x:c r="D1070" t="n">
        <x:f>IF(ISBLANK(MiniCase_Data!H1070),VLOOKUP(A1070,센서로그!$A$2:$C$13,3,FALSE),MiniCase_Data!H1070)</x:f>
        <x:v>31.79</x:v>
      </x:c>
      <x:c r="E1070" t="n">
        <x:f>IF(AND(MiniCase_Data!C1070="야간",MiniCase_Data!F1070="M03"),1,0)</x:f>
        <x:v>0</x:v>
      </x:c>
      <x:c r="F1070" t="n">
        <x:f>IF(C1070="밖",1,0)</x:f>
        <x:v>0</x:v>
      </x:c>
      <x:c r="G1070" t="n">
        <x:f>IF(OR(F1070=1,E1070=1),1,0)</x:f>
        <x:v>0</x:v>
      </x:c>
      <x:c r="H1070" t="str">
        <x:f>IF(B1070=1,IF(F1070=1,"TP","FN"),IF(F1070=1,"FP","TN"))</x:f>
        <x:v>TN</x:v>
      </x:c>
      <x:c r="I1070" t="str">
        <x:f>IF(B1070=1,IF(G1070=1,"TP","FN"),IF(G1070=1,"FP","TN"))</x:f>
        <x:v>TN</x:v>
      </x:c>
    </x:row>
    <x:row r="1071">
      <x:c r="A1071" t="str">
        <x:f>MiniCase_Data!A1071</x:f>
        <x:v>R01070</x:v>
      </x:c>
      <x:c r="B1071" t="n">
        <x:f>IF(MiniCase_Data!O1071="불합격",1,0)</x:f>
        <x:v>0</x:v>
      </x:c>
      <x:c r="C1071" t="str">
        <x:f>IF(ISBLANK(MiniCase_Data!H1071),"missing",IF(OR(MiniCase_Data!H1071&lt;27,MiniCase_Data!H1071&gt;33),"밖","안"))</x:f>
        <x:v>안</x:v>
      </x:c>
      <x:c r="D1071" t="n">
        <x:f>IF(ISBLANK(MiniCase_Data!H1071),VLOOKUP(A1071,센서로그!$A$2:$C$13,3,FALSE),MiniCase_Data!H1071)</x:f>
        <x:v>28.81</x:v>
      </x:c>
      <x:c r="E1071" t="n">
        <x:f>IF(AND(MiniCase_Data!C1071="야간",MiniCase_Data!F1071="M03"),1,0)</x:f>
        <x:v>0</x:v>
      </x:c>
      <x:c r="F1071" t="n">
        <x:f>IF(C1071="밖",1,0)</x:f>
        <x:v>0</x:v>
      </x:c>
      <x:c r="G1071" t="n">
        <x:f>IF(OR(F1071=1,E1071=1),1,0)</x:f>
        <x:v>0</x:v>
      </x:c>
      <x:c r="H1071" t="str">
        <x:f>IF(B1071=1,IF(F1071=1,"TP","FN"),IF(F1071=1,"FP","TN"))</x:f>
        <x:v>TN</x:v>
      </x:c>
      <x:c r="I1071" t="str">
        <x:f>IF(B1071=1,IF(G1071=1,"TP","FN"),IF(G1071=1,"FP","TN"))</x:f>
        <x:v>TN</x:v>
      </x:c>
    </x:row>
    <x:row r="1072">
      <x:c r="A1072" t="str">
        <x:f>MiniCase_Data!A1072</x:f>
        <x:v>R01071</x:v>
      </x:c>
      <x:c r="B1072" t="n">
        <x:f>IF(MiniCase_Data!O1072="불합격",1,0)</x:f>
        <x:v>0</x:v>
      </x:c>
      <x:c r="C1072" t="str">
        <x:f>IF(ISBLANK(MiniCase_Data!H1072),"missing",IF(OR(MiniCase_Data!H1072&lt;27,MiniCase_Data!H1072&gt;33),"밖","안"))</x:f>
        <x:v>안</x:v>
      </x:c>
      <x:c r="D1072" t="n">
        <x:f>IF(ISBLANK(MiniCase_Data!H1072),VLOOKUP(A1072,센서로그!$A$2:$C$13,3,FALSE),MiniCase_Data!H1072)</x:f>
        <x:v>28.29</x:v>
      </x:c>
      <x:c r="E1072" t="n">
        <x:f>IF(AND(MiniCase_Data!C1072="야간",MiniCase_Data!F1072="M03"),1,0)</x:f>
        <x:v>0</x:v>
      </x:c>
      <x:c r="F1072" t="n">
        <x:f>IF(C1072="밖",1,0)</x:f>
        <x:v>0</x:v>
      </x:c>
      <x:c r="G1072" t="n">
        <x:f>IF(OR(F1072=1,E1072=1),1,0)</x:f>
        <x:v>0</x:v>
      </x:c>
      <x:c r="H1072" t="str">
        <x:f>IF(B1072=1,IF(F1072=1,"TP","FN"),IF(F1072=1,"FP","TN"))</x:f>
        <x:v>TN</x:v>
      </x:c>
      <x:c r="I1072" t="str">
        <x:f>IF(B1072=1,IF(G1072=1,"TP","FN"),IF(G1072=1,"FP","TN"))</x:f>
        <x:v>TN</x:v>
      </x:c>
    </x:row>
    <x:row r="1073">
      <x:c r="A1073" t="str">
        <x:f>MiniCase_Data!A1073</x:f>
        <x:v>R01072</x:v>
      </x:c>
      <x:c r="B1073" t="n">
        <x:f>IF(MiniCase_Data!O1073="불합격",1,0)</x:f>
        <x:v>0</x:v>
      </x:c>
      <x:c r="C1073" t="str">
        <x:f>IF(ISBLANK(MiniCase_Data!H1073),"missing",IF(OR(MiniCase_Data!H1073&lt;27,MiniCase_Data!H1073&gt;33),"밖","안"))</x:f>
        <x:v>안</x:v>
      </x:c>
      <x:c r="D1073" t="n">
        <x:f>IF(ISBLANK(MiniCase_Data!H1073),VLOOKUP(A1073,센서로그!$A$2:$C$13,3,FALSE),MiniCase_Data!H1073)</x:f>
        <x:v>28.15</x:v>
      </x:c>
      <x:c r="E1073" t="n">
        <x:f>IF(AND(MiniCase_Data!C1073="야간",MiniCase_Data!F1073="M03"),1,0)</x:f>
        <x:v>0</x:v>
      </x:c>
      <x:c r="F1073" t="n">
        <x:f>IF(C1073="밖",1,0)</x:f>
        <x:v>0</x:v>
      </x:c>
      <x:c r="G1073" t="n">
        <x:f>IF(OR(F1073=1,E1073=1),1,0)</x:f>
        <x:v>0</x:v>
      </x:c>
      <x:c r="H1073" t="str">
        <x:f>IF(B1073=1,IF(F1073=1,"TP","FN"),IF(F1073=1,"FP","TN"))</x:f>
        <x:v>TN</x:v>
      </x:c>
      <x:c r="I1073" t="str">
        <x:f>IF(B1073=1,IF(G1073=1,"TP","FN"),IF(G1073=1,"FP","TN"))</x:f>
        <x:v>TN</x:v>
      </x:c>
    </x:row>
    <x:row r="1074">
      <x:c r="A1074" t="str">
        <x:f>MiniCase_Data!A1074</x:f>
        <x:v>R01073</x:v>
      </x:c>
      <x:c r="B1074" t="n">
        <x:f>IF(MiniCase_Data!O1074="불합격",1,0)</x:f>
        <x:v>0</x:v>
      </x:c>
      <x:c r="C1074" t="str">
        <x:f>IF(ISBLANK(MiniCase_Data!H1074),"missing",IF(OR(MiniCase_Data!H1074&lt;27,MiniCase_Data!H1074&gt;33),"밖","안"))</x:f>
        <x:v>안</x:v>
      </x:c>
      <x:c r="D1074" t="n">
        <x:f>IF(ISBLANK(MiniCase_Data!H1074),VLOOKUP(A1074,센서로그!$A$2:$C$13,3,FALSE),MiniCase_Data!H1074)</x:f>
        <x:v>29.31</x:v>
      </x:c>
      <x:c r="E1074" t="n">
        <x:f>IF(AND(MiniCase_Data!C1074="야간",MiniCase_Data!F1074="M03"),1,0)</x:f>
        <x:v>0</x:v>
      </x:c>
      <x:c r="F1074" t="n">
        <x:f>IF(C1074="밖",1,0)</x:f>
        <x:v>0</x:v>
      </x:c>
      <x:c r="G1074" t="n">
        <x:f>IF(OR(F1074=1,E1074=1),1,0)</x:f>
        <x:v>0</x:v>
      </x:c>
      <x:c r="H1074" t="str">
        <x:f>IF(B1074=1,IF(F1074=1,"TP","FN"),IF(F1074=1,"FP","TN"))</x:f>
        <x:v>TN</x:v>
      </x:c>
      <x:c r="I1074" t="str">
        <x:f>IF(B1074=1,IF(G1074=1,"TP","FN"),IF(G1074=1,"FP","TN"))</x:f>
        <x:v>TN</x:v>
      </x:c>
    </x:row>
    <x:row r="1075">
      <x:c r="A1075" t="str">
        <x:f>MiniCase_Data!A1075</x:f>
        <x:v>R01074</x:v>
      </x:c>
      <x:c r="B1075" t="n">
        <x:f>IF(MiniCase_Data!O1075="불합격",1,0)</x:f>
        <x:v>0</x:v>
      </x:c>
      <x:c r="C1075" t="str">
        <x:f>IF(ISBLANK(MiniCase_Data!H1075),"missing",IF(OR(MiniCase_Data!H1075&lt;27,MiniCase_Data!H1075&gt;33),"밖","안"))</x:f>
        <x:v>안</x:v>
      </x:c>
      <x:c r="D1075" t="n">
        <x:f>IF(ISBLANK(MiniCase_Data!H1075),VLOOKUP(A1075,센서로그!$A$2:$C$13,3,FALSE),MiniCase_Data!H1075)</x:f>
        <x:v>31.55</x:v>
      </x:c>
      <x:c r="E1075" t="n">
        <x:f>IF(AND(MiniCase_Data!C1075="야간",MiniCase_Data!F1075="M03"),1,0)</x:f>
        <x:v>0</x:v>
      </x:c>
      <x:c r="F1075" t="n">
        <x:f>IF(C1075="밖",1,0)</x:f>
        <x:v>0</x:v>
      </x:c>
      <x:c r="G1075" t="n">
        <x:f>IF(OR(F1075=1,E1075=1),1,0)</x:f>
        <x:v>0</x:v>
      </x:c>
      <x:c r="H1075" t="str">
        <x:f>IF(B1075=1,IF(F1075=1,"TP","FN"),IF(F1075=1,"FP","TN"))</x:f>
        <x:v>TN</x:v>
      </x:c>
      <x:c r="I1075" t="str">
        <x:f>IF(B1075=1,IF(G1075=1,"TP","FN"),IF(G1075=1,"FP","TN"))</x:f>
        <x:v>TN</x:v>
      </x:c>
    </x:row>
    <x:row r="1076">
      <x:c r="A1076" t="str">
        <x:f>MiniCase_Data!A1076</x:f>
        <x:v>R01075</x:v>
      </x:c>
      <x:c r="B1076" t="n">
        <x:f>IF(MiniCase_Data!O1076="불합격",1,0)</x:f>
        <x:v>0</x:v>
      </x:c>
      <x:c r="C1076" t="str">
        <x:f>IF(ISBLANK(MiniCase_Data!H1076),"missing",IF(OR(MiniCase_Data!H1076&lt;27,MiniCase_Data!H1076&gt;33),"밖","안"))</x:f>
        <x:v>안</x:v>
      </x:c>
      <x:c r="D1076" t="n">
        <x:f>IF(ISBLANK(MiniCase_Data!H1076),VLOOKUP(A1076,센서로그!$A$2:$C$13,3,FALSE),MiniCase_Data!H1076)</x:f>
        <x:v>30.53</x:v>
      </x:c>
      <x:c r="E1076" t="n">
        <x:f>IF(AND(MiniCase_Data!C1076="야간",MiniCase_Data!F1076="M03"),1,0)</x:f>
        <x:v>0</x:v>
      </x:c>
      <x:c r="F1076" t="n">
        <x:f>IF(C1076="밖",1,0)</x:f>
        <x:v>0</x:v>
      </x:c>
      <x:c r="G1076" t="n">
        <x:f>IF(OR(F1076=1,E1076=1),1,0)</x:f>
        <x:v>0</x:v>
      </x:c>
      <x:c r="H1076" t="str">
        <x:f>IF(B1076=1,IF(F1076=1,"TP","FN"),IF(F1076=1,"FP","TN"))</x:f>
        <x:v>TN</x:v>
      </x:c>
      <x:c r="I1076" t="str">
        <x:f>IF(B1076=1,IF(G1076=1,"TP","FN"),IF(G1076=1,"FP","TN"))</x:f>
        <x:v>TN</x:v>
      </x:c>
    </x:row>
    <x:row r="1077">
      <x:c r="A1077" t="str">
        <x:f>MiniCase_Data!A1077</x:f>
        <x:v>R01076</x:v>
      </x:c>
      <x:c r="B1077" t="n">
        <x:f>IF(MiniCase_Data!O1077="불합격",1,0)</x:f>
        <x:v>0</x:v>
      </x:c>
      <x:c r="C1077" t="str">
        <x:f>IF(ISBLANK(MiniCase_Data!H1077),"missing",IF(OR(MiniCase_Data!H1077&lt;27,MiniCase_Data!H1077&gt;33),"밖","안"))</x:f>
        <x:v>안</x:v>
      </x:c>
      <x:c r="D1077" t="n">
        <x:f>IF(ISBLANK(MiniCase_Data!H1077),VLOOKUP(A1077,센서로그!$A$2:$C$13,3,FALSE),MiniCase_Data!H1077)</x:f>
        <x:v>30.93</x:v>
      </x:c>
      <x:c r="E1077" t="n">
        <x:f>IF(AND(MiniCase_Data!C1077="야간",MiniCase_Data!F1077="M03"),1,0)</x:f>
        <x:v>0</x:v>
      </x:c>
      <x:c r="F1077" t="n">
        <x:f>IF(C1077="밖",1,0)</x:f>
        <x:v>0</x:v>
      </x:c>
      <x:c r="G1077" t="n">
        <x:f>IF(OR(F1077=1,E1077=1),1,0)</x:f>
        <x:v>0</x:v>
      </x:c>
      <x:c r="H1077" t="str">
        <x:f>IF(B1077=1,IF(F1077=1,"TP","FN"),IF(F1077=1,"FP","TN"))</x:f>
        <x:v>TN</x:v>
      </x:c>
      <x:c r="I1077" t="str">
        <x:f>IF(B1077=1,IF(G1077=1,"TP","FN"),IF(G1077=1,"FP","TN"))</x:f>
        <x:v>TN</x:v>
      </x:c>
    </x:row>
    <x:row r="1078">
      <x:c r="A1078" t="str">
        <x:f>MiniCase_Data!A1078</x:f>
        <x:v>R01077</x:v>
      </x:c>
      <x:c r="B1078" t="n">
        <x:f>IF(MiniCase_Data!O1078="불합격",1,0)</x:f>
        <x:v>0</x:v>
      </x:c>
      <x:c r="C1078" t="str">
        <x:f>IF(ISBLANK(MiniCase_Data!H1078),"missing",IF(OR(MiniCase_Data!H1078&lt;27,MiniCase_Data!H1078&gt;33),"밖","안"))</x:f>
        <x:v>안</x:v>
      </x:c>
      <x:c r="D1078" t="n">
        <x:f>IF(ISBLANK(MiniCase_Data!H1078),VLOOKUP(A1078,센서로그!$A$2:$C$13,3,FALSE),MiniCase_Data!H1078)</x:f>
        <x:v>27.91</x:v>
      </x:c>
      <x:c r="E1078" t="n">
        <x:f>IF(AND(MiniCase_Data!C1078="야간",MiniCase_Data!F1078="M03"),1,0)</x:f>
        <x:v>0</x:v>
      </x:c>
      <x:c r="F1078" t="n">
        <x:f>IF(C1078="밖",1,0)</x:f>
        <x:v>0</x:v>
      </x:c>
      <x:c r="G1078" t="n">
        <x:f>IF(OR(F1078=1,E1078=1),1,0)</x:f>
        <x:v>0</x:v>
      </x:c>
      <x:c r="H1078" t="str">
        <x:f>IF(B1078=1,IF(F1078=1,"TP","FN"),IF(F1078=1,"FP","TN"))</x:f>
        <x:v>TN</x:v>
      </x:c>
      <x:c r="I1078" t="str">
        <x:f>IF(B1078=1,IF(G1078=1,"TP","FN"),IF(G1078=1,"FP","TN"))</x:f>
        <x:v>TN</x:v>
      </x:c>
    </x:row>
    <x:row r="1079">
      <x:c r="A1079" t="str">
        <x:f>MiniCase_Data!A1079</x:f>
        <x:v>R01078</x:v>
      </x:c>
      <x:c r="B1079" t="n">
        <x:f>IF(MiniCase_Data!O1079="불합격",1,0)</x:f>
        <x:v>0</x:v>
      </x:c>
      <x:c r="C1079" t="str">
        <x:f>IF(ISBLANK(MiniCase_Data!H1079),"missing",IF(OR(MiniCase_Data!H1079&lt;27,MiniCase_Data!H1079&gt;33),"밖","안"))</x:f>
        <x:v>안</x:v>
      </x:c>
      <x:c r="D1079" t="n">
        <x:f>IF(ISBLANK(MiniCase_Data!H1079),VLOOKUP(A1079,센서로그!$A$2:$C$13,3,FALSE),MiniCase_Data!H1079)</x:f>
        <x:v>27.58</x:v>
      </x:c>
      <x:c r="E1079" t="n">
        <x:f>IF(AND(MiniCase_Data!C1079="야간",MiniCase_Data!F1079="M03"),1,0)</x:f>
        <x:v>0</x:v>
      </x:c>
      <x:c r="F1079" t="n">
        <x:f>IF(C1079="밖",1,0)</x:f>
        <x:v>0</x:v>
      </x:c>
      <x:c r="G1079" t="n">
        <x:f>IF(OR(F1079=1,E1079=1),1,0)</x:f>
        <x:v>0</x:v>
      </x:c>
      <x:c r="H1079" t="str">
        <x:f>IF(B1079=1,IF(F1079=1,"TP","FN"),IF(F1079=1,"FP","TN"))</x:f>
        <x:v>TN</x:v>
      </x:c>
      <x:c r="I1079" t="str">
        <x:f>IF(B1079=1,IF(G1079=1,"TP","FN"),IF(G1079=1,"FP","TN"))</x:f>
        <x:v>TN</x:v>
      </x:c>
    </x:row>
    <x:row r="1080">
      <x:c r="A1080" t="str">
        <x:f>MiniCase_Data!A1080</x:f>
        <x:v>R01079</x:v>
      </x:c>
      <x:c r="B1080" t="n">
        <x:f>IF(MiniCase_Data!O1080="불합격",1,0)</x:f>
        <x:v>0</x:v>
      </x:c>
      <x:c r="C1080" t="str">
        <x:f>IF(ISBLANK(MiniCase_Data!H1080),"missing",IF(OR(MiniCase_Data!H1080&lt;27,MiniCase_Data!H1080&gt;33),"밖","안"))</x:f>
        <x:v>안</x:v>
      </x:c>
      <x:c r="D1080" t="n">
        <x:f>IF(ISBLANK(MiniCase_Data!H1080),VLOOKUP(A1080,센서로그!$A$2:$C$13,3,FALSE),MiniCase_Data!H1080)</x:f>
        <x:v>27.43</x:v>
      </x:c>
      <x:c r="E1080" t="n">
        <x:f>IF(AND(MiniCase_Data!C1080="야간",MiniCase_Data!F1080="M03"),1,0)</x:f>
        <x:v>0</x:v>
      </x:c>
      <x:c r="F1080" t="n">
        <x:f>IF(C1080="밖",1,0)</x:f>
        <x:v>0</x:v>
      </x:c>
      <x:c r="G1080" t="n">
        <x:f>IF(OR(F1080=1,E1080=1),1,0)</x:f>
        <x:v>0</x:v>
      </x:c>
      <x:c r="H1080" t="str">
        <x:f>IF(B1080=1,IF(F1080=1,"TP","FN"),IF(F1080=1,"FP","TN"))</x:f>
        <x:v>TN</x:v>
      </x:c>
      <x:c r="I1080" t="str">
        <x:f>IF(B1080=1,IF(G1080=1,"TP","FN"),IF(G1080=1,"FP","TN"))</x:f>
        <x:v>TN</x:v>
      </x:c>
    </x:row>
    <x:row r="1081">
      <x:c r="A1081" t="str">
        <x:f>MiniCase_Data!A1081</x:f>
        <x:v>R01080</x:v>
      </x:c>
      <x:c r="B1081" t="n">
        <x:f>IF(MiniCase_Data!O1081="불합격",1,0)</x:f>
        <x:v>0</x:v>
      </x:c>
      <x:c r="C1081" t="str">
        <x:f>IF(ISBLANK(MiniCase_Data!H1081),"missing",IF(OR(MiniCase_Data!H1081&lt;27,MiniCase_Data!H1081&gt;33),"밖","안"))</x:f>
        <x:v>안</x:v>
      </x:c>
      <x:c r="D1081" t="n">
        <x:f>IF(ISBLANK(MiniCase_Data!H1081),VLOOKUP(A1081,센서로그!$A$2:$C$13,3,FALSE),MiniCase_Data!H1081)</x:f>
        <x:v>29.54</x:v>
      </x:c>
      <x:c r="E1081" t="n">
        <x:f>IF(AND(MiniCase_Data!C1081="야간",MiniCase_Data!F1081="M03"),1,0)</x:f>
        <x:v>0</x:v>
      </x:c>
      <x:c r="F1081" t="n">
        <x:f>IF(C1081="밖",1,0)</x:f>
        <x:v>0</x:v>
      </x:c>
      <x:c r="G1081" t="n">
        <x:f>IF(OR(F1081=1,E1081=1),1,0)</x:f>
        <x:v>0</x:v>
      </x:c>
      <x:c r="H1081" t="str">
        <x:f>IF(B1081=1,IF(F1081=1,"TP","FN"),IF(F1081=1,"FP","TN"))</x:f>
        <x:v>TN</x:v>
      </x:c>
      <x:c r="I1081" t="str">
        <x:f>IF(B1081=1,IF(G1081=1,"TP","FN"),IF(G1081=1,"FP","TN"))</x:f>
        <x:v>TN</x:v>
      </x:c>
    </x:row>
    <x:row r="1082">
      <x:c r="A1082" t="str">
        <x:f>MiniCase_Data!A1082</x:f>
        <x:v>R01081</x:v>
      </x:c>
      <x:c r="B1082" t="n">
        <x:f>IF(MiniCase_Data!O1082="불합격",1,0)</x:f>
        <x:v>0</x:v>
      </x:c>
      <x:c r="C1082" t="str">
        <x:f>IF(ISBLANK(MiniCase_Data!H1082),"missing",IF(OR(MiniCase_Data!H1082&lt;27,MiniCase_Data!H1082&gt;33),"밖","안"))</x:f>
        <x:v>안</x:v>
      </x:c>
      <x:c r="D1082" t="n">
        <x:f>IF(ISBLANK(MiniCase_Data!H1082),VLOOKUP(A1082,센서로그!$A$2:$C$13,3,FALSE),MiniCase_Data!H1082)</x:f>
        <x:v>31.32</x:v>
      </x:c>
      <x:c r="E1082" t="n">
        <x:f>IF(AND(MiniCase_Data!C1082="야간",MiniCase_Data!F1082="M03"),1,0)</x:f>
        <x:v>0</x:v>
      </x:c>
      <x:c r="F1082" t="n">
        <x:f>IF(C1082="밖",1,0)</x:f>
        <x:v>0</x:v>
      </x:c>
      <x:c r="G1082" t="n">
        <x:f>IF(OR(F1082=1,E1082=1),1,0)</x:f>
        <x:v>0</x:v>
      </x:c>
      <x:c r="H1082" t="str">
        <x:f>IF(B1082=1,IF(F1082=1,"TP","FN"),IF(F1082=1,"FP","TN"))</x:f>
        <x:v>TN</x:v>
      </x:c>
      <x:c r="I1082" t="str">
        <x:f>IF(B1082=1,IF(G1082=1,"TP","FN"),IF(G1082=1,"FP","TN"))</x:f>
        <x:v>TN</x:v>
      </x:c>
    </x:row>
    <x:row r="1083">
      <x:c r="A1083" t="str">
        <x:f>MiniCase_Data!A1083</x:f>
        <x:v>R01082</x:v>
      </x:c>
      <x:c r="B1083" t="n">
        <x:f>IF(MiniCase_Data!O1083="불합격",1,0)</x:f>
        <x:v>0</x:v>
      </x:c>
      <x:c r="C1083" t="str">
        <x:f>IF(ISBLANK(MiniCase_Data!H1083),"missing",IF(OR(MiniCase_Data!H1083&lt;27,MiniCase_Data!H1083&gt;33),"밖","안"))</x:f>
        <x:v>안</x:v>
      </x:c>
      <x:c r="D1083" t="n">
        <x:f>IF(ISBLANK(MiniCase_Data!H1083),VLOOKUP(A1083,센서로그!$A$2:$C$13,3,FALSE),MiniCase_Data!H1083)</x:f>
        <x:v>28.24</x:v>
      </x:c>
      <x:c r="E1083" t="n">
        <x:f>IF(AND(MiniCase_Data!C1083="야간",MiniCase_Data!F1083="M03"),1,0)</x:f>
        <x:v>0</x:v>
      </x:c>
      <x:c r="F1083" t="n">
        <x:f>IF(C1083="밖",1,0)</x:f>
        <x:v>0</x:v>
      </x:c>
      <x:c r="G1083" t="n">
        <x:f>IF(OR(F1083=1,E1083=1),1,0)</x:f>
        <x:v>0</x:v>
      </x:c>
      <x:c r="H1083" t="str">
        <x:f>IF(B1083=1,IF(F1083=1,"TP","FN"),IF(F1083=1,"FP","TN"))</x:f>
        <x:v>TN</x:v>
      </x:c>
      <x:c r="I1083" t="str">
        <x:f>IF(B1083=1,IF(G1083=1,"TP","FN"),IF(G1083=1,"FP","TN"))</x:f>
        <x:v>TN</x:v>
      </x:c>
    </x:row>
    <x:row r="1084">
      <x:c r="A1084" t="str">
        <x:f>MiniCase_Data!A1084</x:f>
        <x:v>R01083</x:v>
      </x:c>
      <x:c r="B1084" t="n">
        <x:f>IF(MiniCase_Data!O1084="불합격",1,0)</x:f>
        <x:v>0</x:v>
      </x:c>
      <x:c r="C1084" t="str">
        <x:f>IF(ISBLANK(MiniCase_Data!H1084),"missing",IF(OR(MiniCase_Data!H1084&lt;27,MiniCase_Data!H1084&gt;33),"밖","안"))</x:f>
        <x:v>안</x:v>
      </x:c>
      <x:c r="D1084" t="n">
        <x:f>IF(ISBLANK(MiniCase_Data!H1084),VLOOKUP(A1084,센서로그!$A$2:$C$13,3,FALSE),MiniCase_Data!H1084)</x:f>
        <x:v>27.72</x:v>
      </x:c>
      <x:c r="E1084" t="n">
        <x:f>IF(AND(MiniCase_Data!C1084="야간",MiniCase_Data!F1084="M03"),1,0)</x:f>
        <x:v>0</x:v>
      </x:c>
      <x:c r="F1084" t="n">
        <x:f>IF(C1084="밖",1,0)</x:f>
        <x:v>0</x:v>
      </x:c>
      <x:c r="G1084" t="n">
        <x:f>IF(OR(F1084=1,E1084=1),1,0)</x:f>
        <x:v>0</x:v>
      </x:c>
      <x:c r="H1084" t="str">
        <x:f>IF(B1084=1,IF(F1084=1,"TP","FN"),IF(F1084=1,"FP","TN"))</x:f>
        <x:v>TN</x:v>
      </x:c>
      <x:c r="I1084" t="str">
        <x:f>IF(B1084=1,IF(G1084=1,"TP","FN"),IF(G1084=1,"FP","TN"))</x:f>
        <x:v>TN</x:v>
      </x:c>
    </x:row>
    <x:row r="1085">
      <x:c r="A1085" t="str">
        <x:f>MiniCase_Data!A1085</x:f>
        <x:v>R01084</x:v>
      </x:c>
      <x:c r="B1085" t="n">
        <x:f>IF(MiniCase_Data!O1085="불합격",1,0)</x:f>
        <x:v>0</x:v>
      </x:c>
      <x:c r="C1085" t="str">
        <x:f>IF(ISBLANK(MiniCase_Data!H1085),"missing",IF(OR(MiniCase_Data!H1085&lt;27,MiniCase_Data!H1085&gt;33),"밖","안"))</x:f>
        <x:v>안</x:v>
      </x:c>
      <x:c r="D1085" t="n">
        <x:f>IF(ISBLANK(MiniCase_Data!H1085),VLOOKUP(A1085,센서로그!$A$2:$C$13,3,FALSE),MiniCase_Data!H1085)</x:f>
        <x:v>30.03</x:v>
      </x:c>
      <x:c r="E1085" t="n">
        <x:f>IF(AND(MiniCase_Data!C1085="야간",MiniCase_Data!F1085="M03"),1,0)</x:f>
        <x:v>1</x:v>
      </x:c>
      <x:c r="F1085" t="n">
        <x:f>IF(C1085="밖",1,0)</x:f>
        <x:v>0</x:v>
      </x:c>
      <x:c r="G1085" t="n">
        <x:f>IF(OR(F1085=1,E1085=1),1,0)</x:f>
        <x:v>1</x:v>
      </x:c>
      <x:c r="H1085" t="str">
        <x:f>IF(B1085=1,IF(F1085=1,"TP","FN"),IF(F1085=1,"FP","TN"))</x:f>
        <x:v>TN</x:v>
      </x:c>
      <x:c r="I1085" t="str">
        <x:f>IF(B1085=1,IF(G1085=1,"TP","FN"),IF(G1085=1,"FP","TN"))</x:f>
        <x:v>FP</x:v>
      </x:c>
    </x:row>
    <x:row r="1086">
      <x:c r="A1086" t="str">
        <x:f>MiniCase_Data!A1086</x:f>
        <x:v>R01085</x:v>
      </x:c>
      <x:c r="B1086" t="n">
        <x:f>IF(MiniCase_Data!O1086="불합격",1,0)</x:f>
        <x:v>0</x:v>
      </x:c>
      <x:c r="C1086" t="str">
        <x:f>IF(ISBLANK(MiniCase_Data!H1086),"missing",IF(OR(MiniCase_Data!H1086&lt;27,MiniCase_Data!H1086&gt;33),"밖","안"))</x:f>
        <x:v>안</x:v>
      </x:c>
      <x:c r="D1086" t="n">
        <x:f>IF(ISBLANK(MiniCase_Data!H1086),VLOOKUP(A1086,센서로그!$A$2:$C$13,3,FALSE),MiniCase_Data!H1086)</x:f>
        <x:v>32.13</x:v>
      </x:c>
      <x:c r="E1086" t="n">
        <x:f>IF(AND(MiniCase_Data!C1086="야간",MiniCase_Data!F1086="M03"),1,0)</x:f>
        <x:v>0</x:v>
      </x:c>
      <x:c r="F1086" t="n">
        <x:f>IF(C1086="밖",1,0)</x:f>
        <x:v>0</x:v>
      </x:c>
      <x:c r="G1086" t="n">
        <x:f>IF(OR(F1086=1,E1086=1),1,0)</x:f>
        <x:v>0</x:v>
      </x:c>
      <x:c r="H1086" t="str">
        <x:f>IF(B1086=1,IF(F1086=1,"TP","FN"),IF(F1086=1,"FP","TN"))</x:f>
        <x:v>TN</x:v>
      </x:c>
      <x:c r="I1086" t="str">
        <x:f>IF(B1086=1,IF(G1086=1,"TP","FN"),IF(G1086=1,"FP","TN"))</x:f>
        <x:v>TN</x:v>
      </x:c>
    </x:row>
    <x:row r="1087">
      <x:c r="A1087" t="str">
        <x:f>MiniCase_Data!A1087</x:f>
        <x:v>R01086</x:v>
      </x:c>
      <x:c r="B1087" t="n">
        <x:f>IF(MiniCase_Data!O1087="불합격",1,0)</x:f>
        <x:v>0</x:v>
      </x:c>
      <x:c r="C1087" t="str">
        <x:f>IF(ISBLANK(MiniCase_Data!H1087),"missing",IF(OR(MiniCase_Data!H1087&lt;27,MiniCase_Data!H1087&gt;33),"밖","안"))</x:f>
        <x:v>안</x:v>
      </x:c>
      <x:c r="D1087" t="n">
        <x:f>IF(ISBLANK(MiniCase_Data!H1087),VLOOKUP(A1087,센서로그!$A$2:$C$13,3,FALSE),MiniCase_Data!H1087)</x:f>
        <x:v>29.13</x:v>
      </x:c>
      <x:c r="E1087" t="n">
        <x:f>IF(AND(MiniCase_Data!C1087="야간",MiniCase_Data!F1087="M03"),1,0)</x:f>
        <x:v>0</x:v>
      </x:c>
      <x:c r="F1087" t="n">
        <x:f>IF(C1087="밖",1,0)</x:f>
        <x:v>0</x:v>
      </x:c>
      <x:c r="G1087" t="n">
        <x:f>IF(OR(F1087=1,E1087=1),1,0)</x:f>
        <x:v>0</x:v>
      </x:c>
      <x:c r="H1087" t="str">
        <x:f>IF(B1087=1,IF(F1087=1,"TP","FN"),IF(F1087=1,"FP","TN"))</x:f>
        <x:v>TN</x:v>
      </x:c>
      <x:c r="I1087" t="str">
        <x:f>IF(B1087=1,IF(G1087=1,"TP","FN"),IF(G1087=1,"FP","TN"))</x:f>
        <x:v>TN</x:v>
      </x:c>
    </x:row>
    <x:row r="1088">
      <x:c r="A1088" t="str">
        <x:f>MiniCase_Data!A1088</x:f>
        <x:v>R01087</x:v>
      </x:c>
      <x:c r="B1088" t="n">
        <x:f>IF(MiniCase_Data!O1088="불합격",1,0)</x:f>
        <x:v>0</x:v>
      </x:c>
      <x:c r="C1088" t="str">
        <x:f>IF(ISBLANK(MiniCase_Data!H1088),"missing",IF(OR(MiniCase_Data!H1088&lt;27,MiniCase_Data!H1088&gt;33),"밖","안"))</x:f>
        <x:v>안</x:v>
      </x:c>
      <x:c r="D1088" t="n">
        <x:f>IF(ISBLANK(MiniCase_Data!H1088),VLOOKUP(A1088,센서로그!$A$2:$C$13,3,FALSE),MiniCase_Data!H1088)</x:f>
        <x:v>32.51</x:v>
      </x:c>
      <x:c r="E1088" t="n">
        <x:f>IF(AND(MiniCase_Data!C1088="야간",MiniCase_Data!F1088="M03"),1,0)</x:f>
        <x:v>0</x:v>
      </x:c>
      <x:c r="F1088" t="n">
        <x:f>IF(C1088="밖",1,0)</x:f>
        <x:v>0</x:v>
      </x:c>
      <x:c r="G1088" t="n">
        <x:f>IF(OR(F1088=1,E1088=1),1,0)</x:f>
        <x:v>0</x:v>
      </x:c>
      <x:c r="H1088" t="str">
        <x:f>IF(B1088=1,IF(F1088=1,"TP","FN"),IF(F1088=1,"FP","TN"))</x:f>
        <x:v>TN</x:v>
      </x:c>
      <x:c r="I1088" t="str">
        <x:f>IF(B1088=1,IF(G1088=1,"TP","FN"),IF(G1088=1,"FP","TN"))</x:f>
        <x:v>TN</x:v>
      </x:c>
    </x:row>
    <x:row r="1089">
      <x:c r="A1089" t="str">
        <x:f>MiniCase_Data!A1089</x:f>
        <x:v>R01088</x:v>
      </x:c>
      <x:c r="B1089" t="n">
        <x:f>IF(MiniCase_Data!O1089="불합격",1,0)</x:f>
        <x:v>0</x:v>
      </x:c>
      <x:c r="C1089" t="str">
        <x:f>IF(ISBLANK(MiniCase_Data!H1089),"missing",IF(OR(MiniCase_Data!H1089&lt;27,MiniCase_Data!H1089&gt;33),"밖","안"))</x:f>
        <x:v>안</x:v>
      </x:c>
      <x:c r="D1089" t="n">
        <x:f>IF(ISBLANK(MiniCase_Data!H1089),VLOOKUP(A1089,센서로그!$A$2:$C$13,3,FALSE),MiniCase_Data!H1089)</x:f>
        <x:v>29.06</x:v>
      </x:c>
      <x:c r="E1089" t="n">
        <x:f>IF(AND(MiniCase_Data!C1089="야간",MiniCase_Data!F1089="M03"),1,0)</x:f>
        <x:v>0</x:v>
      </x:c>
      <x:c r="F1089" t="n">
        <x:f>IF(C1089="밖",1,0)</x:f>
        <x:v>0</x:v>
      </x:c>
      <x:c r="G1089" t="n">
        <x:f>IF(OR(F1089=1,E1089=1),1,0)</x:f>
        <x:v>0</x:v>
      </x:c>
      <x:c r="H1089" t="str">
        <x:f>IF(B1089=1,IF(F1089=1,"TP","FN"),IF(F1089=1,"FP","TN"))</x:f>
        <x:v>TN</x:v>
      </x:c>
      <x:c r="I1089" t="str">
        <x:f>IF(B1089=1,IF(G1089=1,"TP","FN"),IF(G1089=1,"FP","TN"))</x:f>
        <x:v>TN</x:v>
      </x:c>
    </x:row>
    <x:row r="1090">
      <x:c r="A1090" t="str">
        <x:f>MiniCase_Data!A1090</x:f>
        <x:v>R01089</x:v>
      </x:c>
      <x:c r="B1090" t="n">
        <x:f>IF(MiniCase_Data!O1090="불합격",1,0)</x:f>
        <x:v>0</x:v>
      </x:c>
      <x:c r="C1090" t="str">
        <x:f>IF(ISBLANK(MiniCase_Data!H1090),"missing",IF(OR(MiniCase_Data!H1090&lt;27,MiniCase_Data!H1090&gt;33),"밖","안"))</x:f>
        <x:v>안</x:v>
      </x:c>
      <x:c r="D1090" t="n">
        <x:f>IF(ISBLANK(MiniCase_Data!H1090),VLOOKUP(A1090,센서로그!$A$2:$C$13,3,FALSE),MiniCase_Data!H1090)</x:f>
        <x:v>31.75</x:v>
      </x:c>
      <x:c r="E1090" t="n">
        <x:f>IF(AND(MiniCase_Data!C1090="야간",MiniCase_Data!F1090="M03"),1,0)</x:f>
        <x:v>0</x:v>
      </x:c>
      <x:c r="F1090" t="n">
        <x:f>IF(C1090="밖",1,0)</x:f>
        <x:v>0</x:v>
      </x:c>
      <x:c r="G1090" t="n">
        <x:f>IF(OR(F1090=1,E1090=1),1,0)</x:f>
        <x:v>0</x:v>
      </x:c>
      <x:c r="H1090" t="str">
        <x:f>IF(B1090=1,IF(F1090=1,"TP","FN"),IF(F1090=1,"FP","TN"))</x:f>
        <x:v>TN</x:v>
      </x:c>
      <x:c r="I1090" t="str">
        <x:f>IF(B1090=1,IF(G1090=1,"TP","FN"),IF(G1090=1,"FP","TN"))</x:f>
        <x:v>TN</x:v>
      </x:c>
    </x:row>
    <x:row r="1091">
      <x:c r="A1091" t="str">
        <x:f>MiniCase_Data!A1091</x:f>
        <x:v>R01090</x:v>
      </x:c>
      <x:c r="B1091" t="n">
        <x:f>IF(MiniCase_Data!O1091="불합격",1,0)</x:f>
        <x:v>0</x:v>
      </x:c>
      <x:c r="C1091" t="str">
        <x:f>IF(ISBLANK(MiniCase_Data!H1091),"missing",IF(OR(MiniCase_Data!H1091&lt;27,MiniCase_Data!H1091&gt;33),"밖","안"))</x:f>
        <x:v>안</x:v>
      </x:c>
      <x:c r="D1091" t="n">
        <x:f>IF(ISBLANK(MiniCase_Data!H1091),VLOOKUP(A1091,센서로그!$A$2:$C$13,3,FALSE),MiniCase_Data!H1091)</x:f>
        <x:v>27.97</x:v>
      </x:c>
      <x:c r="E1091" t="n">
        <x:f>IF(AND(MiniCase_Data!C1091="야간",MiniCase_Data!F1091="M03"),1,0)</x:f>
        <x:v>0</x:v>
      </x:c>
      <x:c r="F1091" t="n">
        <x:f>IF(C1091="밖",1,0)</x:f>
        <x:v>0</x:v>
      </x:c>
      <x:c r="G1091" t="n">
        <x:f>IF(OR(F1091=1,E1091=1),1,0)</x:f>
        <x:v>0</x:v>
      </x:c>
      <x:c r="H1091" t="str">
        <x:f>IF(B1091=1,IF(F1091=1,"TP","FN"),IF(F1091=1,"FP","TN"))</x:f>
        <x:v>TN</x:v>
      </x:c>
      <x:c r="I1091" t="str">
        <x:f>IF(B1091=1,IF(G1091=1,"TP","FN"),IF(G1091=1,"FP","TN"))</x:f>
        <x:v>TN</x:v>
      </x:c>
    </x:row>
    <x:row r="1092">
      <x:c r="A1092" t="str">
        <x:f>MiniCase_Data!A1092</x:f>
        <x:v>R01091</x:v>
      </x:c>
      <x:c r="B1092" t="n">
        <x:f>IF(MiniCase_Data!O1092="불합격",1,0)</x:f>
        <x:v>0</x:v>
      </x:c>
      <x:c r="C1092" t="str">
        <x:f>IF(ISBLANK(MiniCase_Data!H1092),"missing",IF(OR(MiniCase_Data!H1092&lt;27,MiniCase_Data!H1092&gt;33),"밖","안"))</x:f>
        <x:v>안</x:v>
      </x:c>
      <x:c r="D1092" t="n">
        <x:f>IF(ISBLANK(MiniCase_Data!H1092),VLOOKUP(A1092,센서로그!$A$2:$C$13,3,FALSE),MiniCase_Data!H1092)</x:f>
        <x:v>27.55</x:v>
      </x:c>
      <x:c r="E1092" t="n">
        <x:f>IF(AND(MiniCase_Data!C1092="야간",MiniCase_Data!F1092="M03"),1,0)</x:f>
        <x:v>0</x:v>
      </x:c>
      <x:c r="F1092" t="n">
        <x:f>IF(C1092="밖",1,0)</x:f>
        <x:v>0</x:v>
      </x:c>
      <x:c r="G1092" t="n">
        <x:f>IF(OR(F1092=1,E1092=1),1,0)</x:f>
        <x:v>0</x:v>
      </x:c>
      <x:c r="H1092" t="str">
        <x:f>IF(B1092=1,IF(F1092=1,"TP","FN"),IF(F1092=1,"FP","TN"))</x:f>
        <x:v>TN</x:v>
      </x:c>
      <x:c r="I1092" t="str">
        <x:f>IF(B1092=1,IF(G1092=1,"TP","FN"),IF(G1092=1,"FP","TN"))</x:f>
        <x:v>TN</x:v>
      </x:c>
    </x:row>
    <x:row r="1093">
      <x:c r="A1093" t="str">
        <x:f>MiniCase_Data!A1093</x:f>
        <x:v>R01092</x:v>
      </x:c>
      <x:c r="B1093" t="n">
        <x:f>IF(MiniCase_Data!O1093="불합격",1,0)</x:f>
        <x:v>0</x:v>
      </x:c>
      <x:c r="C1093" t="str">
        <x:f>IF(ISBLANK(MiniCase_Data!H1093),"missing",IF(OR(MiniCase_Data!H1093&lt;27,MiniCase_Data!H1093&gt;33),"밖","안"))</x:f>
        <x:v>안</x:v>
      </x:c>
      <x:c r="D1093" t="n">
        <x:f>IF(ISBLANK(MiniCase_Data!H1093),VLOOKUP(A1093,센서로그!$A$2:$C$13,3,FALSE),MiniCase_Data!H1093)</x:f>
        <x:v>32.73</x:v>
      </x:c>
      <x:c r="E1093" t="n">
        <x:f>IF(AND(MiniCase_Data!C1093="야간",MiniCase_Data!F1093="M03"),1,0)</x:f>
        <x:v>0</x:v>
      </x:c>
      <x:c r="F1093" t="n">
        <x:f>IF(C1093="밖",1,0)</x:f>
        <x:v>0</x:v>
      </x:c>
      <x:c r="G1093" t="n">
        <x:f>IF(OR(F1093=1,E1093=1),1,0)</x:f>
        <x:v>0</x:v>
      </x:c>
      <x:c r="H1093" t="str">
        <x:f>IF(B1093=1,IF(F1093=1,"TP","FN"),IF(F1093=1,"FP","TN"))</x:f>
        <x:v>TN</x:v>
      </x:c>
      <x:c r="I1093" t="str">
        <x:f>IF(B1093=1,IF(G1093=1,"TP","FN"),IF(G1093=1,"FP","TN"))</x:f>
        <x:v>TN</x:v>
      </x:c>
    </x:row>
    <x:row r="1094">
      <x:c r="A1094" t="str">
        <x:f>MiniCase_Data!A1094</x:f>
        <x:v>R01093</x:v>
      </x:c>
      <x:c r="B1094" t="n">
        <x:f>IF(MiniCase_Data!O1094="불합격",1,0)</x:f>
        <x:v>0</x:v>
      </x:c>
      <x:c r="C1094" t="str">
        <x:f>IF(ISBLANK(MiniCase_Data!H1094),"missing",IF(OR(MiniCase_Data!H1094&lt;27,MiniCase_Data!H1094&gt;33),"밖","안"))</x:f>
        <x:v>안</x:v>
      </x:c>
      <x:c r="D1094" t="n">
        <x:f>IF(ISBLANK(MiniCase_Data!H1094),VLOOKUP(A1094,센서로그!$A$2:$C$13,3,FALSE),MiniCase_Data!H1094)</x:f>
        <x:v>30.8</x:v>
      </x:c>
      <x:c r="E1094" t="n">
        <x:f>IF(AND(MiniCase_Data!C1094="야간",MiniCase_Data!F1094="M03"),1,0)</x:f>
        <x:v>0</x:v>
      </x:c>
      <x:c r="F1094" t="n">
        <x:f>IF(C1094="밖",1,0)</x:f>
        <x:v>0</x:v>
      </x:c>
      <x:c r="G1094" t="n">
        <x:f>IF(OR(F1094=1,E1094=1),1,0)</x:f>
        <x:v>0</x:v>
      </x:c>
      <x:c r="H1094" t="str">
        <x:f>IF(B1094=1,IF(F1094=1,"TP","FN"),IF(F1094=1,"FP","TN"))</x:f>
        <x:v>TN</x:v>
      </x:c>
      <x:c r="I1094" t="str">
        <x:f>IF(B1094=1,IF(G1094=1,"TP","FN"),IF(G1094=1,"FP","TN"))</x:f>
        <x:v>TN</x:v>
      </x:c>
    </x:row>
    <x:row r="1095">
      <x:c r="A1095" t="str">
        <x:f>MiniCase_Data!A1095</x:f>
        <x:v>R01094</x:v>
      </x:c>
      <x:c r="B1095" t="n">
        <x:f>IF(MiniCase_Data!O1095="불합격",1,0)</x:f>
        <x:v>0</x:v>
      </x:c>
      <x:c r="C1095" t="str">
        <x:f>IF(ISBLANK(MiniCase_Data!H1095),"missing",IF(OR(MiniCase_Data!H1095&lt;27,MiniCase_Data!H1095&gt;33),"밖","안"))</x:f>
        <x:v>안</x:v>
      </x:c>
      <x:c r="D1095" t="n">
        <x:f>IF(ISBLANK(MiniCase_Data!H1095),VLOOKUP(A1095,센서로그!$A$2:$C$13,3,FALSE),MiniCase_Data!H1095)</x:f>
        <x:v>27.62</x:v>
      </x:c>
      <x:c r="E1095" t="n">
        <x:f>IF(AND(MiniCase_Data!C1095="야간",MiniCase_Data!F1095="M03"),1,0)</x:f>
        <x:v>0</x:v>
      </x:c>
      <x:c r="F1095" t="n">
        <x:f>IF(C1095="밖",1,0)</x:f>
        <x:v>0</x:v>
      </x:c>
      <x:c r="G1095" t="n">
        <x:f>IF(OR(F1095=1,E1095=1),1,0)</x:f>
        <x:v>0</x:v>
      </x:c>
      <x:c r="H1095" t="str">
        <x:f>IF(B1095=1,IF(F1095=1,"TP","FN"),IF(F1095=1,"FP","TN"))</x:f>
        <x:v>TN</x:v>
      </x:c>
      <x:c r="I1095" t="str">
        <x:f>IF(B1095=1,IF(G1095=1,"TP","FN"),IF(G1095=1,"FP","TN"))</x:f>
        <x:v>TN</x:v>
      </x:c>
    </x:row>
    <x:row r="1096">
      <x:c r="A1096" t="str">
        <x:f>MiniCase_Data!A1096</x:f>
        <x:v>R01095</x:v>
      </x:c>
      <x:c r="B1096" t="n">
        <x:f>IF(MiniCase_Data!O1096="불합격",1,0)</x:f>
        <x:v>0</x:v>
      </x:c>
      <x:c r="C1096" t="str">
        <x:f>IF(ISBLANK(MiniCase_Data!H1096),"missing",IF(OR(MiniCase_Data!H1096&lt;27,MiniCase_Data!H1096&gt;33),"밖","안"))</x:f>
        <x:v>안</x:v>
      </x:c>
      <x:c r="D1096" t="n">
        <x:f>IF(ISBLANK(MiniCase_Data!H1096),VLOOKUP(A1096,센서로그!$A$2:$C$13,3,FALSE),MiniCase_Data!H1096)</x:f>
        <x:v>29.13</x:v>
      </x:c>
      <x:c r="E1096" t="n">
        <x:f>IF(AND(MiniCase_Data!C1096="야간",MiniCase_Data!F1096="M03"),1,0)</x:f>
        <x:v>0</x:v>
      </x:c>
      <x:c r="F1096" t="n">
        <x:f>IF(C1096="밖",1,0)</x:f>
        <x:v>0</x:v>
      </x:c>
      <x:c r="G1096" t="n">
        <x:f>IF(OR(F1096=1,E1096=1),1,0)</x:f>
        <x:v>0</x:v>
      </x:c>
      <x:c r="H1096" t="str">
        <x:f>IF(B1096=1,IF(F1096=1,"TP","FN"),IF(F1096=1,"FP","TN"))</x:f>
        <x:v>TN</x:v>
      </x:c>
      <x:c r="I1096" t="str">
        <x:f>IF(B1096=1,IF(G1096=1,"TP","FN"),IF(G1096=1,"FP","TN"))</x:f>
        <x:v>TN</x:v>
      </x:c>
    </x:row>
    <x:row r="1097">
      <x:c r="A1097" t="str">
        <x:f>MiniCase_Data!A1097</x:f>
        <x:v>R01096</x:v>
      </x:c>
      <x:c r="B1097" t="n">
        <x:f>IF(MiniCase_Data!O1097="불합격",1,0)</x:f>
        <x:v>0</x:v>
      </x:c>
      <x:c r="C1097" t="str">
        <x:f>IF(ISBLANK(MiniCase_Data!H1097),"missing",IF(OR(MiniCase_Data!H1097&lt;27,MiniCase_Data!H1097&gt;33),"밖","안"))</x:f>
        <x:v>안</x:v>
      </x:c>
      <x:c r="D1097" t="n">
        <x:f>IF(ISBLANK(MiniCase_Data!H1097),VLOOKUP(A1097,센서로그!$A$2:$C$13,3,FALSE),MiniCase_Data!H1097)</x:f>
        <x:v>30.37</x:v>
      </x:c>
      <x:c r="E1097" t="n">
        <x:f>IF(AND(MiniCase_Data!C1097="야간",MiniCase_Data!F1097="M03"),1,0)</x:f>
        <x:v>0</x:v>
      </x:c>
      <x:c r="F1097" t="n">
        <x:f>IF(C1097="밖",1,0)</x:f>
        <x:v>0</x:v>
      </x:c>
      <x:c r="G1097" t="n">
        <x:f>IF(OR(F1097=1,E1097=1),1,0)</x:f>
        <x:v>0</x:v>
      </x:c>
      <x:c r="H1097" t="str">
        <x:f>IF(B1097=1,IF(F1097=1,"TP","FN"),IF(F1097=1,"FP","TN"))</x:f>
        <x:v>TN</x:v>
      </x:c>
      <x:c r="I1097" t="str">
        <x:f>IF(B1097=1,IF(G1097=1,"TP","FN"),IF(G1097=1,"FP","TN"))</x:f>
        <x:v>TN</x:v>
      </x:c>
    </x:row>
    <x:row r="1098">
      <x:c r="A1098" t="str">
        <x:f>MiniCase_Data!A1098</x:f>
        <x:v>R01097</x:v>
      </x:c>
      <x:c r="B1098" t="n">
        <x:f>IF(MiniCase_Data!O1098="불합격",1,0)</x:f>
        <x:v>0</x:v>
      </x:c>
      <x:c r="C1098" t="str">
        <x:f>IF(ISBLANK(MiniCase_Data!H1098),"missing",IF(OR(MiniCase_Data!H1098&lt;27,MiniCase_Data!H1098&gt;33),"밖","안"))</x:f>
        <x:v>안</x:v>
      </x:c>
      <x:c r="D1098" t="n">
        <x:f>IF(ISBLANK(MiniCase_Data!H1098),VLOOKUP(A1098,센서로그!$A$2:$C$13,3,FALSE),MiniCase_Data!H1098)</x:f>
        <x:v>31.93</x:v>
      </x:c>
      <x:c r="E1098" t="n">
        <x:f>IF(AND(MiniCase_Data!C1098="야간",MiniCase_Data!F1098="M03"),1,0)</x:f>
        <x:v>0</x:v>
      </x:c>
      <x:c r="F1098" t="n">
        <x:f>IF(C1098="밖",1,0)</x:f>
        <x:v>0</x:v>
      </x:c>
      <x:c r="G1098" t="n">
        <x:f>IF(OR(F1098=1,E1098=1),1,0)</x:f>
        <x:v>0</x:v>
      </x:c>
      <x:c r="H1098" t="str">
        <x:f>IF(B1098=1,IF(F1098=1,"TP","FN"),IF(F1098=1,"FP","TN"))</x:f>
        <x:v>TN</x:v>
      </x:c>
      <x:c r="I1098" t="str">
        <x:f>IF(B1098=1,IF(G1098=1,"TP","FN"),IF(G1098=1,"FP","TN"))</x:f>
        <x:v>TN</x:v>
      </x:c>
    </x:row>
    <x:row r="1099">
      <x:c r="A1099" t="str">
        <x:f>MiniCase_Data!A1099</x:f>
        <x:v>R01098</x:v>
      </x:c>
      <x:c r="B1099" t="n">
        <x:f>IF(MiniCase_Data!O1099="불합격",1,0)</x:f>
        <x:v>0</x:v>
      </x:c>
      <x:c r="C1099" t="str">
        <x:f>IF(ISBLANK(MiniCase_Data!H1099),"missing",IF(OR(MiniCase_Data!H1099&lt;27,MiniCase_Data!H1099&gt;33),"밖","안"))</x:f>
        <x:v>안</x:v>
      </x:c>
      <x:c r="D1099" t="n">
        <x:f>IF(ISBLANK(MiniCase_Data!H1099),VLOOKUP(A1099,센서로그!$A$2:$C$13,3,FALSE),MiniCase_Data!H1099)</x:f>
        <x:v>31.88</x:v>
      </x:c>
      <x:c r="E1099" t="n">
        <x:f>IF(AND(MiniCase_Data!C1099="야간",MiniCase_Data!F1099="M03"),1,0)</x:f>
        <x:v>0</x:v>
      </x:c>
      <x:c r="F1099" t="n">
        <x:f>IF(C1099="밖",1,0)</x:f>
        <x:v>0</x:v>
      </x:c>
      <x:c r="G1099" t="n">
        <x:f>IF(OR(F1099=1,E1099=1),1,0)</x:f>
        <x:v>0</x:v>
      </x:c>
      <x:c r="H1099" t="str">
        <x:f>IF(B1099=1,IF(F1099=1,"TP","FN"),IF(F1099=1,"FP","TN"))</x:f>
        <x:v>TN</x:v>
      </x:c>
      <x:c r="I1099" t="str">
        <x:f>IF(B1099=1,IF(G1099=1,"TP","FN"),IF(G1099=1,"FP","TN"))</x:f>
        <x:v>TN</x:v>
      </x:c>
    </x:row>
    <x:row r="1100">
      <x:c r="A1100" t="str">
        <x:f>MiniCase_Data!A1100</x:f>
        <x:v>R01099</x:v>
      </x:c>
      <x:c r="B1100" t="n">
        <x:f>IF(MiniCase_Data!O1100="불합격",1,0)</x:f>
        <x:v>0</x:v>
      </x:c>
      <x:c r="C1100" t="str">
        <x:f>IF(ISBLANK(MiniCase_Data!H1100),"missing",IF(OR(MiniCase_Data!H1100&lt;27,MiniCase_Data!H1100&gt;33),"밖","안"))</x:f>
        <x:v>안</x:v>
      </x:c>
      <x:c r="D1100" t="n">
        <x:f>IF(ISBLANK(MiniCase_Data!H1100),VLOOKUP(A1100,센서로그!$A$2:$C$13,3,FALSE),MiniCase_Data!H1100)</x:f>
        <x:v>30.41</x:v>
      </x:c>
      <x:c r="E1100" t="n">
        <x:f>IF(AND(MiniCase_Data!C1100="야간",MiniCase_Data!F1100="M03"),1,0)</x:f>
        <x:v>0</x:v>
      </x:c>
      <x:c r="F1100" t="n">
        <x:f>IF(C1100="밖",1,0)</x:f>
        <x:v>0</x:v>
      </x:c>
      <x:c r="G1100" t="n">
        <x:f>IF(OR(F1100=1,E1100=1),1,0)</x:f>
        <x:v>0</x:v>
      </x:c>
      <x:c r="H1100" t="str">
        <x:f>IF(B1100=1,IF(F1100=1,"TP","FN"),IF(F1100=1,"FP","TN"))</x:f>
        <x:v>TN</x:v>
      </x:c>
      <x:c r="I1100" t="str">
        <x:f>IF(B1100=1,IF(G1100=1,"TP","FN"),IF(G1100=1,"FP","TN"))</x:f>
        <x:v>TN</x:v>
      </x:c>
    </x:row>
    <x:row r="1101">
      <x:c r="A1101" t="str">
        <x:f>MiniCase_Data!A1101</x:f>
        <x:v>R01100</x:v>
      </x:c>
      <x:c r="B1101" t="n">
        <x:f>IF(MiniCase_Data!O1101="불합격",1,0)</x:f>
        <x:v>0</x:v>
      </x:c>
      <x:c r="C1101" t="str">
        <x:f>IF(ISBLANK(MiniCase_Data!H1101),"missing",IF(OR(MiniCase_Data!H1101&lt;27,MiniCase_Data!H1101&gt;33),"밖","안"))</x:f>
        <x:v>안</x:v>
      </x:c>
      <x:c r="D1101" t="n">
        <x:f>IF(ISBLANK(MiniCase_Data!H1101),VLOOKUP(A1101,센서로그!$A$2:$C$13,3,FALSE),MiniCase_Data!H1101)</x:f>
        <x:v>32.45</x:v>
      </x:c>
      <x:c r="E1101" t="n">
        <x:f>IF(AND(MiniCase_Data!C1101="야간",MiniCase_Data!F1101="M03"),1,0)</x:f>
        <x:v>0</x:v>
      </x:c>
      <x:c r="F1101" t="n">
        <x:f>IF(C1101="밖",1,0)</x:f>
        <x:v>0</x:v>
      </x:c>
      <x:c r="G1101" t="n">
        <x:f>IF(OR(F1101=1,E1101=1),1,0)</x:f>
        <x:v>0</x:v>
      </x:c>
      <x:c r="H1101" t="str">
        <x:f>IF(B1101=1,IF(F1101=1,"TP","FN"),IF(F1101=1,"FP","TN"))</x:f>
        <x:v>TN</x:v>
      </x:c>
      <x:c r="I1101" t="str">
        <x:f>IF(B1101=1,IF(G1101=1,"TP","FN"),IF(G1101=1,"FP","TN"))</x:f>
        <x:v>TN</x:v>
      </x:c>
    </x:row>
    <x:row r="1102">
      <x:c r="A1102" t="str">
        <x:f>MiniCase_Data!A1102</x:f>
        <x:v>R01101</x:v>
      </x:c>
      <x:c r="B1102" t="n">
        <x:f>IF(MiniCase_Data!O1102="불합격",1,0)</x:f>
        <x:v>0</x:v>
      </x:c>
      <x:c r="C1102" t="str">
        <x:f>IF(ISBLANK(MiniCase_Data!H1102),"missing",IF(OR(MiniCase_Data!H1102&lt;27,MiniCase_Data!H1102&gt;33),"밖","안"))</x:f>
        <x:v>안</x:v>
      </x:c>
      <x:c r="D1102" t="n">
        <x:f>IF(ISBLANK(MiniCase_Data!H1102),VLOOKUP(A1102,센서로그!$A$2:$C$13,3,FALSE),MiniCase_Data!H1102)</x:f>
        <x:v>32.03</x:v>
      </x:c>
      <x:c r="E1102" t="n">
        <x:f>IF(AND(MiniCase_Data!C1102="야간",MiniCase_Data!F1102="M03"),1,0)</x:f>
        <x:v>0</x:v>
      </x:c>
      <x:c r="F1102" t="n">
        <x:f>IF(C1102="밖",1,0)</x:f>
        <x:v>0</x:v>
      </x:c>
      <x:c r="G1102" t="n">
        <x:f>IF(OR(F1102=1,E1102=1),1,0)</x:f>
        <x:v>0</x:v>
      </x:c>
      <x:c r="H1102" t="str">
        <x:f>IF(B1102=1,IF(F1102=1,"TP","FN"),IF(F1102=1,"FP","TN"))</x:f>
        <x:v>TN</x:v>
      </x:c>
      <x:c r="I1102" t="str">
        <x:f>IF(B1102=1,IF(G1102=1,"TP","FN"),IF(G1102=1,"FP","TN"))</x:f>
        <x:v>TN</x:v>
      </x:c>
    </x:row>
    <x:row r="1103">
      <x:c r="A1103" t="str">
        <x:f>MiniCase_Data!A1103</x:f>
        <x:v>R01102</x:v>
      </x:c>
      <x:c r="B1103" t="n">
        <x:f>IF(MiniCase_Data!O1103="불합격",1,0)</x:f>
        <x:v>0</x:v>
      </x:c>
      <x:c r="C1103" t="str">
        <x:f>IF(ISBLANK(MiniCase_Data!H1103),"missing",IF(OR(MiniCase_Data!H1103&lt;27,MiniCase_Data!H1103&gt;33),"밖","안"))</x:f>
        <x:v>안</x:v>
      </x:c>
      <x:c r="D1103" t="n">
        <x:f>IF(ISBLANK(MiniCase_Data!H1103),VLOOKUP(A1103,센서로그!$A$2:$C$13,3,FALSE),MiniCase_Data!H1103)</x:f>
        <x:v>32.04</x:v>
      </x:c>
      <x:c r="E1103" t="n">
        <x:f>IF(AND(MiniCase_Data!C1103="야간",MiniCase_Data!F1103="M03"),1,0)</x:f>
        <x:v>0</x:v>
      </x:c>
      <x:c r="F1103" t="n">
        <x:f>IF(C1103="밖",1,0)</x:f>
        <x:v>0</x:v>
      </x:c>
      <x:c r="G1103" t="n">
        <x:f>IF(OR(F1103=1,E1103=1),1,0)</x:f>
        <x:v>0</x:v>
      </x:c>
      <x:c r="H1103" t="str">
        <x:f>IF(B1103=1,IF(F1103=1,"TP","FN"),IF(F1103=1,"FP","TN"))</x:f>
        <x:v>TN</x:v>
      </x:c>
      <x:c r="I1103" t="str">
        <x:f>IF(B1103=1,IF(G1103=1,"TP","FN"),IF(G1103=1,"FP","TN"))</x:f>
        <x:v>TN</x:v>
      </x:c>
    </x:row>
    <x:row r="1104">
      <x:c r="A1104" t="str">
        <x:f>MiniCase_Data!A1104</x:f>
        <x:v>R01103</x:v>
      </x:c>
      <x:c r="B1104" t="n">
        <x:f>IF(MiniCase_Data!O1104="불합격",1,0)</x:f>
        <x:v>0</x:v>
      </x:c>
      <x:c r="C1104" t="str">
        <x:f>IF(ISBLANK(MiniCase_Data!H1104),"missing",IF(OR(MiniCase_Data!H1104&lt;27,MiniCase_Data!H1104&gt;33),"밖","안"))</x:f>
        <x:v>안</x:v>
      </x:c>
      <x:c r="D1104" t="n">
        <x:f>IF(ISBLANK(MiniCase_Data!H1104),VLOOKUP(A1104,센서로그!$A$2:$C$13,3,FALSE),MiniCase_Data!H1104)</x:f>
        <x:v>31.39</x:v>
      </x:c>
      <x:c r="E1104" t="n">
        <x:f>IF(AND(MiniCase_Data!C1104="야간",MiniCase_Data!F1104="M03"),1,0)</x:f>
        <x:v>0</x:v>
      </x:c>
      <x:c r="F1104" t="n">
        <x:f>IF(C1104="밖",1,0)</x:f>
        <x:v>0</x:v>
      </x:c>
      <x:c r="G1104" t="n">
        <x:f>IF(OR(F1104=1,E1104=1),1,0)</x:f>
        <x:v>0</x:v>
      </x:c>
      <x:c r="H1104" t="str">
        <x:f>IF(B1104=1,IF(F1104=1,"TP","FN"),IF(F1104=1,"FP","TN"))</x:f>
        <x:v>TN</x:v>
      </x:c>
      <x:c r="I1104" t="str">
        <x:f>IF(B1104=1,IF(G1104=1,"TP","FN"),IF(G1104=1,"FP","TN"))</x:f>
        <x:v>TN</x:v>
      </x:c>
    </x:row>
    <x:row r="1105">
      <x:c r="A1105" t="str">
        <x:f>MiniCase_Data!A1105</x:f>
        <x:v>R01104</x:v>
      </x:c>
      <x:c r="B1105" t="n">
        <x:f>IF(MiniCase_Data!O1105="불합격",1,0)</x:f>
        <x:v>0</x:v>
      </x:c>
      <x:c r="C1105" t="str">
        <x:f>IF(ISBLANK(MiniCase_Data!H1105),"missing",IF(OR(MiniCase_Data!H1105&lt;27,MiniCase_Data!H1105&gt;33),"밖","안"))</x:f>
        <x:v>안</x:v>
      </x:c>
      <x:c r="D1105" t="n">
        <x:f>IF(ISBLANK(MiniCase_Data!H1105),VLOOKUP(A1105,센서로그!$A$2:$C$13,3,FALSE),MiniCase_Data!H1105)</x:f>
        <x:v>28.56</x:v>
      </x:c>
      <x:c r="E1105" t="n">
        <x:f>IF(AND(MiniCase_Data!C1105="야간",MiniCase_Data!F1105="M03"),1,0)</x:f>
        <x:v>1</x:v>
      </x:c>
      <x:c r="F1105" t="n">
        <x:f>IF(C1105="밖",1,0)</x:f>
        <x:v>0</x:v>
      </x:c>
      <x:c r="G1105" t="n">
        <x:f>IF(OR(F1105=1,E1105=1),1,0)</x:f>
        <x:v>1</x:v>
      </x:c>
      <x:c r="H1105" t="str">
        <x:f>IF(B1105=1,IF(F1105=1,"TP","FN"),IF(F1105=1,"FP","TN"))</x:f>
        <x:v>TN</x:v>
      </x:c>
      <x:c r="I1105" t="str">
        <x:f>IF(B1105=1,IF(G1105=1,"TP","FN"),IF(G1105=1,"FP","TN"))</x:f>
        <x:v>FP</x:v>
      </x:c>
    </x:row>
    <x:row r="1106">
      <x:c r="A1106" t="str">
        <x:f>MiniCase_Data!A1106</x:f>
        <x:v>R01105</x:v>
      </x:c>
      <x:c r="B1106" t="n">
        <x:f>IF(MiniCase_Data!O1106="불합격",1,0)</x:f>
        <x:v>0</x:v>
      </x:c>
      <x:c r="C1106" t="str">
        <x:f>IF(ISBLANK(MiniCase_Data!H1106),"missing",IF(OR(MiniCase_Data!H1106&lt;27,MiniCase_Data!H1106&gt;33),"밖","안"))</x:f>
        <x:v>안</x:v>
      </x:c>
      <x:c r="D1106" t="n">
        <x:f>IF(ISBLANK(MiniCase_Data!H1106),VLOOKUP(A1106,센서로그!$A$2:$C$13,3,FALSE),MiniCase_Data!H1106)</x:f>
        <x:v>32.21</x:v>
      </x:c>
      <x:c r="E1106" t="n">
        <x:f>IF(AND(MiniCase_Data!C1106="야간",MiniCase_Data!F1106="M03"),1,0)</x:f>
        <x:v>0</x:v>
      </x:c>
      <x:c r="F1106" t="n">
        <x:f>IF(C1106="밖",1,0)</x:f>
        <x:v>0</x:v>
      </x:c>
      <x:c r="G1106" t="n">
        <x:f>IF(OR(F1106=1,E1106=1),1,0)</x:f>
        <x:v>0</x:v>
      </x:c>
      <x:c r="H1106" t="str">
        <x:f>IF(B1106=1,IF(F1106=1,"TP","FN"),IF(F1106=1,"FP","TN"))</x:f>
        <x:v>TN</x:v>
      </x:c>
      <x:c r="I1106" t="str">
        <x:f>IF(B1106=1,IF(G1106=1,"TP","FN"),IF(G1106=1,"FP","TN"))</x:f>
        <x:v>TN</x:v>
      </x:c>
    </x:row>
    <x:row r="1107">
      <x:c r="A1107" t="str">
        <x:f>MiniCase_Data!A1107</x:f>
        <x:v>R01106</x:v>
      </x:c>
      <x:c r="B1107" t="n">
        <x:f>IF(MiniCase_Data!O1107="불합격",1,0)</x:f>
        <x:v>0</x:v>
      </x:c>
      <x:c r="C1107" t="str">
        <x:f>IF(ISBLANK(MiniCase_Data!H1107),"missing",IF(OR(MiniCase_Data!H1107&lt;27,MiniCase_Data!H1107&gt;33),"밖","안"))</x:f>
        <x:v>안</x:v>
      </x:c>
      <x:c r="D1107" t="n">
        <x:f>IF(ISBLANK(MiniCase_Data!H1107),VLOOKUP(A1107,센서로그!$A$2:$C$13,3,FALSE),MiniCase_Data!H1107)</x:f>
        <x:v>31.28</x:v>
      </x:c>
      <x:c r="E1107" t="n">
        <x:f>IF(AND(MiniCase_Data!C1107="야간",MiniCase_Data!F1107="M03"),1,0)</x:f>
        <x:v>0</x:v>
      </x:c>
      <x:c r="F1107" t="n">
        <x:f>IF(C1107="밖",1,0)</x:f>
        <x:v>0</x:v>
      </x:c>
      <x:c r="G1107" t="n">
        <x:f>IF(OR(F1107=1,E1107=1),1,0)</x:f>
        <x:v>0</x:v>
      </x:c>
      <x:c r="H1107" t="str">
        <x:f>IF(B1107=1,IF(F1107=1,"TP","FN"),IF(F1107=1,"FP","TN"))</x:f>
        <x:v>TN</x:v>
      </x:c>
      <x:c r="I1107" t="str">
        <x:f>IF(B1107=1,IF(G1107=1,"TP","FN"),IF(G1107=1,"FP","TN"))</x:f>
        <x:v>TN</x:v>
      </x:c>
    </x:row>
    <x:row r="1108">
      <x:c r="A1108" t="str">
        <x:f>MiniCase_Data!A1108</x:f>
        <x:v>R01107</x:v>
      </x:c>
      <x:c r="B1108" t="n">
        <x:f>IF(MiniCase_Data!O1108="불합격",1,0)</x:f>
        <x:v>0</x:v>
      </x:c>
      <x:c r="C1108" t="str">
        <x:f>IF(ISBLANK(MiniCase_Data!H1108),"missing",IF(OR(MiniCase_Data!H1108&lt;27,MiniCase_Data!H1108&gt;33),"밖","안"))</x:f>
        <x:v>안</x:v>
      </x:c>
      <x:c r="D1108" t="n">
        <x:f>IF(ISBLANK(MiniCase_Data!H1108),VLOOKUP(A1108,센서로그!$A$2:$C$13,3,FALSE),MiniCase_Data!H1108)</x:f>
        <x:v>27.68</x:v>
      </x:c>
      <x:c r="E1108" t="n">
        <x:f>IF(AND(MiniCase_Data!C1108="야간",MiniCase_Data!F1108="M03"),1,0)</x:f>
        <x:v>0</x:v>
      </x:c>
      <x:c r="F1108" t="n">
        <x:f>IF(C1108="밖",1,0)</x:f>
        <x:v>0</x:v>
      </x:c>
      <x:c r="G1108" t="n">
        <x:f>IF(OR(F1108=1,E1108=1),1,0)</x:f>
        <x:v>0</x:v>
      </x:c>
      <x:c r="H1108" t="str">
        <x:f>IF(B1108=1,IF(F1108=1,"TP","FN"),IF(F1108=1,"FP","TN"))</x:f>
        <x:v>TN</x:v>
      </x:c>
      <x:c r="I1108" t="str">
        <x:f>IF(B1108=1,IF(G1108=1,"TP","FN"),IF(G1108=1,"FP","TN"))</x:f>
        <x:v>TN</x:v>
      </x:c>
    </x:row>
    <x:row r="1109">
      <x:c r="A1109" t="str">
        <x:f>MiniCase_Data!A1109</x:f>
        <x:v>R01108</x:v>
      </x:c>
      <x:c r="B1109" t="n">
        <x:f>IF(MiniCase_Data!O1109="불합격",1,0)</x:f>
        <x:v>0</x:v>
      </x:c>
      <x:c r="C1109" t="str">
        <x:f>IF(ISBLANK(MiniCase_Data!H1109),"missing",IF(OR(MiniCase_Data!H1109&lt;27,MiniCase_Data!H1109&gt;33),"밖","안"))</x:f>
        <x:v>안</x:v>
      </x:c>
      <x:c r="D1109" t="n">
        <x:f>IF(ISBLANK(MiniCase_Data!H1109),VLOOKUP(A1109,센서로그!$A$2:$C$13,3,FALSE),MiniCase_Data!H1109)</x:f>
        <x:v>31.52</x:v>
      </x:c>
      <x:c r="E1109" t="n">
        <x:f>IF(AND(MiniCase_Data!C1109="야간",MiniCase_Data!F1109="M03"),1,0)</x:f>
        <x:v>0</x:v>
      </x:c>
      <x:c r="F1109" t="n">
        <x:f>IF(C1109="밖",1,0)</x:f>
        <x:v>0</x:v>
      </x:c>
      <x:c r="G1109" t="n">
        <x:f>IF(OR(F1109=1,E1109=1),1,0)</x:f>
        <x:v>0</x:v>
      </x:c>
      <x:c r="H1109" t="str">
        <x:f>IF(B1109=1,IF(F1109=1,"TP","FN"),IF(F1109=1,"FP","TN"))</x:f>
        <x:v>TN</x:v>
      </x:c>
      <x:c r="I1109" t="str">
        <x:f>IF(B1109=1,IF(G1109=1,"TP","FN"),IF(G1109=1,"FP","TN"))</x:f>
        <x:v>TN</x:v>
      </x:c>
    </x:row>
    <x:row r="1110">
      <x:c r="A1110" t="str">
        <x:f>MiniCase_Data!A1110</x:f>
        <x:v>R01109</x:v>
      </x:c>
      <x:c r="B1110" t="n">
        <x:f>IF(MiniCase_Data!O1110="불합격",1,0)</x:f>
        <x:v>0</x:v>
      </x:c>
      <x:c r="C1110" t="str">
        <x:f>IF(ISBLANK(MiniCase_Data!H1110),"missing",IF(OR(MiniCase_Data!H1110&lt;27,MiniCase_Data!H1110&gt;33),"밖","안"))</x:f>
        <x:v>안</x:v>
      </x:c>
      <x:c r="D1110" t="n">
        <x:f>IF(ISBLANK(MiniCase_Data!H1110),VLOOKUP(A1110,센서로그!$A$2:$C$13,3,FALSE),MiniCase_Data!H1110)</x:f>
        <x:v>30.44</x:v>
      </x:c>
      <x:c r="E1110" t="n">
        <x:f>IF(AND(MiniCase_Data!C1110="야간",MiniCase_Data!F1110="M03"),1,0)</x:f>
        <x:v>0</x:v>
      </x:c>
      <x:c r="F1110" t="n">
        <x:f>IF(C1110="밖",1,0)</x:f>
        <x:v>0</x:v>
      </x:c>
      <x:c r="G1110" t="n">
        <x:f>IF(OR(F1110=1,E1110=1),1,0)</x:f>
        <x:v>0</x:v>
      </x:c>
      <x:c r="H1110" t="str">
        <x:f>IF(B1110=1,IF(F1110=1,"TP","FN"),IF(F1110=1,"FP","TN"))</x:f>
        <x:v>TN</x:v>
      </x:c>
      <x:c r="I1110" t="str">
        <x:f>IF(B1110=1,IF(G1110=1,"TP","FN"),IF(G1110=1,"FP","TN"))</x:f>
        <x:v>TN</x:v>
      </x:c>
    </x:row>
    <x:row r="1111">
      <x:c r="A1111" t="str">
        <x:f>MiniCase_Data!A1111</x:f>
        <x:v>R01110</x:v>
      </x:c>
      <x:c r="B1111" t="n">
        <x:f>IF(MiniCase_Data!O1111="불합격",1,0)</x:f>
        <x:v>0</x:v>
      </x:c>
      <x:c r="C1111" t="str">
        <x:f>IF(ISBLANK(MiniCase_Data!H1111),"missing",IF(OR(MiniCase_Data!H1111&lt;27,MiniCase_Data!H1111&gt;33),"밖","안"))</x:f>
        <x:v>안</x:v>
      </x:c>
      <x:c r="D1111" t="n">
        <x:f>IF(ISBLANK(MiniCase_Data!H1111),VLOOKUP(A1111,센서로그!$A$2:$C$13,3,FALSE),MiniCase_Data!H1111)</x:f>
        <x:v>30.27</x:v>
      </x:c>
      <x:c r="E1111" t="n">
        <x:f>IF(AND(MiniCase_Data!C1111="야간",MiniCase_Data!F1111="M03"),1,0)</x:f>
        <x:v>0</x:v>
      </x:c>
      <x:c r="F1111" t="n">
        <x:f>IF(C1111="밖",1,0)</x:f>
        <x:v>0</x:v>
      </x:c>
      <x:c r="G1111" t="n">
        <x:f>IF(OR(F1111=1,E1111=1),1,0)</x:f>
        <x:v>0</x:v>
      </x:c>
      <x:c r="H1111" t="str">
        <x:f>IF(B1111=1,IF(F1111=1,"TP","FN"),IF(F1111=1,"FP","TN"))</x:f>
        <x:v>TN</x:v>
      </x:c>
      <x:c r="I1111" t="str">
        <x:f>IF(B1111=1,IF(G1111=1,"TP","FN"),IF(G1111=1,"FP","TN"))</x:f>
        <x:v>TN</x:v>
      </x:c>
    </x:row>
    <x:row r="1112">
      <x:c r="A1112" t="str">
        <x:f>MiniCase_Data!A1112</x:f>
        <x:v>R01111</x:v>
      </x:c>
      <x:c r="B1112" t="n">
        <x:f>IF(MiniCase_Data!O1112="불합격",1,0)</x:f>
        <x:v>0</x:v>
      </x:c>
      <x:c r="C1112" t="str">
        <x:f>IF(ISBLANK(MiniCase_Data!H1112),"missing",IF(OR(MiniCase_Data!H1112&lt;27,MiniCase_Data!H1112&gt;33),"밖","안"))</x:f>
        <x:v>안</x:v>
      </x:c>
      <x:c r="D1112" t="n">
        <x:f>IF(ISBLANK(MiniCase_Data!H1112),VLOOKUP(A1112,센서로그!$A$2:$C$13,3,FALSE),MiniCase_Data!H1112)</x:f>
        <x:v>28.5</x:v>
      </x:c>
      <x:c r="E1112" t="n">
        <x:f>IF(AND(MiniCase_Data!C1112="야간",MiniCase_Data!F1112="M03"),1,0)</x:f>
        <x:v>0</x:v>
      </x:c>
      <x:c r="F1112" t="n">
        <x:f>IF(C1112="밖",1,0)</x:f>
        <x:v>0</x:v>
      </x:c>
      <x:c r="G1112" t="n">
        <x:f>IF(OR(F1112=1,E1112=1),1,0)</x:f>
        <x:v>0</x:v>
      </x:c>
      <x:c r="H1112" t="str">
        <x:f>IF(B1112=1,IF(F1112=1,"TP","FN"),IF(F1112=1,"FP","TN"))</x:f>
        <x:v>TN</x:v>
      </x:c>
      <x:c r="I1112" t="str">
        <x:f>IF(B1112=1,IF(G1112=1,"TP","FN"),IF(G1112=1,"FP","TN"))</x:f>
        <x:v>TN</x:v>
      </x:c>
    </x:row>
    <x:row r="1113">
      <x:c r="A1113" t="str">
        <x:f>MiniCase_Data!A1113</x:f>
        <x:v>R01112</x:v>
      </x:c>
      <x:c r="B1113" t="n">
        <x:f>IF(MiniCase_Data!O1113="불합격",1,0)</x:f>
        <x:v>0</x:v>
      </x:c>
      <x:c r="C1113" t="str">
        <x:f>IF(ISBLANK(MiniCase_Data!H1113),"missing",IF(OR(MiniCase_Data!H1113&lt;27,MiniCase_Data!H1113&gt;33),"밖","안"))</x:f>
        <x:v>안</x:v>
      </x:c>
      <x:c r="D1113" t="n">
        <x:f>IF(ISBLANK(MiniCase_Data!H1113),VLOOKUP(A1113,센서로그!$A$2:$C$13,3,FALSE),MiniCase_Data!H1113)</x:f>
        <x:v>29.79</x:v>
      </x:c>
      <x:c r="E1113" t="n">
        <x:f>IF(AND(MiniCase_Data!C1113="야간",MiniCase_Data!F1113="M03"),1,0)</x:f>
        <x:v>0</x:v>
      </x:c>
      <x:c r="F1113" t="n">
        <x:f>IF(C1113="밖",1,0)</x:f>
        <x:v>0</x:v>
      </x:c>
      <x:c r="G1113" t="n">
        <x:f>IF(OR(F1113=1,E1113=1),1,0)</x:f>
        <x:v>0</x:v>
      </x:c>
      <x:c r="H1113" t="str">
        <x:f>IF(B1113=1,IF(F1113=1,"TP","FN"),IF(F1113=1,"FP","TN"))</x:f>
        <x:v>TN</x:v>
      </x:c>
      <x:c r="I1113" t="str">
        <x:f>IF(B1113=1,IF(G1113=1,"TP","FN"),IF(G1113=1,"FP","TN"))</x:f>
        <x:v>TN</x:v>
      </x:c>
    </x:row>
    <x:row r="1114">
      <x:c r="A1114" t="str">
        <x:f>MiniCase_Data!A1114</x:f>
        <x:v>R01113</x:v>
      </x:c>
      <x:c r="B1114" t="n">
        <x:f>IF(MiniCase_Data!O1114="불합격",1,0)</x:f>
        <x:v>1</x:v>
      </x:c>
      <x:c r="C1114" t="str">
        <x:f>IF(ISBLANK(MiniCase_Data!H1114),"missing",IF(OR(MiniCase_Data!H1114&lt;27,MiniCase_Data!H1114&gt;33),"밖","안"))</x:f>
        <x:v>안</x:v>
      </x:c>
      <x:c r="D1114" t="n">
        <x:f>IF(ISBLANK(MiniCase_Data!H1114),VLOOKUP(A1114,센서로그!$A$2:$C$13,3,FALSE),MiniCase_Data!H1114)</x:f>
        <x:v>30.85</x:v>
      </x:c>
      <x:c r="E1114" t="n">
        <x:f>IF(AND(MiniCase_Data!C1114="야간",MiniCase_Data!F1114="M03"),1,0)</x:f>
        <x:v>1</x:v>
      </x:c>
      <x:c r="F1114" t="n">
        <x:f>IF(C1114="밖",1,0)</x:f>
        <x:v>0</x:v>
      </x:c>
      <x:c r="G1114" t="n">
        <x:f>IF(OR(F1114=1,E1114=1),1,0)</x:f>
        <x:v>1</x:v>
      </x:c>
      <x:c r="H1114" t="str">
        <x:f>IF(B1114=1,IF(F1114=1,"TP","FN"),IF(F1114=1,"FP","TN"))</x:f>
        <x:v>FN</x:v>
      </x:c>
      <x:c r="I1114" t="str">
        <x:f>IF(B1114=1,IF(G1114=1,"TP","FN"),IF(G1114=1,"FP","TN"))</x:f>
        <x:v>TP</x:v>
      </x:c>
    </x:row>
    <x:row r="1115">
      <x:c r="A1115" t="str">
        <x:f>MiniCase_Data!A1115</x:f>
        <x:v>R01114</x:v>
      </x:c>
      <x:c r="B1115" t="n">
        <x:f>IF(MiniCase_Data!O1115="불합격",1,0)</x:f>
        <x:v>1</x:v>
      </x:c>
      <x:c r="C1115" t="str">
        <x:f>IF(ISBLANK(MiniCase_Data!H1115),"missing",IF(OR(MiniCase_Data!H1115&lt;27,MiniCase_Data!H1115&gt;33),"밖","안"))</x:f>
        <x:v>밖</x:v>
      </x:c>
      <x:c r="D1115" t="n">
        <x:f>IF(ISBLANK(MiniCase_Data!H1115),VLOOKUP(A1115,센서로그!$A$2:$C$13,3,FALSE),MiniCase_Data!H1115)</x:f>
        <x:v>25.94</x:v>
      </x:c>
      <x:c r="E1115" t="n">
        <x:f>IF(AND(MiniCase_Data!C1115="야간",MiniCase_Data!F1115="M03"),1,0)</x:f>
        <x:v>0</x:v>
      </x:c>
      <x:c r="F1115" t="n">
        <x:f>IF(C1115="밖",1,0)</x:f>
        <x:v>1</x:v>
      </x:c>
      <x:c r="G1115" t="n">
        <x:f>IF(OR(F1115=1,E1115=1),1,0)</x:f>
        <x:v>1</x:v>
      </x:c>
      <x:c r="H1115" t="str">
        <x:f>IF(B1115=1,IF(F1115=1,"TP","FN"),IF(F1115=1,"FP","TN"))</x:f>
        <x:v>TP</x:v>
      </x:c>
      <x:c r="I1115" t="str">
        <x:f>IF(B1115=1,IF(G1115=1,"TP","FN"),IF(G1115=1,"FP","TN"))</x:f>
        <x:v>TP</x:v>
      </x:c>
    </x:row>
    <x:row r="1116">
      <x:c r="A1116" t="str">
        <x:f>MiniCase_Data!A1116</x:f>
        <x:v>R01115</x:v>
      </x:c>
      <x:c r="B1116" t="n">
        <x:f>IF(MiniCase_Data!O1116="불합격",1,0)</x:f>
        <x:v>0</x:v>
      </x:c>
      <x:c r="C1116" t="str">
        <x:f>IF(ISBLANK(MiniCase_Data!H1116),"missing",IF(OR(MiniCase_Data!H1116&lt;27,MiniCase_Data!H1116&gt;33),"밖","안"))</x:f>
        <x:v>안</x:v>
      </x:c>
      <x:c r="D1116" t="n">
        <x:f>IF(ISBLANK(MiniCase_Data!H1116),VLOOKUP(A1116,센서로그!$A$2:$C$13,3,FALSE),MiniCase_Data!H1116)</x:f>
        <x:v>28.82</x:v>
      </x:c>
      <x:c r="E1116" t="n">
        <x:f>IF(AND(MiniCase_Data!C1116="야간",MiniCase_Data!F1116="M03"),1,0)</x:f>
        <x:v>0</x:v>
      </x:c>
      <x:c r="F1116" t="n">
        <x:f>IF(C1116="밖",1,0)</x:f>
        <x:v>0</x:v>
      </x:c>
      <x:c r="G1116" t="n">
        <x:f>IF(OR(F1116=1,E1116=1),1,0)</x:f>
        <x:v>0</x:v>
      </x:c>
      <x:c r="H1116" t="str">
        <x:f>IF(B1116=1,IF(F1116=1,"TP","FN"),IF(F1116=1,"FP","TN"))</x:f>
        <x:v>TN</x:v>
      </x:c>
      <x:c r="I1116" t="str">
        <x:f>IF(B1116=1,IF(G1116=1,"TP","FN"),IF(G1116=1,"FP","TN"))</x:f>
        <x:v>TN</x:v>
      </x:c>
    </x:row>
    <x:row r="1117">
      <x:c r="A1117" t="str">
        <x:f>MiniCase_Data!A1117</x:f>
        <x:v>R01116</x:v>
      </x:c>
      <x:c r="B1117" t="n">
        <x:f>IF(MiniCase_Data!O1117="불합격",1,0)</x:f>
        <x:v>0</x:v>
      </x:c>
      <x:c r="C1117" t="str">
        <x:f>IF(ISBLANK(MiniCase_Data!H1117),"missing",IF(OR(MiniCase_Data!H1117&lt;27,MiniCase_Data!H1117&gt;33),"밖","안"))</x:f>
        <x:v>안</x:v>
      </x:c>
      <x:c r="D1117" t="n">
        <x:f>IF(ISBLANK(MiniCase_Data!H1117),VLOOKUP(A1117,센서로그!$A$2:$C$13,3,FALSE),MiniCase_Data!H1117)</x:f>
        <x:v>27.38</x:v>
      </x:c>
      <x:c r="E1117" t="n">
        <x:f>IF(AND(MiniCase_Data!C1117="야간",MiniCase_Data!F1117="M03"),1,0)</x:f>
        <x:v>0</x:v>
      </x:c>
      <x:c r="F1117" t="n">
        <x:f>IF(C1117="밖",1,0)</x:f>
        <x:v>0</x:v>
      </x:c>
      <x:c r="G1117" t="n">
        <x:f>IF(OR(F1117=1,E1117=1),1,0)</x:f>
        <x:v>0</x:v>
      </x:c>
      <x:c r="H1117" t="str">
        <x:f>IF(B1117=1,IF(F1117=1,"TP","FN"),IF(F1117=1,"FP","TN"))</x:f>
        <x:v>TN</x:v>
      </x:c>
      <x:c r="I1117" t="str">
        <x:f>IF(B1117=1,IF(G1117=1,"TP","FN"),IF(G1117=1,"FP","TN"))</x:f>
        <x:v>TN</x:v>
      </x:c>
    </x:row>
    <x:row r="1118">
      <x:c r="A1118" t="str">
        <x:f>MiniCase_Data!A1118</x:f>
        <x:v>R01117</x:v>
      </x:c>
      <x:c r="B1118" t="n">
        <x:f>IF(MiniCase_Data!O1118="불합격",1,0)</x:f>
        <x:v>0</x:v>
      </x:c>
      <x:c r="C1118" t="str">
        <x:f>IF(ISBLANK(MiniCase_Data!H1118),"missing",IF(OR(MiniCase_Data!H1118&lt;27,MiniCase_Data!H1118&gt;33),"밖","안"))</x:f>
        <x:v>안</x:v>
      </x:c>
      <x:c r="D1118" t="n">
        <x:f>IF(ISBLANK(MiniCase_Data!H1118),VLOOKUP(A1118,센서로그!$A$2:$C$13,3,FALSE),MiniCase_Data!H1118)</x:f>
        <x:v>31.65</x:v>
      </x:c>
      <x:c r="E1118" t="n">
        <x:f>IF(AND(MiniCase_Data!C1118="야간",MiniCase_Data!F1118="M03"),1,0)</x:f>
        <x:v>0</x:v>
      </x:c>
      <x:c r="F1118" t="n">
        <x:f>IF(C1118="밖",1,0)</x:f>
        <x:v>0</x:v>
      </x:c>
      <x:c r="G1118" t="n">
        <x:f>IF(OR(F1118=1,E1118=1),1,0)</x:f>
        <x:v>0</x:v>
      </x:c>
      <x:c r="H1118" t="str">
        <x:f>IF(B1118=1,IF(F1118=1,"TP","FN"),IF(F1118=1,"FP","TN"))</x:f>
        <x:v>TN</x:v>
      </x:c>
      <x:c r="I1118" t="str">
        <x:f>IF(B1118=1,IF(G1118=1,"TP","FN"),IF(G1118=1,"FP","TN"))</x:f>
        <x:v>TN</x:v>
      </x:c>
    </x:row>
    <x:row r="1119">
      <x:c r="A1119" t="str">
        <x:f>MiniCase_Data!A1119</x:f>
        <x:v>R01118</x:v>
      </x:c>
      <x:c r="B1119" t="n">
        <x:f>IF(MiniCase_Data!O1119="불합격",1,0)</x:f>
        <x:v>0</x:v>
      </x:c>
      <x:c r="C1119" t="str">
        <x:f>IF(ISBLANK(MiniCase_Data!H1119),"missing",IF(OR(MiniCase_Data!H1119&lt;27,MiniCase_Data!H1119&gt;33),"밖","안"))</x:f>
        <x:v>안</x:v>
      </x:c>
      <x:c r="D1119" t="n">
        <x:f>IF(ISBLANK(MiniCase_Data!H1119),VLOOKUP(A1119,센서로그!$A$2:$C$13,3,FALSE),MiniCase_Data!H1119)</x:f>
        <x:v>27.34</x:v>
      </x:c>
      <x:c r="E1119" t="n">
        <x:f>IF(AND(MiniCase_Data!C1119="야간",MiniCase_Data!F1119="M03"),1,0)</x:f>
        <x:v>0</x:v>
      </x:c>
      <x:c r="F1119" t="n">
        <x:f>IF(C1119="밖",1,0)</x:f>
        <x:v>0</x:v>
      </x:c>
      <x:c r="G1119" t="n">
        <x:f>IF(OR(F1119=1,E1119=1),1,0)</x:f>
        <x:v>0</x:v>
      </x:c>
      <x:c r="H1119" t="str">
        <x:f>IF(B1119=1,IF(F1119=1,"TP","FN"),IF(F1119=1,"FP","TN"))</x:f>
        <x:v>TN</x:v>
      </x:c>
      <x:c r="I1119" t="str">
        <x:f>IF(B1119=1,IF(G1119=1,"TP","FN"),IF(G1119=1,"FP","TN"))</x:f>
        <x:v>TN</x:v>
      </x:c>
    </x:row>
    <x:row r="1120">
      <x:c r="A1120" t="str">
        <x:f>MiniCase_Data!A1120</x:f>
        <x:v>R01119</x:v>
      </x:c>
      <x:c r="B1120" t="n">
        <x:f>IF(MiniCase_Data!O1120="불합격",1,0)</x:f>
        <x:v>0</x:v>
      </x:c>
      <x:c r="C1120" t="str">
        <x:f>IF(ISBLANK(MiniCase_Data!H1120),"missing",IF(OR(MiniCase_Data!H1120&lt;27,MiniCase_Data!H1120&gt;33),"밖","안"))</x:f>
        <x:v>안</x:v>
      </x:c>
      <x:c r="D1120" t="n">
        <x:f>IF(ISBLANK(MiniCase_Data!H1120),VLOOKUP(A1120,센서로그!$A$2:$C$13,3,FALSE),MiniCase_Data!H1120)</x:f>
        <x:v>31.09</x:v>
      </x:c>
      <x:c r="E1120" t="n">
        <x:f>IF(AND(MiniCase_Data!C1120="야간",MiniCase_Data!F1120="M03"),1,0)</x:f>
        <x:v>0</x:v>
      </x:c>
      <x:c r="F1120" t="n">
        <x:f>IF(C1120="밖",1,0)</x:f>
        <x:v>0</x:v>
      </x:c>
      <x:c r="G1120" t="n">
        <x:f>IF(OR(F1120=1,E1120=1),1,0)</x:f>
        <x:v>0</x:v>
      </x:c>
      <x:c r="H1120" t="str">
        <x:f>IF(B1120=1,IF(F1120=1,"TP","FN"),IF(F1120=1,"FP","TN"))</x:f>
        <x:v>TN</x:v>
      </x:c>
      <x:c r="I1120" t="str">
        <x:f>IF(B1120=1,IF(G1120=1,"TP","FN"),IF(G1120=1,"FP","TN"))</x:f>
        <x:v>TN</x:v>
      </x:c>
    </x:row>
    <x:row r="1121">
      <x:c r="A1121" t="str">
        <x:f>MiniCase_Data!A1121</x:f>
        <x:v>R01120</x:v>
      </x:c>
      <x:c r="B1121" t="n">
        <x:f>IF(MiniCase_Data!O1121="불합격",1,0)</x:f>
        <x:v>0</x:v>
      </x:c>
      <x:c r="C1121" t="str">
        <x:f>IF(ISBLANK(MiniCase_Data!H1121),"missing",IF(OR(MiniCase_Data!H1121&lt;27,MiniCase_Data!H1121&gt;33),"밖","안"))</x:f>
        <x:v>안</x:v>
      </x:c>
      <x:c r="D1121" t="n">
        <x:f>IF(ISBLANK(MiniCase_Data!H1121),VLOOKUP(A1121,센서로그!$A$2:$C$13,3,FALSE),MiniCase_Data!H1121)</x:f>
        <x:v>30.17</x:v>
      </x:c>
      <x:c r="E1121" t="n">
        <x:f>IF(AND(MiniCase_Data!C1121="야간",MiniCase_Data!F1121="M03"),1,0)</x:f>
        <x:v>0</x:v>
      </x:c>
      <x:c r="F1121" t="n">
        <x:f>IF(C1121="밖",1,0)</x:f>
        <x:v>0</x:v>
      </x:c>
      <x:c r="G1121" t="n">
        <x:f>IF(OR(F1121=1,E1121=1),1,0)</x:f>
        <x:v>0</x:v>
      </x:c>
      <x:c r="H1121" t="str">
        <x:f>IF(B1121=1,IF(F1121=1,"TP","FN"),IF(F1121=1,"FP","TN"))</x:f>
        <x:v>TN</x:v>
      </x:c>
      <x:c r="I1121" t="str">
        <x:f>IF(B1121=1,IF(G1121=1,"TP","FN"),IF(G1121=1,"FP","TN"))</x:f>
        <x:v>TN</x:v>
      </x:c>
    </x:row>
    <x:row r="1122">
      <x:c r="A1122" t="str">
        <x:f>MiniCase_Data!A1122</x:f>
        <x:v>R01121</x:v>
      </x:c>
      <x:c r="B1122" t="n">
        <x:f>IF(MiniCase_Data!O1122="불합격",1,0)</x:f>
        <x:v>0</x:v>
      </x:c>
      <x:c r="C1122" t="str">
        <x:f>IF(ISBLANK(MiniCase_Data!H1122),"missing",IF(OR(MiniCase_Data!H1122&lt;27,MiniCase_Data!H1122&gt;33),"밖","안"))</x:f>
        <x:v>안</x:v>
      </x:c>
      <x:c r="D1122" t="n">
        <x:f>IF(ISBLANK(MiniCase_Data!H1122),VLOOKUP(A1122,센서로그!$A$2:$C$13,3,FALSE),MiniCase_Data!H1122)</x:f>
        <x:v>29.86</x:v>
      </x:c>
      <x:c r="E1122" t="n">
        <x:f>IF(AND(MiniCase_Data!C1122="야간",MiniCase_Data!F1122="M03"),1,0)</x:f>
        <x:v>0</x:v>
      </x:c>
      <x:c r="F1122" t="n">
        <x:f>IF(C1122="밖",1,0)</x:f>
        <x:v>0</x:v>
      </x:c>
      <x:c r="G1122" t="n">
        <x:f>IF(OR(F1122=1,E1122=1),1,0)</x:f>
        <x:v>0</x:v>
      </x:c>
      <x:c r="H1122" t="str">
        <x:f>IF(B1122=1,IF(F1122=1,"TP","FN"),IF(F1122=1,"FP","TN"))</x:f>
        <x:v>TN</x:v>
      </x:c>
      <x:c r="I1122" t="str">
        <x:f>IF(B1122=1,IF(G1122=1,"TP","FN"),IF(G1122=1,"FP","TN"))</x:f>
        <x:v>TN</x:v>
      </x:c>
    </x:row>
    <x:row r="1123">
      <x:c r="A1123" t="str">
        <x:f>MiniCase_Data!A1123</x:f>
        <x:v>R01122</x:v>
      </x:c>
      <x:c r="B1123" t="n">
        <x:f>IF(MiniCase_Data!O1123="불합격",1,0)</x:f>
        <x:v>0</x:v>
      </x:c>
      <x:c r="C1123" t="str">
        <x:f>IF(ISBLANK(MiniCase_Data!H1123),"missing",IF(OR(MiniCase_Data!H1123&lt;27,MiniCase_Data!H1123&gt;33),"밖","안"))</x:f>
        <x:v>밖</x:v>
      </x:c>
      <x:c r="D1123" t="n">
        <x:f>IF(ISBLANK(MiniCase_Data!H1123),VLOOKUP(A1123,센서로그!$A$2:$C$13,3,FALSE),MiniCase_Data!H1123)</x:f>
        <x:v>26.38</x:v>
      </x:c>
      <x:c r="E1123" t="n">
        <x:f>IF(AND(MiniCase_Data!C1123="야간",MiniCase_Data!F1123="M03"),1,0)</x:f>
        <x:v>1</x:v>
      </x:c>
      <x:c r="F1123" t="n">
        <x:f>IF(C1123="밖",1,0)</x:f>
        <x:v>1</x:v>
      </x:c>
      <x:c r="G1123" t="n">
        <x:f>IF(OR(F1123=1,E1123=1),1,0)</x:f>
        <x:v>1</x:v>
      </x:c>
      <x:c r="H1123" t="str">
        <x:f>IF(B1123=1,IF(F1123=1,"TP","FN"),IF(F1123=1,"FP","TN"))</x:f>
        <x:v>FP</x:v>
      </x:c>
      <x:c r="I1123" t="str">
        <x:f>IF(B1123=1,IF(G1123=1,"TP","FN"),IF(G1123=1,"FP","TN"))</x:f>
        <x:v>FP</x:v>
      </x:c>
    </x:row>
    <x:row r="1124">
      <x:c r="A1124" t="str">
        <x:f>MiniCase_Data!A1124</x:f>
        <x:v>R01123</x:v>
      </x:c>
      <x:c r="B1124" t="n">
        <x:f>IF(MiniCase_Data!O1124="불합격",1,0)</x:f>
        <x:v>0</x:v>
      </x:c>
      <x:c r="C1124" t="str">
        <x:f>IF(ISBLANK(MiniCase_Data!H1124),"missing",IF(OR(MiniCase_Data!H1124&lt;27,MiniCase_Data!H1124&gt;33),"밖","안"))</x:f>
        <x:v>안</x:v>
      </x:c>
      <x:c r="D1124" t="n">
        <x:f>IF(ISBLANK(MiniCase_Data!H1124),VLOOKUP(A1124,센서로그!$A$2:$C$13,3,FALSE),MiniCase_Data!H1124)</x:f>
        <x:v>29.06</x:v>
      </x:c>
      <x:c r="E1124" t="n">
        <x:f>IF(AND(MiniCase_Data!C1124="야간",MiniCase_Data!F1124="M03"),1,0)</x:f>
        <x:v>0</x:v>
      </x:c>
      <x:c r="F1124" t="n">
        <x:f>IF(C1124="밖",1,0)</x:f>
        <x:v>0</x:v>
      </x:c>
      <x:c r="G1124" t="n">
        <x:f>IF(OR(F1124=1,E1124=1),1,0)</x:f>
        <x:v>0</x:v>
      </x:c>
      <x:c r="H1124" t="str">
        <x:f>IF(B1124=1,IF(F1124=1,"TP","FN"),IF(F1124=1,"FP","TN"))</x:f>
        <x:v>TN</x:v>
      </x:c>
      <x:c r="I1124" t="str">
        <x:f>IF(B1124=1,IF(G1124=1,"TP","FN"),IF(G1124=1,"FP","TN"))</x:f>
        <x:v>TN</x:v>
      </x:c>
    </x:row>
    <x:row r="1125">
      <x:c r="A1125" t="str">
        <x:f>MiniCase_Data!A1125</x:f>
        <x:v>R01124</x:v>
      </x:c>
      <x:c r="B1125" t="n">
        <x:f>IF(MiniCase_Data!O1125="불합격",1,0)</x:f>
        <x:v>0</x:v>
      </x:c>
      <x:c r="C1125" t="str">
        <x:f>IF(ISBLANK(MiniCase_Data!H1125),"missing",IF(OR(MiniCase_Data!H1125&lt;27,MiniCase_Data!H1125&gt;33),"밖","안"))</x:f>
        <x:v>안</x:v>
      </x:c>
      <x:c r="D1125" t="n">
        <x:f>IF(ISBLANK(MiniCase_Data!H1125),VLOOKUP(A1125,센서로그!$A$2:$C$13,3,FALSE),MiniCase_Data!H1125)</x:f>
        <x:v>29.34</x:v>
      </x:c>
      <x:c r="E1125" t="n">
        <x:f>IF(AND(MiniCase_Data!C1125="야간",MiniCase_Data!F1125="M03"),1,0)</x:f>
        <x:v>0</x:v>
      </x:c>
      <x:c r="F1125" t="n">
        <x:f>IF(C1125="밖",1,0)</x:f>
        <x:v>0</x:v>
      </x:c>
      <x:c r="G1125" t="n">
        <x:f>IF(OR(F1125=1,E1125=1),1,0)</x:f>
        <x:v>0</x:v>
      </x:c>
      <x:c r="H1125" t="str">
        <x:f>IF(B1125=1,IF(F1125=1,"TP","FN"),IF(F1125=1,"FP","TN"))</x:f>
        <x:v>TN</x:v>
      </x:c>
      <x:c r="I1125" t="str">
        <x:f>IF(B1125=1,IF(G1125=1,"TP","FN"),IF(G1125=1,"FP","TN"))</x:f>
        <x:v>TN</x:v>
      </x:c>
    </x:row>
    <x:row r="1126">
      <x:c r="A1126" t="str">
        <x:f>MiniCase_Data!A1126</x:f>
        <x:v>R01125</x:v>
      </x:c>
      <x:c r="B1126" t="n">
        <x:f>IF(MiniCase_Data!O1126="불합격",1,0)</x:f>
        <x:v>0</x:v>
      </x:c>
      <x:c r="C1126" t="str">
        <x:f>IF(ISBLANK(MiniCase_Data!H1126),"missing",IF(OR(MiniCase_Data!H1126&lt;27,MiniCase_Data!H1126&gt;33),"밖","안"))</x:f>
        <x:v>밖</x:v>
      </x:c>
      <x:c r="D1126" t="n">
        <x:f>IF(ISBLANK(MiniCase_Data!H1126),VLOOKUP(A1126,센서로그!$A$2:$C$13,3,FALSE),MiniCase_Data!H1126)</x:f>
        <x:v>33.84</x:v>
      </x:c>
      <x:c r="E1126" t="n">
        <x:f>IF(AND(MiniCase_Data!C1126="야간",MiniCase_Data!F1126="M03"),1,0)</x:f>
        <x:v>1</x:v>
      </x:c>
      <x:c r="F1126" t="n">
        <x:f>IF(C1126="밖",1,0)</x:f>
        <x:v>1</x:v>
      </x:c>
      <x:c r="G1126" t="n">
        <x:f>IF(OR(F1126=1,E1126=1),1,0)</x:f>
        <x:v>1</x:v>
      </x:c>
      <x:c r="H1126" t="str">
        <x:f>IF(B1126=1,IF(F1126=1,"TP","FN"),IF(F1126=1,"FP","TN"))</x:f>
        <x:v>FP</x:v>
      </x:c>
      <x:c r="I1126" t="str">
        <x:f>IF(B1126=1,IF(G1126=1,"TP","FN"),IF(G1126=1,"FP","TN"))</x:f>
        <x:v>FP</x:v>
      </x:c>
    </x:row>
    <x:row r="1127">
      <x:c r="A1127" t="str">
        <x:f>MiniCase_Data!A1127</x:f>
        <x:v>R01126</x:v>
      </x:c>
      <x:c r="B1127" t="n">
        <x:f>IF(MiniCase_Data!O1127="불합격",1,0)</x:f>
        <x:v>0</x:v>
      </x:c>
      <x:c r="C1127" t="str">
        <x:f>IF(ISBLANK(MiniCase_Data!H1127),"missing",IF(OR(MiniCase_Data!H1127&lt;27,MiniCase_Data!H1127&gt;33),"밖","안"))</x:f>
        <x:v>안</x:v>
      </x:c>
      <x:c r="D1127" t="n">
        <x:f>IF(ISBLANK(MiniCase_Data!H1127),VLOOKUP(A1127,센서로그!$A$2:$C$13,3,FALSE),MiniCase_Data!H1127)</x:f>
        <x:v>28.28</x:v>
      </x:c>
      <x:c r="E1127" t="n">
        <x:f>IF(AND(MiniCase_Data!C1127="야간",MiniCase_Data!F1127="M03"),1,0)</x:f>
        <x:v>0</x:v>
      </x:c>
      <x:c r="F1127" t="n">
        <x:f>IF(C1127="밖",1,0)</x:f>
        <x:v>0</x:v>
      </x:c>
      <x:c r="G1127" t="n">
        <x:f>IF(OR(F1127=1,E1127=1),1,0)</x:f>
        <x:v>0</x:v>
      </x:c>
      <x:c r="H1127" t="str">
        <x:f>IF(B1127=1,IF(F1127=1,"TP","FN"),IF(F1127=1,"FP","TN"))</x:f>
        <x:v>TN</x:v>
      </x:c>
      <x:c r="I1127" t="str">
        <x:f>IF(B1127=1,IF(G1127=1,"TP","FN"),IF(G1127=1,"FP","TN"))</x:f>
        <x:v>TN</x:v>
      </x:c>
    </x:row>
    <x:row r="1128">
      <x:c r="A1128" t="str">
        <x:f>MiniCase_Data!A1128</x:f>
        <x:v>R01127</x:v>
      </x:c>
      <x:c r="B1128" t="n">
        <x:f>IF(MiniCase_Data!O1128="불합격",1,0)</x:f>
        <x:v>0</x:v>
      </x:c>
      <x:c r="C1128" t="str">
        <x:f>IF(ISBLANK(MiniCase_Data!H1128),"missing",IF(OR(MiniCase_Data!H1128&lt;27,MiniCase_Data!H1128&gt;33),"밖","안"))</x:f>
        <x:v>안</x:v>
      </x:c>
      <x:c r="D1128" t="n">
        <x:f>IF(ISBLANK(MiniCase_Data!H1128),VLOOKUP(A1128,센서로그!$A$2:$C$13,3,FALSE),MiniCase_Data!H1128)</x:f>
        <x:v>31.39</x:v>
      </x:c>
      <x:c r="E1128" t="n">
        <x:f>IF(AND(MiniCase_Data!C1128="야간",MiniCase_Data!F1128="M03"),1,0)</x:f>
        <x:v>0</x:v>
      </x:c>
      <x:c r="F1128" t="n">
        <x:f>IF(C1128="밖",1,0)</x:f>
        <x:v>0</x:v>
      </x:c>
      <x:c r="G1128" t="n">
        <x:f>IF(OR(F1128=1,E1128=1),1,0)</x:f>
        <x:v>0</x:v>
      </x:c>
      <x:c r="H1128" t="str">
        <x:f>IF(B1128=1,IF(F1128=1,"TP","FN"),IF(F1128=1,"FP","TN"))</x:f>
        <x:v>TN</x:v>
      </x:c>
      <x:c r="I1128" t="str">
        <x:f>IF(B1128=1,IF(G1128=1,"TP","FN"),IF(G1128=1,"FP","TN"))</x:f>
        <x:v>TN</x:v>
      </x:c>
    </x:row>
    <x:row r="1129">
      <x:c r="A1129" t="str">
        <x:f>MiniCase_Data!A1129</x:f>
        <x:v>R01128</x:v>
      </x:c>
      <x:c r="B1129" t="n">
        <x:f>IF(MiniCase_Data!O1129="불합격",1,0)</x:f>
        <x:v>0</x:v>
      </x:c>
      <x:c r="C1129" t="str">
        <x:f>IF(ISBLANK(MiniCase_Data!H1129),"missing",IF(OR(MiniCase_Data!H1129&lt;27,MiniCase_Data!H1129&gt;33),"밖","안"))</x:f>
        <x:v>밖</x:v>
      </x:c>
      <x:c r="D1129" t="n">
        <x:f>IF(ISBLANK(MiniCase_Data!H1129),VLOOKUP(A1129,센서로그!$A$2:$C$13,3,FALSE),MiniCase_Data!H1129)</x:f>
        <x:v>26.69</x:v>
      </x:c>
      <x:c r="E1129" t="n">
        <x:f>IF(AND(MiniCase_Data!C1129="야간",MiniCase_Data!F1129="M03"),1,0)</x:f>
        <x:v>1</x:v>
      </x:c>
      <x:c r="F1129" t="n">
        <x:f>IF(C1129="밖",1,0)</x:f>
        <x:v>1</x:v>
      </x:c>
      <x:c r="G1129" t="n">
        <x:f>IF(OR(F1129=1,E1129=1),1,0)</x:f>
        <x:v>1</x:v>
      </x:c>
      <x:c r="H1129" t="str">
        <x:f>IF(B1129=1,IF(F1129=1,"TP","FN"),IF(F1129=1,"FP","TN"))</x:f>
        <x:v>FP</x:v>
      </x:c>
      <x:c r="I1129" t="str">
        <x:f>IF(B1129=1,IF(G1129=1,"TP","FN"),IF(G1129=1,"FP","TN"))</x:f>
        <x:v>FP</x:v>
      </x:c>
    </x:row>
    <x:row r="1130">
      <x:c r="A1130" t="str">
        <x:f>MiniCase_Data!A1130</x:f>
        <x:v>R01129</x:v>
      </x:c>
      <x:c r="B1130" t="n">
        <x:f>IF(MiniCase_Data!O1130="불합격",1,0)</x:f>
        <x:v>0</x:v>
      </x:c>
      <x:c r="C1130" t="str">
        <x:f>IF(ISBLANK(MiniCase_Data!H1130),"missing",IF(OR(MiniCase_Data!H1130&lt;27,MiniCase_Data!H1130&gt;33),"밖","안"))</x:f>
        <x:v>안</x:v>
      </x:c>
      <x:c r="D1130" t="n">
        <x:f>IF(ISBLANK(MiniCase_Data!H1130),VLOOKUP(A1130,센서로그!$A$2:$C$13,3,FALSE),MiniCase_Data!H1130)</x:f>
        <x:v>27.3</x:v>
      </x:c>
      <x:c r="E1130" t="n">
        <x:f>IF(AND(MiniCase_Data!C1130="야간",MiniCase_Data!F1130="M03"),1,0)</x:f>
        <x:v>0</x:v>
      </x:c>
      <x:c r="F1130" t="n">
        <x:f>IF(C1130="밖",1,0)</x:f>
        <x:v>0</x:v>
      </x:c>
      <x:c r="G1130" t="n">
        <x:f>IF(OR(F1130=1,E1130=1),1,0)</x:f>
        <x:v>0</x:v>
      </x:c>
      <x:c r="H1130" t="str">
        <x:f>IF(B1130=1,IF(F1130=1,"TP","FN"),IF(F1130=1,"FP","TN"))</x:f>
        <x:v>TN</x:v>
      </x:c>
      <x:c r="I1130" t="str">
        <x:f>IF(B1130=1,IF(G1130=1,"TP","FN"),IF(G1130=1,"FP","TN"))</x:f>
        <x:v>TN</x:v>
      </x:c>
    </x:row>
    <x:row r="1131">
      <x:c r="A1131" t="str">
        <x:f>MiniCase_Data!A1131</x:f>
        <x:v>R01130</x:v>
      </x:c>
      <x:c r="B1131" t="n">
        <x:f>IF(MiniCase_Data!O1131="불합격",1,0)</x:f>
        <x:v>0</x:v>
      </x:c>
      <x:c r="C1131" t="str">
        <x:f>IF(ISBLANK(MiniCase_Data!H1131),"missing",IF(OR(MiniCase_Data!H1131&lt;27,MiniCase_Data!H1131&gt;33),"밖","안"))</x:f>
        <x:v>안</x:v>
      </x:c>
      <x:c r="D1131" t="n">
        <x:f>IF(ISBLANK(MiniCase_Data!H1131),VLOOKUP(A1131,센서로그!$A$2:$C$13,3,FALSE),MiniCase_Data!H1131)</x:f>
        <x:v>29.83</x:v>
      </x:c>
      <x:c r="E1131" t="n">
        <x:f>IF(AND(MiniCase_Data!C1131="야간",MiniCase_Data!F1131="M03"),1,0)</x:f>
        <x:v>0</x:v>
      </x:c>
      <x:c r="F1131" t="n">
        <x:f>IF(C1131="밖",1,0)</x:f>
        <x:v>0</x:v>
      </x:c>
      <x:c r="G1131" t="n">
        <x:f>IF(OR(F1131=1,E1131=1),1,0)</x:f>
        <x:v>0</x:v>
      </x:c>
      <x:c r="H1131" t="str">
        <x:f>IF(B1131=1,IF(F1131=1,"TP","FN"),IF(F1131=1,"FP","TN"))</x:f>
        <x:v>TN</x:v>
      </x:c>
      <x:c r="I1131" t="str">
        <x:f>IF(B1131=1,IF(G1131=1,"TP","FN"),IF(G1131=1,"FP","TN"))</x:f>
        <x:v>TN</x:v>
      </x:c>
    </x:row>
    <x:row r="1132">
      <x:c r="A1132" t="str">
        <x:f>MiniCase_Data!A1132</x:f>
        <x:v>R01131</x:v>
      </x:c>
      <x:c r="B1132" t="n">
        <x:f>IF(MiniCase_Data!O1132="불합격",1,0)</x:f>
        <x:v>0</x:v>
      </x:c>
      <x:c r="C1132" t="str">
        <x:f>IF(ISBLANK(MiniCase_Data!H1132),"missing",IF(OR(MiniCase_Data!H1132&lt;27,MiniCase_Data!H1132&gt;33),"밖","안"))</x:f>
        <x:v>안</x:v>
      </x:c>
      <x:c r="D1132" t="n">
        <x:f>IF(ISBLANK(MiniCase_Data!H1132),VLOOKUP(A1132,센서로그!$A$2:$C$13,3,FALSE),MiniCase_Data!H1132)</x:f>
        <x:v>32.47</x:v>
      </x:c>
      <x:c r="E1132" t="n">
        <x:f>IF(AND(MiniCase_Data!C1132="야간",MiniCase_Data!F1132="M03"),1,0)</x:f>
        <x:v>0</x:v>
      </x:c>
      <x:c r="F1132" t="n">
        <x:f>IF(C1132="밖",1,0)</x:f>
        <x:v>0</x:v>
      </x:c>
      <x:c r="G1132" t="n">
        <x:f>IF(OR(F1132=1,E1132=1),1,0)</x:f>
        <x:v>0</x:v>
      </x:c>
      <x:c r="H1132" t="str">
        <x:f>IF(B1132=1,IF(F1132=1,"TP","FN"),IF(F1132=1,"FP","TN"))</x:f>
        <x:v>TN</x:v>
      </x:c>
      <x:c r="I1132" t="str">
        <x:f>IF(B1132=1,IF(G1132=1,"TP","FN"),IF(G1132=1,"FP","TN"))</x:f>
        <x:v>TN</x:v>
      </x:c>
    </x:row>
    <x:row r="1133">
      <x:c r="A1133" t="str">
        <x:f>MiniCase_Data!A1133</x:f>
        <x:v>R01132</x:v>
      </x:c>
      <x:c r="B1133" t="n">
        <x:f>IF(MiniCase_Data!O1133="불합격",1,0)</x:f>
        <x:v>1</x:v>
      </x:c>
      <x:c r="C1133" t="str">
        <x:f>IF(ISBLANK(MiniCase_Data!H1133),"missing",IF(OR(MiniCase_Data!H1133&lt;27,MiniCase_Data!H1133&gt;33),"밖","안"))</x:f>
        <x:v>안</x:v>
      </x:c>
      <x:c r="D1133" t="n">
        <x:f>IF(ISBLANK(MiniCase_Data!H1133),VLOOKUP(A1133,센서로그!$A$2:$C$13,3,FALSE),MiniCase_Data!H1133)</x:f>
        <x:v>27.24</x:v>
      </x:c>
      <x:c r="E1133" t="n">
        <x:f>IF(AND(MiniCase_Data!C1133="야간",MiniCase_Data!F1133="M03"),1,0)</x:f>
        <x:v>1</x:v>
      </x:c>
      <x:c r="F1133" t="n">
        <x:f>IF(C1133="밖",1,0)</x:f>
        <x:v>0</x:v>
      </x:c>
      <x:c r="G1133" t="n">
        <x:f>IF(OR(F1133=1,E1133=1),1,0)</x:f>
        <x:v>1</x:v>
      </x:c>
      <x:c r="H1133" t="str">
        <x:f>IF(B1133=1,IF(F1133=1,"TP","FN"),IF(F1133=1,"FP","TN"))</x:f>
        <x:v>FN</x:v>
      </x:c>
      <x:c r="I1133" t="str">
        <x:f>IF(B1133=1,IF(G1133=1,"TP","FN"),IF(G1133=1,"FP","TN"))</x:f>
        <x:v>TP</x:v>
      </x:c>
    </x:row>
    <x:row r="1134">
      <x:c r="A1134" t="str">
        <x:f>MiniCase_Data!A1134</x:f>
        <x:v>R01133</x:v>
      </x:c>
      <x:c r="B1134" t="n">
        <x:f>IF(MiniCase_Data!O1134="불합격",1,0)</x:f>
        <x:v>0</x:v>
      </x:c>
      <x:c r="C1134" t="str">
        <x:f>IF(ISBLANK(MiniCase_Data!H1134),"missing",IF(OR(MiniCase_Data!H1134&lt;27,MiniCase_Data!H1134&gt;33),"밖","안"))</x:f>
        <x:v>안</x:v>
      </x:c>
      <x:c r="D1134" t="n">
        <x:f>IF(ISBLANK(MiniCase_Data!H1134),VLOOKUP(A1134,센서로그!$A$2:$C$13,3,FALSE),MiniCase_Data!H1134)</x:f>
        <x:v>29.6</x:v>
      </x:c>
      <x:c r="E1134" t="n">
        <x:f>IF(AND(MiniCase_Data!C1134="야간",MiniCase_Data!F1134="M03"),1,0)</x:f>
        <x:v>0</x:v>
      </x:c>
      <x:c r="F1134" t="n">
        <x:f>IF(C1134="밖",1,0)</x:f>
        <x:v>0</x:v>
      </x:c>
      <x:c r="G1134" t="n">
        <x:f>IF(OR(F1134=1,E1134=1),1,0)</x:f>
        <x:v>0</x:v>
      </x:c>
      <x:c r="H1134" t="str">
        <x:f>IF(B1134=1,IF(F1134=1,"TP","FN"),IF(F1134=1,"FP","TN"))</x:f>
        <x:v>TN</x:v>
      </x:c>
      <x:c r="I1134" t="str">
        <x:f>IF(B1134=1,IF(G1134=1,"TP","FN"),IF(G1134=1,"FP","TN"))</x:f>
        <x:v>TN</x:v>
      </x:c>
    </x:row>
    <x:row r="1135">
      <x:c r="A1135" t="str">
        <x:f>MiniCase_Data!A1135</x:f>
        <x:v>R01134</x:v>
      </x:c>
      <x:c r="B1135" t="n">
        <x:f>IF(MiniCase_Data!O1135="불합격",1,0)</x:f>
        <x:v>0</x:v>
      </x:c>
      <x:c r="C1135" t="str">
        <x:f>IF(ISBLANK(MiniCase_Data!H1135),"missing",IF(OR(MiniCase_Data!H1135&lt;27,MiniCase_Data!H1135&gt;33),"밖","안"))</x:f>
        <x:v>안</x:v>
      </x:c>
      <x:c r="D1135" t="n">
        <x:f>IF(ISBLANK(MiniCase_Data!H1135),VLOOKUP(A1135,센서로그!$A$2:$C$13,3,FALSE),MiniCase_Data!H1135)</x:f>
        <x:v>27.94</x:v>
      </x:c>
      <x:c r="E1135" t="n">
        <x:f>IF(AND(MiniCase_Data!C1135="야간",MiniCase_Data!F1135="M03"),1,0)</x:f>
        <x:v>0</x:v>
      </x:c>
      <x:c r="F1135" t="n">
        <x:f>IF(C1135="밖",1,0)</x:f>
        <x:v>0</x:v>
      </x:c>
      <x:c r="G1135" t="n">
        <x:f>IF(OR(F1135=1,E1135=1),1,0)</x:f>
        <x:v>0</x:v>
      </x:c>
      <x:c r="H1135" t="str">
        <x:f>IF(B1135=1,IF(F1135=1,"TP","FN"),IF(F1135=1,"FP","TN"))</x:f>
        <x:v>TN</x:v>
      </x:c>
      <x:c r="I1135" t="str">
        <x:f>IF(B1135=1,IF(G1135=1,"TP","FN"),IF(G1135=1,"FP","TN"))</x:f>
        <x:v>TN</x:v>
      </x:c>
    </x:row>
    <x:row r="1136">
      <x:c r="A1136" t="str">
        <x:f>MiniCase_Data!A1136</x:f>
        <x:v>R01135</x:v>
      </x:c>
      <x:c r="B1136" t="n">
        <x:f>IF(MiniCase_Data!O1136="불합격",1,0)</x:f>
        <x:v>0</x:v>
      </x:c>
      <x:c r="C1136" t="str">
        <x:f>IF(ISBLANK(MiniCase_Data!H1136),"missing",IF(OR(MiniCase_Data!H1136&lt;27,MiniCase_Data!H1136&gt;33),"밖","안"))</x:f>
        <x:v>안</x:v>
      </x:c>
      <x:c r="D1136" t="n">
        <x:f>IF(ISBLANK(MiniCase_Data!H1136),VLOOKUP(A1136,센서로그!$A$2:$C$13,3,FALSE),MiniCase_Data!H1136)</x:f>
        <x:v>31.13</x:v>
      </x:c>
      <x:c r="E1136" t="n">
        <x:f>IF(AND(MiniCase_Data!C1136="야간",MiniCase_Data!F1136="M03"),1,0)</x:f>
        <x:v>0</x:v>
      </x:c>
      <x:c r="F1136" t="n">
        <x:f>IF(C1136="밖",1,0)</x:f>
        <x:v>0</x:v>
      </x:c>
      <x:c r="G1136" t="n">
        <x:f>IF(OR(F1136=1,E1136=1),1,0)</x:f>
        <x:v>0</x:v>
      </x:c>
      <x:c r="H1136" t="str">
        <x:f>IF(B1136=1,IF(F1136=1,"TP","FN"),IF(F1136=1,"FP","TN"))</x:f>
        <x:v>TN</x:v>
      </x:c>
      <x:c r="I1136" t="str">
        <x:f>IF(B1136=1,IF(G1136=1,"TP","FN"),IF(G1136=1,"FP","TN"))</x:f>
        <x:v>TN</x:v>
      </x:c>
    </x:row>
    <x:row r="1137">
      <x:c r="A1137" t="str">
        <x:f>MiniCase_Data!A1137</x:f>
        <x:v>R01136</x:v>
      </x:c>
      <x:c r="B1137" t="n">
        <x:f>IF(MiniCase_Data!O1137="불합격",1,0)</x:f>
        <x:v>0</x:v>
      </x:c>
      <x:c r="C1137" t="str">
        <x:f>IF(ISBLANK(MiniCase_Data!H1137),"missing",IF(OR(MiniCase_Data!H1137&lt;27,MiniCase_Data!H1137&gt;33),"밖","안"))</x:f>
        <x:v>안</x:v>
      </x:c>
      <x:c r="D1137" t="n">
        <x:f>IF(ISBLANK(MiniCase_Data!H1137),VLOOKUP(A1137,센서로그!$A$2:$C$13,3,FALSE),MiniCase_Data!H1137)</x:f>
        <x:v>30.75</x:v>
      </x:c>
      <x:c r="E1137" t="n">
        <x:f>IF(AND(MiniCase_Data!C1137="야간",MiniCase_Data!F1137="M03"),1,0)</x:f>
        <x:v>0</x:v>
      </x:c>
      <x:c r="F1137" t="n">
        <x:f>IF(C1137="밖",1,0)</x:f>
        <x:v>0</x:v>
      </x:c>
      <x:c r="G1137" t="n">
        <x:f>IF(OR(F1137=1,E1137=1),1,0)</x:f>
        <x:v>0</x:v>
      </x:c>
      <x:c r="H1137" t="str">
        <x:f>IF(B1137=1,IF(F1137=1,"TP","FN"),IF(F1137=1,"FP","TN"))</x:f>
        <x:v>TN</x:v>
      </x:c>
      <x:c r="I1137" t="str">
        <x:f>IF(B1137=1,IF(G1137=1,"TP","FN"),IF(G1137=1,"FP","TN"))</x:f>
        <x:v>TN</x:v>
      </x:c>
    </x:row>
    <x:row r="1138">
      <x:c r="A1138" t="str">
        <x:f>MiniCase_Data!A1138</x:f>
        <x:v>R01137</x:v>
      </x:c>
      <x:c r="B1138" t="n">
        <x:f>IF(MiniCase_Data!O1138="불합격",1,0)</x:f>
        <x:v>0</x:v>
      </x:c>
      <x:c r="C1138" t="str">
        <x:f>IF(ISBLANK(MiniCase_Data!H1138),"missing",IF(OR(MiniCase_Data!H1138&lt;27,MiniCase_Data!H1138&gt;33),"밖","안"))</x:f>
        <x:v>안</x:v>
      </x:c>
      <x:c r="D1138" t="n">
        <x:f>IF(ISBLANK(MiniCase_Data!H1138),VLOOKUP(A1138,센서로그!$A$2:$C$13,3,FALSE),MiniCase_Data!H1138)</x:f>
        <x:v>30.57</x:v>
      </x:c>
      <x:c r="E1138" t="n">
        <x:f>IF(AND(MiniCase_Data!C1138="야간",MiniCase_Data!F1138="M03"),1,0)</x:f>
        <x:v>0</x:v>
      </x:c>
      <x:c r="F1138" t="n">
        <x:f>IF(C1138="밖",1,0)</x:f>
        <x:v>0</x:v>
      </x:c>
      <x:c r="G1138" t="n">
        <x:f>IF(OR(F1138=1,E1138=1),1,0)</x:f>
        <x:v>0</x:v>
      </x:c>
      <x:c r="H1138" t="str">
        <x:f>IF(B1138=1,IF(F1138=1,"TP","FN"),IF(F1138=1,"FP","TN"))</x:f>
        <x:v>TN</x:v>
      </x:c>
      <x:c r="I1138" t="str">
        <x:f>IF(B1138=1,IF(G1138=1,"TP","FN"),IF(G1138=1,"FP","TN"))</x:f>
        <x:v>TN</x:v>
      </x:c>
    </x:row>
    <x:row r="1139">
      <x:c r="A1139" t="str">
        <x:f>MiniCase_Data!A1139</x:f>
        <x:v>R01138</x:v>
      </x:c>
      <x:c r="B1139" t="n">
        <x:f>IF(MiniCase_Data!O1139="불합격",1,0)</x:f>
        <x:v>0</x:v>
      </x:c>
      <x:c r="C1139" t="str">
        <x:f>IF(ISBLANK(MiniCase_Data!H1139),"missing",IF(OR(MiniCase_Data!H1139&lt;27,MiniCase_Data!H1139&gt;33),"밖","안"))</x:f>
        <x:v>안</x:v>
      </x:c>
      <x:c r="D1139" t="n">
        <x:f>IF(ISBLANK(MiniCase_Data!H1139),VLOOKUP(A1139,센서로그!$A$2:$C$13,3,FALSE),MiniCase_Data!H1139)</x:f>
        <x:v>30.76</x:v>
      </x:c>
      <x:c r="E1139" t="n">
        <x:f>IF(AND(MiniCase_Data!C1139="야간",MiniCase_Data!F1139="M03"),1,0)</x:f>
        <x:v>0</x:v>
      </x:c>
      <x:c r="F1139" t="n">
        <x:f>IF(C1139="밖",1,0)</x:f>
        <x:v>0</x:v>
      </x:c>
      <x:c r="G1139" t="n">
        <x:f>IF(OR(F1139=1,E1139=1),1,0)</x:f>
        <x:v>0</x:v>
      </x:c>
      <x:c r="H1139" t="str">
        <x:f>IF(B1139=1,IF(F1139=1,"TP","FN"),IF(F1139=1,"FP","TN"))</x:f>
        <x:v>TN</x:v>
      </x:c>
      <x:c r="I1139" t="str">
        <x:f>IF(B1139=1,IF(G1139=1,"TP","FN"),IF(G1139=1,"FP","TN"))</x:f>
        <x:v>TN</x:v>
      </x:c>
    </x:row>
    <x:row r="1140">
      <x:c r="A1140" t="str">
        <x:f>MiniCase_Data!A1140</x:f>
        <x:v>R01139</x:v>
      </x:c>
      <x:c r="B1140" t="n">
        <x:f>IF(MiniCase_Data!O1140="불합격",1,0)</x:f>
        <x:v>0</x:v>
      </x:c>
      <x:c r="C1140" t="str">
        <x:f>IF(ISBLANK(MiniCase_Data!H1140),"missing",IF(OR(MiniCase_Data!H1140&lt;27,MiniCase_Data!H1140&gt;33),"밖","안"))</x:f>
        <x:v>안</x:v>
      </x:c>
      <x:c r="D1140" t="n">
        <x:f>IF(ISBLANK(MiniCase_Data!H1140),VLOOKUP(A1140,센서로그!$A$2:$C$13,3,FALSE),MiniCase_Data!H1140)</x:f>
        <x:v>29.49</x:v>
      </x:c>
      <x:c r="E1140" t="n">
        <x:f>IF(AND(MiniCase_Data!C1140="야간",MiniCase_Data!F1140="M03"),1,0)</x:f>
        <x:v>0</x:v>
      </x:c>
      <x:c r="F1140" t="n">
        <x:f>IF(C1140="밖",1,0)</x:f>
        <x:v>0</x:v>
      </x:c>
      <x:c r="G1140" t="n">
        <x:f>IF(OR(F1140=1,E1140=1),1,0)</x:f>
        <x:v>0</x:v>
      </x:c>
      <x:c r="H1140" t="str">
        <x:f>IF(B1140=1,IF(F1140=1,"TP","FN"),IF(F1140=1,"FP","TN"))</x:f>
        <x:v>TN</x:v>
      </x:c>
      <x:c r="I1140" t="str">
        <x:f>IF(B1140=1,IF(G1140=1,"TP","FN"),IF(G1140=1,"FP","TN"))</x:f>
        <x:v>TN</x:v>
      </x:c>
    </x:row>
    <x:row r="1141">
      <x:c r="A1141" t="str">
        <x:f>MiniCase_Data!A1141</x:f>
        <x:v>R01140</x:v>
      </x:c>
      <x:c r="B1141" t="n">
        <x:f>IF(MiniCase_Data!O1141="불합격",1,0)</x:f>
        <x:v>0</x:v>
      </x:c>
      <x:c r="C1141" t="str">
        <x:f>IF(ISBLANK(MiniCase_Data!H1141),"missing",IF(OR(MiniCase_Data!H1141&lt;27,MiniCase_Data!H1141&gt;33),"밖","안"))</x:f>
        <x:v>안</x:v>
      </x:c>
      <x:c r="D1141" t="n">
        <x:f>IF(ISBLANK(MiniCase_Data!H1141),VLOOKUP(A1141,센서로그!$A$2:$C$13,3,FALSE),MiniCase_Data!H1141)</x:f>
        <x:v>31.06</x:v>
      </x:c>
      <x:c r="E1141" t="n">
        <x:f>IF(AND(MiniCase_Data!C1141="야간",MiniCase_Data!F1141="M03"),1,0)</x:f>
        <x:v>0</x:v>
      </x:c>
      <x:c r="F1141" t="n">
        <x:f>IF(C1141="밖",1,0)</x:f>
        <x:v>0</x:v>
      </x:c>
      <x:c r="G1141" t="n">
        <x:f>IF(OR(F1141=1,E1141=1),1,0)</x:f>
        <x:v>0</x:v>
      </x:c>
      <x:c r="H1141" t="str">
        <x:f>IF(B1141=1,IF(F1141=1,"TP","FN"),IF(F1141=1,"FP","TN"))</x:f>
        <x:v>TN</x:v>
      </x:c>
      <x:c r="I1141" t="str">
        <x:f>IF(B1141=1,IF(G1141=1,"TP","FN"),IF(G1141=1,"FP","TN"))</x:f>
        <x:v>TN</x:v>
      </x:c>
    </x:row>
    <x:row r="1142">
      <x:c r="A1142" t="str">
        <x:f>MiniCase_Data!A1142</x:f>
        <x:v>R01141</x:v>
      </x:c>
      <x:c r="B1142" t="n">
        <x:f>IF(MiniCase_Data!O1142="불합격",1,0)</x:f>
        <x:v>0</x:v>
      </x:c>
      <x:c r="C1142" t="str">
        <x:f>IF(ISBLANK(MiniCase_Data!H1142),"missing",IF(OR(MiniCase_Data!H1142&lt;27,MiniCase_Data!H1142&gt;33),"밖","안"))</x:f>
        <x:v>안</x:v>
      </x:c>
      <x:c r="D1142" t="n">
        <x:f>IF(ISBLANK(MiniCase_Data!H1142),VLOOKUP(A1142,센서로그!$A$2:$C$13,3,FALSE),MiniCase_Data!H1142)</x:f>
        <x:v>28.11</x:v>
      </x:c>
      <x:c r="E1142" t="n">
        <x:f>IF(AND(MiniCase_Data!C1142="야간",MiniCase_Data!F1142="M03"),1,0)</x:f>
        <x:v>0</x:v>
      </x:c>
      <x:c r="F1142" t="n">
        <x:f>IF(C1142="밖",1,0)</x:f>
        <x:v>0</x:v>
      </x:c>
      <x:c r="G1142" t="n">
        <x:f>IF(OR(F1142=1,E1142=1),1,0)</x:f>
        <x:v>0</x:v>
      </x:c>
      <x:c r="H1142" t="str">
        <x:f>IF(B1142=1,IF(F1142=1,"TP","FN"),IF(F1142=1,"FP","TN"))</x:f>
        <x:v>TN</x:v>
      </x:c>
      <x:c r="I1142" t="str">
        <x:f>IF(B1142=1,IF(G1142=1,"TP","FN"),IF(G1142=1,"FP","TN"))</x:f>
        <x:v>TN</x:v>
      </x:c>
    </x:row>
    <x:row r="1143">
      <x:c r="A1143" t="str">
        <x:f>MiniCase_Data!A1143</x:f>
        <x:v>R01142</x:v>
      </x:c>
      <x:c r="B1143" t="n">
        <x:f>IF(MiniCase_Data!O1143="불합격",1,0)</x:f>
        <x:v>0</x:v>
      </x:c>
      <x:c r="C1143" t="str">
        <x:f>IF(ISBLANK(MiniCase_Data!H1143),"missing",IF(OR(MiniCase_Data!H1143&lt;27,MiniCase_Data!H1143&gt;33),"밖","안"))</x:f>
        <x:v>안</x:v>
      </x:c>
      <x:c r="D1143" t="n">
        <x:f>IF(ISBLANK(MiniCase_Data!H1143),VLOOKUP(A1143,센서로그!$A$2:$C$13,3,FALSE),MiniCase_Data!H1143)</x:f>
        <x:v>30.19</x:v>
      </x:c>
      <x:c r="E1143" t="n">
        <x:f>IF(AND(MiniCase_Data!C1143="야간",MiniCase_Data!F1143="M03"),1,0)</x:f>
        <x:v>0</x:v>
      </x:c>
      <x:c r="F1143" t="n">
        <x:f>IF(C1143="밖",1,0)</x:f>
        <x:v>0</x:v>
      </x:c>
      <x:c r="G1143" t="n">
        <x:f>IF(OR(F1143=1,E1143=1),1,0)</x:f>
        <x:v>0</x:v>
      </x:c>
      <x:c r="H1143" t="str">
        <x:f>IF(B1143=1,IF(F1143=1,"TP","FN"),IF(F1143=1,"FP","TN"))</x:f>
        <x:v>TN</x:v>
      </x:c>
      <x:c r="I1143" t="str">
        <x:f>IF(B1143=1,IF(G1143=1,"TP","FN"),IF(G1143=1,"FP","TN"))</x:f>
        <x:v>TN</x:v>
      </x:c>
    </x:row>
    <x:row r="1144">
      <x:c r="A1144" t="str">
        <x:f>MiniCase_Data!A1144</x:f>
        <x:v>R01143</x:v>
      </x:c>
      <x:c r="B1144" t="n">
        <x:f>IF(MiniCase_Data!O1144="불합격",1,0)</x:f>
        <x:v>0</x:v>
      </x:c>
      <x:c r="C1144" t="str">
        <x:f>IF(ISBLANK(MiniCase_Data!H1144),"missing",IF(OR(MiniCase_Data!H1144&lt;27,MiniCase_Data!H1144&gt;33),"밖","안"))</x:f>
        <x:v>안</x:v>
      </x:c>
      <x:c r="D1144" t="n">
        <x:f>IF(ISBLANK(MiniCase_Data!H1144),VLOOKUP(A1144,센서로그!$A$2:$C$13,3,FALSE),MiniCase_Data!H1144)</x:f>
        <x:v>28.07</x:v>
      </x:c>
      <x:c r="E1144" t="n">
        <x:f>IF(AND(MiniCase_Data!C1144="야간",MiniCase_Data!F1144="M03"),1,0)</x:f>
        <x:v>0</x:v>
      </x:c>
      <x:c r="F1144" t="n">
        <x:f>IF(C1144="밖",1,0)</x:f>
        <x:v>0</x:v>
      </x:c>
      <x:c r="G1144" t="n">
        <x:f>IF(OR(F1144=1,E1144=1),1,0)</x:f>
        <x:v>0</x:v>
      </x:c>
      <x:c r="H1144" t="str">
        <x:f>IF(B1144=1,IF(F1144=1,"TP","FN"),IF(F1144=1,"FP","TN"))</x:f>
        <x:v>TN</x:v>
      </x:c>
      <x:c r="I1144" t="str">
        <x:f>IF(B1144=1,IF(G1144=1,"TP","FN"),IF(G1144=1,"FP","TN"))</x:f>
        <x:v>TN</x:v>
      </x:c>
    </x:row>
    <x:row r="1145">
      <x:c r="A1145" t="str">
        <x:f>MiniCase_Data!A1145</x:f>
        <x:v>R01144</x:v>
      </x:c>
      <x:c r="B1145" t="n">
        <x:f>IF(MiniCase_Data!O1145="불합격",1,0)</x:f>
        <x:v>1</x:v>
      </x:c>
      <x:c r="C1145" t="str">
        <x:f>IF(ISBLANK(MiniCase_Data!H1145),"missing",IF(OR(MiniCase_Data!H1145&lt;27,MiniCase_Data!H1145&gt;33),"밖","안"))</x:f>
        <x:v>안</x:v>
      </x:c>
      <x:c r="D1145" t="n">
        <x:f>IF(ISBLANK(MiniCase_Data!H1145),VLOOKUP(A1145,센서로그!$A$2:$C$13,3,FALSE),MiniCase_Data!H1145)</x:f>
        <x:v>28.9</x:v>
      </x:c>
      <x:c r="E1145" t="n">
        <x:f>IF(AND(MiniCase_Data!C1145="야간",MiniCase_Data!F1145="M03"),1,0)</x:f>
        <x:v>0</x:v>
      </x:c>
      <x:c r="F1145" t="n">
        <x:f>IF(C1145="밖",1,0)</x:f>
        <x:v>0</x:v>
      </x:c>
      <x:c r="G1145" t="n">
        <x:f>IF(OR(F1145=1,E1145=1),1,0)</x:f>
        <x:v>0</x:v>
      </x:c>
      <x:c r="H1145" t="str">
        <x:f>IF(B1145=1,IF(F1145=1,"TP","FN"),IF(F1145=1,"FP","TN"))</x:f>
        <x:v>FN</x:v>
      </x:c>
      <x:c r="I1145" t="str">
        <x:f>IF(B1145=1,IF(G1145=1,"TP","FN"),IF(G1145=1,"FP","TN"))</x:f>
        <x:v>FN</x:v>
      </x:c>
    </x:row>
    <x:row r="1146">
      <x:c r="A1146" t="str">
        <x:f>MiniCase_Data!A1146</x:f>
        <x:v>R01145</x:v>
      </x:c>
      <x:c r="B1146" t="n">
        <x:f>IF(MiniCase_Data!O1146="불합격",1,0)</x:f>
        <x:v>0</x:v>
      </x:c>
      <x:c r="C1146" t="str">
        <x:f>IF(ISBLANK(MiniCase_Data!H1146),"missing",IF(OR(MiniCase_Data!H1146&lt;27,MiniCase_Data!H1146&gt;33),"밖","안"))</x:f>
        <x:v>안</x:v>
      </x:c>
      <x:c r="D1146" t="n">
        <x:f>IF(ISBLANK(MiniCase_Data!H1146),VLOOKUP(A1146,센서로그!$A$2:$C$13,3,FALSE),MiniCase_Data!H1146)</x:f>
        <x:v>30.56</x:v>
      </x:c>
      <x:c r="E1146" t="n">
        <x:f>IF(AND(MiniCase_Data!C1146="야간",MiniCase_Data!F1146="M03"),1,0)</x:f>
        <x:v>0</x:v>
      </x:c>
      <x:c r="F1146" t="n">
        <x:f>IF(C1146="밖",1,0)</x:f>
        <x:v>0</x:v>
      </x:c>
      <x:c r="G1146" t="n">
        <x:f>IF(OR(F1146=1,E1146=1),1,0)</x:f>
        <x:v>0</x:v>
      </x:c>
      <x:c r="H1146" t="str">
        <x:f>IF(B1146=1,IF(F1146=1,"TP","FN"),IF(F1146=1,"FP","TN"))</x:f>
        <x:v>TN</x:v>
      </x:c>
      <x:c r="I1146" t="str">
        <x:f>IF(B1146=1,IF(G1146=1,"TP","FN"),IF(G1146=1,"FP","TN"))</x:f>
        <x:v>TN</x:v>
      </x:c>
    </x:row>
    <x:row r="1147">
      <x:c r="A1147" t="str">
        <x:f>MiniCase_Data!A1147</x:f>
        <x:v>R01146</x:v>
      </x:c>
      <x:c r="B1147" t="n">
        <x:f>IF(MiniCase_Data!O1147="불합격",1,0)</x:f>
        <x:v>0</x:v>
      </x:c>
      <x:c r="C1147" t="str">
        <x:f>IF(ISBLANK(MiniCase_Data!H1147),"missing",IF(OR(MiniCase_Data!H1147&lt;27,MiniCase_Data!H1147&gt;33),"밖","안"))</x:f>
        <x:v>안</x:v>
      </x:c>
      <x:c r="D1147" t="n">
        <x:f>IF(ISBLANK(MiniCase_Data!H1147),VLOOKUP(A1147,센서로그!$A$2:$C$13,3,FALSE),MiniCase_Data!H1147)</x:f>
        <x:v>28.26</x:v>
      </x:c>
      <x:c r="E1147" t="n">
        <x:f>IF(AND(MiniCase_Data!C1147="야간",MiniCase_Data!F1147="M03"),1,0)</x:f>
        <x:v>0</x:v>
      </x:c>
      <x:c r="F1147" t="n">
        <x:f>IF(C1147="밖",1,0)</x:f>
        <x:v>0</x:v>
      </x:c>
      <x:c r="G1147" t="n">
        <x:f>IF(OR(F1147=1,E1147=1),1,0)</x:f>
        <x:v>0</x:v>
      </x:c>
      <x:c r="H1147" t="str">
        <x:f>IF(B1147=1,IF(F1147=1,"TP","FN"),IF(F1147=1,"FP","TN"))</x:f>
        <x:v>TN</x:v>
      </x:c>
      <x:c r="I1147" t="str">
        <x:f>IF(B1147=1,IF(G1147=1,"TP","FN"),IF(G1147=1,"FP","TN"))</x:f>
        <x:v>TN</x:v>
      </x:c>
    </x:row>
    <x:row r="1148">
      <x:c r="A1148" t="str">
        <x:f>MiniCase_Data!A1148</x:f>
        <x:v>R01147</x:v>
      </x:c>
      <x:c r="B1148" t="n">
        <x:f>IF(MiniCase_Data!O1148="불합격",1,0)</x:f>
        <x:v>0</x:v>
      </x:c>
      <x:c r="C1148" t="str">
        <x:f>IF(ISBLANK(MiniCase_Data!H1148),"missing",IF(OR(MiniCase_Data!H1148&lt;27,MiniCase_Data!H1148&gt;33),"밖","안"))</x:f>
        <x:v>안</x:v>
      </x:c>
      <x:c r="D1148" t="n">
        <x:f>IF(ISBLANK(MiniCase_Data!H1148),VLOOKUP(A1148,센서로그!$A$2:$C$13,3,FALSE),MiniCase_Data!H1148)</x:f>
        <x:v>30.15</x:v>
      </x:c>
      <x:c r="E1148" t="n">
        <x:f>IF(AND(MiniCase_Data!C1148="야간",MiniCase_Data!F1148="M03"),1,0)</x:f>
        <x:v>0</x:v>
      </x:c>
      <x:c r="F1148" t="n">
        <x:f>IF(C1148="밖",1,0)</x:f>
        <x:v>0</x:v>
      </x:c>
      <x:c r="G1148" t="n">
        <x:f>IF(OR(F1148=1,E1148=1),1,0)</x:f>
        <x:v>0</x:v>
      </x:c>
      <x:c r="H1148" t="str">
        <x:f>IF(B1148=1,IF(F1148=1,"TP","FN"),IF(F1148=1,"FP","TN"))</x:f>
        <x:v>TN</x:v>
      </x:c>
      <x:c r="I1148" t="str">
        <x:f>IF(B1148=1,IF(G1148=1,"TP","FN"),IF(G1148=1,"FP","TN"))</x:f>
        <x:v>TN</x:v>
      </x:c>
    </x:row>
    <x:row r="1149">
      <x:c r="A1149" t="str">
        <x:f>MiniCase_Data!A1149</x:f>
        <x:v>R01148</x:v>
      </x:c>
      <x:c r="B1149" t="n">
        <x:f>IF(MiniCase_Data!O1149="불합격",1,0)</x:f>
        <x:v>0</x:v>
      </x:c>
      <x:c r="C1149" t="str">
        <x:f>IF(ISBLANK(MiniCase_Data!H1149),"missing",IF(OR(MiniCase_Data!H1149&lt;27,MiniCase_Data!H1149&gt;33),"밖","안"))</x:f>
        <x:v>안</x:v>
      </x:c>
      <x:c r="D1149" t="n">
        <x:f>IF(ISBLANK(MiniCase_Data!H1149),VLOOKUP(A1149,센서로그!$A$2:$C$13,3,FALSE),MiniCase_Data!H1149)</x:f>
        <x:v>29.5</x:v>
      </x:c>
      <x:c r="E1149" t="n">
        <x:f>IF(AND(MiniCase_Data!C1149="야간",MiniCase_Data!F1149="M03"),1,0)</x:f>
        <x:v>0</x:v>
      </x:c>
      <x:c r="F1149" t="n">
        <x:f>IF(C1149="밖",1,0)</x:f>
        <x:v>0</x:v>
      </x:c>
      <x:c r="G1149" t="n">
        <x:f>IF(OR(F1149=1,E1149=1),1,0)</x:f>
        <x:v>0</x:v>
      </x:c>
      <x:c r="H1149" t="str">
        <x:f>IF(B1149=1,IF(F1149=1,"TP","FN"),IF(F1149=1,"FP","TN"))</x:f>
        <x:v>TN</x:v>
      </x:c>
      <x:c r="I1149" t="str">
        <x:f>IF(B1149=1,IF(G1149=1,"TP","FN"),IF(G1149=1,"FP","TN"))</x:f>
        <x:v>TN</x:v>
      </x:c>
    </x:row>
    <x:row r="1150">
      <x:c r="A1150" t="str">
        <x:f>MiniCase_Data!A1150</x:f>
        <x:v>R01149</x:v>
      </x:c>
      <x:c r="B1150" t="n">
        <x:f>IF(MiniCase_Data!O1150="불합격",1,0)</x:f>
        <x:v>0</x:v>
      </x:c>
      <x:c r="C1150" t="str">
        <x:f>IF(ISBLANK(MiniCase_Data!H1150),"missing",IF(OR(MiniCase_Data!H1150&lt;27,MiniCase_Data!H1150&gt;33),"밖","안"))</x:f>
        <x:v>안</x:v>
      </x:c>
      <x:c r="D1150" t="n">
        <x:f>IF(ISBLANK(MiniCase_Data!H1150),VLOOKUP(A1150,센서로그!$A$2:$C$13,3,FALSE),MiniCase_Data!H1150)</x:f>
        <x:v>27.35</x:v>
      </x:c>
      <x:c r="E1150" t="n">
        <x:f>IF(AND(MiniCase_Data!C1150="야간",MiniCase_Data!F1150="M03"),1,0)</x:f>
        <x:v>0</x:v>
      </x:c>
      <x:c r="F1150" t="n">
        <x:f>IF(C1150="밖",1,0)</x:f>
        <x:v>0</x:v>
      </x:c>
      <x:c r="G1150" t="n">
        <x:f>IF(OR(F1150=1,E1150=1),1,0)</x:f>
        <x:v>0</x:v>
      </x:c>
      <x:c r="H1150" t="str">
        <x:f>IF(B1150=1,IF(F1150=1,"TP","FN"),IF(F1150=1,"FP","TN"))</x:f>
        <x:v>TN</x:v>
      </x:c>
      <x:c r="I1150" t="str">
        <x:f>IF(B1150=1,IF(G1150=1,"TP","FN"),IF(G1150=1,"FP","TN"))</x:f>
        <x:v>TN</x:v>
      </x:c>
    </x:row>
    <x:row r="1151">
      <x:c r="A1151" t="str">
        <x:f>MiniCase_Data!A1151</x:f>
        <x:v>R01150</x:v>
      </x:c>
      <x:c r="B1151" t="n">
        <x:f>IF(MiniCase_Data!O1151="불합격",1,0)</x:f>
        <x:v>0</x:v>
      </x:c>
      <x:c r="C1151" t="str">
        <x:f>IF(ISBLANK(MiniCase_Data!H1151),"missing",IF(OR(MiniCase_Data!H1151&lt;27,MiniCase_Data!H1151&gt;33),"밖","안"))</x:f>
        <x:v>안</x:v>
      </x:c>
      <x:c r="D1151" t="n">
        <x:f>IF(ISBLANK(MiniCase_Data!H1151),VLOOKUP(A1151,센서로그!$A$2:$C$13,3,FALSE),MiniCase_Data!H1151)</x:f>
        <x:v>27.6</x:v>
      </x:c>
      <x:c r="E1151" t="n">
        <x:f>IF(AND(MiniCase_Data!C1151="야간",MiniCase_Data!F1151="M03"),1,0)</x:f>
        <x:v>0</x:v>
      </x:c>
      <x:c r="F1151" t="n">
        <x:f>IF(C1151="밖",1,0)</x:f>
        <x:v>0</x:v>
      </x:c>
      <x:c r="G1151" t="n">
        <x:f>IF(OR(F1151=1,E1151=1),1,0)</x:f>
        <x:v>0</x:v>
      </x:c>
      <x:c r="H1151" t="str">
        <x:f>IF(B1151=1,IF(F1151=1,"TP","FN"),IF(F1151=1,"FP","TN"))</x:f>
        <x:v>TN</x:v>
      </x:c>
      <x:c r="I1151" t="str">
        <x:f>IF(B1151=1,IF(G1151=1,"TP","FN"),IF(G1151=1,"FP","TN"))</x:f>
        <x:v>TN</x:v>
      </x:c>
    </x:row>
    <x:row r="1152">
      <x:c r="A1152" t="str">
        <x:f>MiniCase_Data!A1152</x:f>
        <x:v>R01151</x:v>
      </x:c>
      <x:c r="B1152" t="n">
        <x:f>IF(MiniCase_Data!O1152="불합격",1,0)</x:f>
        <x:v>0</x:v>
      </x:c>
      <x:c r="C1152" t="str">
        <x:f>IF(ISBLANK(MiniCase_Data!H1152),"missing",IF(OR(MiniCase_Data!H1152&lt;27,MiniCase_Data!H1152&gt;33),"밖","안"))</x:f>
        <x:v>안</x:v>
      </x:c>
      <x:c r="D1152" t="n">
        <x:f>IF(ISBLANK(MiniCase_Data!H1152),VLOOKUP(A1152,센서로그!$A$2:$C$13,3,FALSE),MiniCase_Data!H1152)</x:f>
        <x:v>27.4</x:v>
      </x:c>
      <x:c r="E1152" t="n">
        <x:f>IF(AND(MiniCase_Data!C1152="야간",MiniCase_Data!F1152="M03"),1,0)</x:f>
        <x:v>0</x:v>
      </x:c>
      <x:c r="F1152" t="n">
        <x:f>IF(C1152="밖",1,0)</x:f>
        <x:v>0</x:v>
      </x:c>
      <x:c r="G1152" t="n">
        <x:f>IF(OR(F1152=1,E1152=1),1,0)</x:f>
        <x:v>0</x:v>
      </x:c>
      <x:c r="H1152" t="str">
        <x:f>IF(B1152=1,IF(F1152=1,"TP","FN"),IF(F1152=1,"FP","TN"))</x:f>
        <x:v>TN</x:v>
      </x:c>
      <x:c r="I1152" t="str">
        <x:f>IF(B1152=1,IF(G1152=1,"TP","FN"),IF(G1152=1,"FP","TN"))</x:f>
        <x:v>TN</x:v>
      </x:c>
    </x:row>
    <x:row r="1153">
      <x:c r="A1153" t="str">
        <x:f>MiniCase_Data!A1153</x:f>
        <x:v>R01152</x:v>
      </x:c>
      <x:c r="B1153" t="n">
        <x:f>IF(MiniCase_Data!O1153="불합격",1,0)</x:f>
        <x:v>0</x:v>
      </x:c>
      <x:c r="C1153" t="str">
        <x:f>IF(ISBLANK(MiniCase_Data!H1153),"missing",IF(OR(MiniCase_Data!H1153&lt;27,MiniCase_Data!H1153&gt;33),"밖","안"))</x:f>
        <x:v>안</x:v>
      </x:c>
      <x:c r="D1153" t="n">
        <x:f>IF(ISBLANK(MiniCase_Data!H1153),VLOOKUP(A1153,센서로그!$A$2:$C$13,3,FALSE),MiniCase_Data!H1153)</x:f>
        <x:v>32.77</x:v>
      </x:c>
      <x:c r="E1153" t="n">
        <x:f>IF(AND(MiniCase_Data!C1153="야간",MiniCase_Data!F1153="M03"),1,0)</x:f>
        <x:v>0</x:v>
      </x:c>
      <x:c r="F1153" t="n">
        <x:f>IF(C1153="밖",1,0)</x:f>
        <x:v>0</x:v>
      </x:c>
      <x:c r="G1153" t="n">
        <x:f>IF(OR(F1153=1,E1153=1),1,0)</x:f>
        <x:v>0</x:v>
      </x:c>
      <x:c r="H1153" t="str">
        <x:f>IF(B1153=1,IF(F1153=1,"TP","FN"),IF(F1153=1,"FP","TN"))</x:f>
        <x:v>TN</x:v>
      </x:c>
      <x:c r="I1153" t="str">
        <x:f>IF(B1153=1,IF(G1153=1,"TP","FN"),IF(G1153=1,"FP","TN"))</x:f>
        <x:v>TN</x:v>
      </x:c>
    </x:row>
    <x:row r="1154">
      <x:c r="A1154" t="str">
        <x:f>MiniCase_Data!A1154</x:f>
        <x:v>R01153</x:v>
      </x:c>
      <x:c r="B1154" t="n">
        <x:f>IF(MiniCase_Data!O1154="불합격",1,0)</x:f>
        <x:v>0</x:v>
      </x:c>
      <x:c r="C1154" t="str">
        <x:f>IF(ISBLANK(MiniCase_Data!H1154),"missing",IF(OR(MiniCase_Data!H1154&lt;27,MiniCase_Data!H1154&gt;33),"밖","안"))</x:f>
        <x:v>안</x:v>
      </x:c>
      <x:c r="D1154" t="n">
        <x:f>IF(ISBLANK(MiniCase_Data!H1154),VLOOKUP(A1154,센서로그!$A$2:$C$13,3,FALSE),MiniCase_Data!H1154)</x:f>
        <x:v>31.72</x:v>
      </x:c>
      <x:c r="E1154" t="n">
        <x:f>IF(AND(MiniCase_Data!C1154="야간",MiniCase_Data!F1154="M03"),1,0)</x:f>
        <x:v>1</x:v>
      </x:c>
      <x:c r="F1154" t="n">
        <x:f>IF(C1154="밖",1,0)</x:f>
        <x:v>0</x:v>
      </x:c>
      <x:c r="G1154" t="n">
        <x:f>IF(OR(F1154=1,E1154=1),1,0)</x:f>
        <x:v>1</x:v>
      </x:c>
      <x:c r="H1154" t="str">
        <x:f>IF(B1154=1,IF(F1154=1,"TP","FN"),IF(F1154=1,"FP","TN"))</x:f>
        <x:v>TN</x:v>
      </x:c>
      <x:c r="I1154" t="str">
        <x:f>IF(B1154=1,IF(G1154=1,"TP","FN"),IF(G1154=1,"FP","TN"))</x:f>
        <x:v>FP</x:v>
      </x:c>
    </x:row>
    <x:row r="1155">
      <x:c r="A1155" t="str">
        <x:f>MiniCase_Data!A1155</x:f>
        <x:v>R01154</x:v>
      </x:c>
      <x:c r="B1155" t="n">
        <x:f>IF(MiniCase_Data!O1155="불합격",1,0)</x:f>
        <x:v>0</x:v>
      </x:c>
      <x:c r="C1155" t="str">
        <x:f>IF(ISBLANK(MiniCase_Data!H1155),"missing",IF(OR(MiniCase_Data!H1155&lt;27,MiniCase_Data!H1155&gt;33),"밖","안"))</x:f>
        <x:v>안</x:v>
      </x:c>
      <x:c r="D1155" t="n">
        <x:f>IF(ISBLANK(MiniCase_Data!H1155),VLOOKUP(A1155,센서로그!$A$2:$C$13,3,FALSE),MiniCase_Data!H1155)</x:f>
        <x:v>27.45</x:v>
      </x:c>
      <x:c r="E1155" t="n">
        <x:f>IF(AND(MiniCase_Data!C1155="야간",MiniCase_Data!F1155="M03"),1,0)</x:f>
        <x:v>0</x:v>
      </x:c>
      <x:c r="F1155" t="n">
        <x:f>IF(C1155="밖",1,0)</x:f>
        <x:v>0</x:v>
      </x:c>
      <x:c r="G1155" t="n">
        <x:f>IF(OR(F1155=1,E1155=1),1,0)</x:f>
        <x:v>0</x:v>
      </x:c>
      <x:c r="H1155" t="str">
        <x:f>IF(B1155=1,IF(F1155=1,"TP","FN"),IF(F1155=1,"FP","TN"))</x:f>
        <x:v>TN</x:v>
      </x:c>
      <x:c r="I1155" t="str">
        <x:f>IF(B1155=1,IF(G1155=1,"TP","FN"),IF(G1155=1,"FP","TN"))</x:f>
        <x:v>TN</x:v>
      </x:c>
    </x:row>
    <x:row r="1156">
      <x:c r="A1156" t="str">
        <x:f>MiniCase_Data!A1156</x:f>
        <x:v>R01155</x:v>
      </x:c>
      <x:c r="B1156" t="n">
        <x:f>IF(MiniCase_Data!O1156="불합격",1,0)</x:f>
        <x:v>0</x:v>
      </x:c>
      <x:c r="C1156" t="str">
        <x:f>IF(ISBLANK(MiniCase_Data!H1156),"missing",IF(OR(MiniCase_Data!H1156&lt;27,MiniCase_Data!H1156&gt;33),"밖","안"))</x:f>
        <x:v>안</x:v>
      </x:c>
      <x:c r="D1156" t="n">
        <x:f>IF(ISBLANK(MiniCase_Data!H1156),VLOOKUP(A1156,센서로그!$A$2:$C$13,3,FALSE),MiniCase_Data!H1156)</x:f>
        <x:v>31.94</x:v>
      </x:c>
      <x:c r="E1156" t="n">
        <x:f>IF(AND(MiniCase_Data!C1156="야간",MiniCase_Data!F1156="M03"),1,0)</x:f>
        <x:v>0</x:v>
      </x:c>
      <x:c r="F1156" t="n">
        <x:f>IF(C1156="밖",1,0)</x:f>
        <x:v>0</x:v>
      </x:c>
      <x:c r="G1156" t="n">
        <x:f>IF(OR(F1156=1,E1156=1),1,0)</x:f>
        <x:v>0</x:v>
      </x:c>
      <x:c r="H1156" t="str">
        <x:f>IF(B1156=1,IF(F1156=1,"TP","FN"),IF(F1156=1,"FP","TN"))</x:f>
        <x:v>TN</x:v>
      </x:c>
      <x:c r="I1156" t="str">
        <x:f>IF(B1156=1,IF(G1156=1,"TP","FN"),IF(G1156=1,"FP","TN"))</x:f>
        <x:v>TN</x:v>
      </x:c>
    </x:row>
    <x:row r="1157">
      <x:c r="A1157" t="str">
        <x:f>MiniCase_Data!A1157</x:f>
        <x:v>R01156</x:v>
      </x:c>
      <x:c r="B1157" t="n">
        <x:f>IF(MiniCase_Data!O1157="불합격",1,0)</x:f>
        <x:v>0</x:v>
      </x:c>
      <x:c r="C1157" t="str">
        <x:f>IF(ISBLANK(MiniCase_Data!H1157),"missing",IF(OR(MiniCase_Data!H1157&lt;27,MiniCase_Data!H1157&gt;33),"밖","안"))</x:f>
        <x:v>밖</x:v>
      </x:c>
      <x:c r="D1157" t="n">
        <x:f>IF(ISBLANK(MiniCase_Data!H1157),VLOOKUP(A1157,센서로그!$A$2:$C$13,3,FALSE),MiniCase_Data!H1157)</x:f>
        <x:v>25.86</x:v>
      </x:c>
      <x:c r="E1157" t="n">
        <x:f>IF(AND(MiniCase_Data!C1157="야간",MiniCase_Data!F1157="M03"),1,0)</x:f>
        <x:v>1</x:v>
      </x:c>
      <x:c r="F1157" t="n">
        <x:f>IF(C1157="밖",1,0)</x:f>
        <x:v>1</x:v>
      </x:c>
      <x:c r="G1157" t="n">
        <x:f>IF(OR(F1157=1,E1157=1),1,0)</x:f>
        <x:v>1</x:v>
      </x:c>
      <x:c r="H1157" t="str">
        <x:f>IF(B1157=1,IF(F1157=1,"TP","FN"),IF(F1157=1,"FP","TN"))</x:f>
        <x:v>FP</x:v>
      </x:c>
      <x:c r="I1157" t="str">
        <x:f>IF(B1157=1,IF(G1157=1,"TP","FN"),IF(G1157=1,"FP","TN"))</x:f>
        <x:v>FP</x:v>
      </x:c>
    </x:row>
    <x:row r="1158">
      <x:c r="A1158" t="str">
        <x:f>MiniCase_Data!A1158</x:f>
        <x:v>R01157</x:v>
      </x:c>
      <x:c r="B1158" t="n">
        <x:f>IF(MiniCase_Data!O1158="불합격",1,0)</x:f>
        <x:v>0</x:v>
      </x:c>
      <x:c r="C1158" t="str">
        <x:f>IF(ISBLANK(MiniCase_Data!H1158),"missing",IF(OR(MiniCase_Data!H1158&lt;27,MiniCase_Data!H1158&gt;33),"밖","안"))</x:f>
        <x:v>안</x:v>
      </x:c>
      <x:c r="D1158" t="n">
        <x:f>IF(ISBLANK(MiniCase_Data!H1158),VLOOKUP(A1158,센서로그!$A$2:$C$13,3,FALSE),MiniCase_Data!H1158)</x:f>
        <x:v>30.07</x:v>
      </x:c>
      <x:c r="E1158" t="n">
        <x:f>IF(AND(MiniCase_Data!C1158="야간",MiniCase_Data!F1158="M03"),1,0)</x:f>
        <x:v>0</x:v>
      </x:c>
      <x:c r="F1158" t="n">
        <x:f>IF(C1158="밖",1,0)</x:f>
        <x:v>0</x:v>
      </x:c>
      <x:c r="G1158" t="n">
        <x:f>IF(OR(F1158=1,E1158=1),1,0)</x:f>
        <x:v>0</x:v>
      </x:c>
      <x:c r="H1158" t="str">
        <x:f>IF(B1158=1,IF(F1158=1,"TP","FN"),IF(F1158=1,"FP","TN"))</x:f>
        <x:v>TN</x:v>
      </x:c>
      <x:c r="I1158" t="str">
        <x:f>IF(B1158=1,IF(G1158=1,"TP","FN"),IF(G1158=1,"FP","TN"))</x:f>
        <x:v>TN</x:v>
      </x:c>
    </x:row>
    <x:row r="1159">
      <x:c r="A1159" t="str">
        <x:f>MiniCase_Data!A1159</x:f>
        <x:v>R01158</x:v>
      </x:c>
      <x:c r="B1159" t="n">
        <x:f>IF(MiniCase_Data!O1159="불합격",1,0)</x:f>
        <x:v>0</x:v>
      </x:c>
      <x:c r="C1159" t="str">
        <x:f>IF(ISBLANK(MiniCase_Data!H1159),"missing",IF(OR(MiniCase_Data!H1159&lt;27,MiniCase_Data!H1159&gt;33),"밖","안"))</x:f>
        <x:v>안</x:v>
      </x:c>
      <x:c r="D1159" t="n">
        <x:f>IF(ISBLANK(MiniCase_Data!H1159),VLOOKUP(A1159,센서로그!$A$2:$C$13,3,FALSE),MiniCase_Data!H1159)</x:f>
        <x:v>30.68</x:v>
      </x:c>
      <x:c r="E1159" t="n">
        <x:f>IF(AND(MiniCase_Data!C1159="야간",MiniCase_Data!F1159="M03"),1,0)</x:f>
        <x:v>0</x:v>
      </x:c>
      <x:c r="F1159" t="n">
        <x:f>IF(C1159="밖",1,0)</x:f>
        <x:v>0</x:v>
      </x:c>
      <x:c r="G1159" t="n">
        <x:f>IF(OR(F1159=1,E1159=1),1,0)</x:f>
        <x:v>0</x:v>
      </x:c>
      <x:c r="H1159" t="str">
        <x:f>IF(B1159=1,IF(F1159=1,"TP","FN"),IF(F1159=1,"FP","TN"))</x:f>
        <x:v>TN</x:v>
      </x:c>
      <x:c r="I1159" t="str">
        <x:f>IF(B1159=1,IF(G1159=1,"TP","FN"),IF(G1159=1,"FP","TN"))</x:f>
        <x:v>TN</x:v>
      </x:c>
    </x:row>
    <x:row r="1160">
      <x:c r="A1160" t="str">
        <x:f>MiniCase_Data!A1160</x:f>
        <x:v>R01159</x:v>
      </x:c>
      <x:c r="B1160" t="n">
        <x:f>IF(MiniCase_Data!O1160="불합격",1,0)</x:f>
        <x:v>1</x:v>
      </x:c>
      <x:c r="C1160" t="str">
        <x:f>IF(ISBLANK(MiniCase_Data!H1160),"missing",IF(OR(MiniCase_Data!H1160&lt;27,MiniCase_Data!H1160&gt;33),"밖","안"))</x:f>
        <x:v>밖</x:v>
      </x:c>
      <x:c r="D1160" t="n">
        <x:f>IF(ISBLANK(MiniCase_Data!H1160),VLOOKUP(A1160,센서로그!$A$2:$C$13,3,FALSE),MiniCase_Data!H1160)</x:f>
        <x:v>33.98</x:v>
      </x:c>
      <x:c r="E1160" t="n">
        <x:f>IF(AND(MiniCase_Data!C1160="야간",MiniCase_Data!F1160="M03"),1,0)</x:f>
        <x:v>0</x:v>
      </x:c>
      <x:c r="F1160" t="n">
        <x:f>IF(C1160="밖",1,0)</x:f>
        <x:v>1</x:v>
      </x:c>
      <x:c r="G1160" t="n">
        <x:f>IF(OR(F1160=1,E1160=1),1,0)</x:f>
        <x:v>1</x:v>
      </x:c>
      <x:c r="H1160" t="str">
        <x:f>IF(B1160=1,IF(F1160=1,"TP","FN"),IF(F1160=1,"FP","TN"))</x:f>
        <x:v>TP</x:v>
      </x:c>
      <x:c r="I1160" t="str">
        <x:f>IF(B1160=1,IF(G1160=1,"TP","FN"),IF(G1160=1,"FP","TN"))</x:f>
        <x:v>TP</x:v>
      </x:c>
    </x:row>
    <x:row r="1161">
      <x:c r="A1161" t="str">
        <x:f>MiniCase_Data!A1161</x:f>
        <x:v>R01160</x:v>
      </x:c>
      <x:c r="B1161" t="n">
        <x:f>IF(MiniCase_Data!O1161="불합격",1,0)</x:f>
        <x:v>0</x:v>
      </x:c>
      <x:c r="C1161" t="str">
        <x:f>IF(ISBLANK(MiniCase_Data!H1161),"missing",IF(OR(MiniCase_Data!H1161&lt;27,MiniCase_Data!H1161&gt;33),"밖","안"))</x:f>
        <x:v>안</x:v>
      </x:c>
      <x:c r="D1161" t="n">
        <x:f>IF(ISBLANK(MiniCase_Data!H1161),VLOOKUP(A1161,센서로그!$A$2:$C$13,3,FALSE),MiniCase_Data!H1161)</x:f>
        <x:v>28.3</x:v>
      </x:c>
      <x:c r="E1161" t="n">
        <x:f>IF(AND(MiniCase_Data!C1161="야간",MiniCase_Data!F1161="M03"),1,0)</x:f>
        <x:v>0</x:v>
      </x:c>
      <x:c r="F1161" t="n">
        <x:f>IF(C1161="밖",1,0)</x:f>
        <x:v>0</x:v>
      </x:c>
      <x:c r="G1161" t="n">
        <x:f>IF(OR(F1161=1,E1161=1),1,0)</x:f>
        <x:v>0</x:v>
      </x:c>
      <x:c r="H1161" t="str">
        <x:f>IF(B1161=1,IF(F1161=1,"TP","FN"),IF(F1161=1,"FP","TN"))</x:f>
        <x:v>TN</x:v>
      </x:c>
      <x:c r="I1161" t="str">
        <x:f>IF(B1161=1,IF(G1161=1,"TP","FN"),IF(G1161=1,"FP","TN"))</x:f>
        <x:v>TN</x:v>
      </x:c>
    </x:row>
    <x:row r="1162">
      <x:c r="A1162" t="str">
        <x:f>MiniCase_Data!A1162</x:f>
        <x:v>R01161</x:v>
      </x:c>
      <x:c r="B1162" t="n">
        <x:f>IF(MiniCase_Data!O1162="불합격",1,0)</x:f>
        <x:v>0</x:v>
      </x:c>
      <x:c r="C1162" t="str">
        <x:f>IF(ISBLANK(MiniCase_Data!H1162),"missing",IF(OR(MiniCase_Data!H1162&lt;27,MiniCase_Data!H1162&gt;33),"밖","안"))</x:f>
        <x:v>안</x:v>
      </x:c>
      <x:c r="D1162" t="n">
        <x:f>IF(ISBLANK(MiniCase_Data!H1162),VLOOKUP(A1162,센서로그!$A$2:$C$13,3,FALSE),MiniCase_Data!H1162)</x:f>
        <x:v>27.86</x:v>
      </x:c>
      <x:c r="E1162" t="n">
        <x:f>IF(AND(MiniCase_Data!C1162="야간",MiniCase_Data!F1162="M03"),1,0)</x:f>
        <x:v>1</x:v>
      </x:c>
      <x:c r="F1162" t="n">
        <x:f>IF(C1162="밖",1,0)</x:f>
        <x:v>0</x:v>
      </x:c>
      <x:c r="G1162" t="n">
        <x:f>IF(OR(F1162=1,E1162=1),1,0)</x:f>
        <x:v>1</x:v>
      </x:c>
      <x:c r="H1162" t="str">
        <x:f>IF(B1162=1,IF(F1162=1,"TP","FN"),IF(F1162=1,"FP","TN"))</x:f>
        <x:v>TN</x:v>
      </x:c>
      <x:c r="I1162" t="str">
        <x:f>IF(B1162=1,IF(G1162=1,"TP","FN"),IF(G1162=1,"FP","TN"))</x:f>
        <x:v>FP</x:v>
      </x:c>
    </x:row>
    <x:row r="1163">
      <x:c r="A1163" t="str">
        <x:f>MiniCase_Data!A1163</x:f>
        <x:v>R01162</x:v>
      </x:c>
      <x:c r="B1163" t="n">
        <x:f>IF(MiniCase_Data!O1163="불합격",1,0)</x:f>
        <x:v>0</x:v>
      </x:c>
      <x:c r="C1163" t="str">
        <x:f>IF(ISBLANK(MiniCase_Data!H1163),"missing",IF(OR(MiniCase_Data!H1163&lt;27,MiniCase_Data!H1163&gt;33),"밖","안"))</x:f>
        <x:v>안</x:v>
      </x:c>
      <x:c r="D1163" t="n">
        <x:f>IF(ISBLANK(MiniCase_Data!H1163),VLOOKUP(A1163,센서로그!$A$2:$C$13,3,FALSE),MiniCase_Data!H1163)</x:f>
        <x:v>29.93</x:v>
      </x:c>
      <x:c r="E1163" t="n">
        <x:f>IF(AND(MiniCase_Data!C1163="야간",MiniCase_Data!F1163="M03"),1,0)</x:f>
        <x:v>0</x:v>
      </x:c>
      <x:c r="F1163" t="n">
        <x:f>IF(C1163="밖",1,0)</x:f>
        <x:v>0</x:v>
      </x:c>
      <x:c r="G1163" t="n">
        <x:f>IF(OR(F1163=1,E1163=1),1,0)</x:f>
        <x:v>0</x:v>
      </x:c>
      <x:c r="H1163" t="str">
        <x:f>IF(B1163=1,IF(F1163=1,"TP","FN"),IF(F1163=1,"FP","TN"))</x:f>
        <x:v>TN</x:v>
      </x:c>
      <x:c r="I1163" t="str">
        <x:f>IF(B1163=1,IF(G1163=1,"TP","FN"),IF(G1163=1,"FP","TN"))</x:f>
        <x:v>TN</x:v>
      </x:c>
    </x:row>
    <x:row r="1164">
      <x:c r="A1164" t="str">
        <x:f>MiniCase_Data!A1164</x:f>
        <x:v>R01163</x:v>
      </x:c>
      <x:c r="B1164" t="n">
        <x:f>IF(MiniCase_Data!O1164="불합격",1,0)</x:f>
        <x:v>0</x:v>
      </x:c>
      <x:c r="C1164" t="str">
        <x:f>IF(ISBLANK(MiniCase_Data!H1164),"missing",IF(OR(MiniCase_Data!H1164&lt;27,MiniCase_Data!H1164&gt;33),"밖","안"))</x:f>
        <x:v>안</x:v>
      </x:c>
      <x:c r="D1164" t="n">
        <x:f>IF(ISBLANK(MiniCase_Data!H1164),VLOOKUP(A1164,센서로그!$A$2:$C$13,3,FALSE),MiniCase_Data!H1164)</x:f>
        <x:v>30.31</x:v>
      </x:c>
      <x:c r="E1164" t="n">
        <x:f>IF(AND(MiniCase_Data!C1164="야간",MiniCase_Data!F1164="M03"),1,0)</x:f>
        <x:v>0</x:v>
      </x:c>
      <x:c r="F1164" t="n">
        <x:f>IF(C1164="밖",1,0)</x:f>
        <x:v>0</x:v>
      </x:c>
      <x:c r="G1164" t="n">
        <x:f>IF(OR(F1164=1,E1164=1),1,0)</x:f>
        <x:v>0</x:v>
      </x:c>
      <x:c r="H1164" t="str">
        <x:f>IF(B1164=1,IF(F1164=1,"TP","FN"),IF(F1164=1,"FP","TN"))</x:f>
        <x:v>TN</x:v>
      </x:c>
      <x:c r="I1164" t="str">
        <x:f>IF(B1164=1,IF(G1164=1,"TP","FN"),IF(G1164=1,"FP","TN"))</x:f>
        <x:v>TN</x:v>
      </x:c>
    </x:row>
    <x:row r="1165">
      <x:c r="A1165" t="str">
        <x:f>MiniCase_Data!A1165</x:f>
        <x:v>R01164</x:v>
      </x:c>
      <x:c r="B1165" t="n">
        <x:f>IF(MiniCase_Data!O1165="불합격",1,0)</x:f>
        <x:v>0</x:v>
      </x:c>
      <x:c r="C1165" t="str">
        <x:f>IF(ISBLANK(MiniCase_Data!H1165),"missing",IF(OR(MiniCase_Data!H1165&lt;27,MiniCase_Data!H1165&gt;33),"밖","안"))</x:f>
        <x:v>안</x:v>
      </x:c>
      <x:c r="D1165" t="n">
        <x:f>IF(ISBLANK(MiniCase_Data!H1165),VLOOKUP(A1165,센서로그!$A$2:$C$13,3,FALSE),MiniCase_Data!H1165)</x:f>
        <x:v>30.19</x:v>
      </x:c>
      <x:c r="E1165" t="n">
        <x:f>IF(AND(MiniCase_Data!C1165="야간",MiniCase_Data!F1165="M03"),1,0)</x:f>
        <x:v>1</x:v>
      </x:c>
      <x:c r="F1165" t="n">
        <x:f>IF(C1165="밖",1,0)</x:f>
        <x:v>0</x:v>
      </x:c>
      <x:c r="G1165" t="n">
        <x:f>IF(OR(F1165=1,E1165=1),1,0)</x:f>
        <x:v>1</x:v>
      </x:c>
      <x:c r="H1165" t="str">
        <x:f>IF(B1165=1,IF(F1165=1,"TP","FN"),IF(F1165=1,"FP","TN"))</x:f>
        <x:v>TN</x:v>
      </x:c>
      <x:c r="I1165" t="str">
        <x:f>IF(B1165=1,IF(G1165=1,"TP","FN"),IF(G1165=1,"FP","TN"))</x:f>
        <x:v>FP</x:v>
      </x:c>
    </x:row>
    <x:row r="1166">
      <x:c r="A1166" t="str">
        <x:f>MiniCase_Data!A1166</x:f>
        <x:v>R01165</x:v>
      </x:c>
      <x:c r="B1166" t="n">
        <x:f>IF(MiniCase_Data!O1166="불합격",1,0)</x:f>
        <x:v>0</x:v>
      </x:c>
      <x:c r="C1166" t="str">
        <x:f>IF(ISBLANK(MiniCase_Data!H1166),"missing",IF(OR(MiniCase_Data!H1166&lt;27,MiniCase_Data!H1166&gt;33),"밖","안"))</x:f>
        <x:v>안</x:v>
      </x:c>
      <x:c r="D1166" t="n">
        <x:f>IF(ISBLANK(MiniCase_Data!H1166),VLOOKUP(A1166,센서로그!$A$2:$C$13,3,FALSE),MiniCase_Data!H1166)</x:f>
        <x:v>30.31</x:v>
      </x:c>
      <x:c r="E1166" t="n">
        <x:f>IF(AND(MiniCase_Data!C1166="야간",MiniCase_Data!F1166="M03"),1,0)</x:f>
        <x:v>0</x:v>
      </x:c>
      <x:c r="F1166" t="n">
        <x:f>IF(C1166="밖",1,0)</x:f>
        <x:v>0</x:v>
      </x:c>
      <x:c r="G1166" t="n">
        <x:f>IF(OR(F1166=1,E1166=1),1,0)</x:f>
        <x:v>0</x:v>
      </x:c>
      <x:c r="H1166" t="str">
        <x:f>IF(B1166=1,IF(F1166=1,"TP","FN"),IF(F1166=1,"FP","TN"))</x:f>
        <x:v>TN</x:v>
      </x:c>
      <x:c r="I1166" t="str">
        <x:f>IF(B1166=1,IF(G1166=1,"TP","FN"),IF(G1166=1,"FP","TN"))</x:f>
        <x:v>TN</x:v>
      </x:c>
    </x:row>
    <x:row r="1167">
      <x:c r="A1167" t="str">
        <x:f>MiniCase_Data!A1167</x:f>
        <x:v>R01166</x:v>
      </x:c>
      <x:c r="B1167" t="n">
        <x:f>IF(MiniCase_Data!O1167="불합격",1,0)</x:f>
        <x:v>0</x:v>
      </x:c>
      <x:c r="C1167" t="str">
        <x:f>IF(ISBLANK(MiniCase_Data!H1167),"missing",IF(OR(MiniCase_Data!H1167&lt;27,MiniCase_Data!H1167&gt;33),"밖","안"))</x:f>
        <x:v>안</x:v>
      </x:c>
      <x:c r="D1167" t="n">
        <x:f>IF(ISBLANK(MiniCase_Data!H1167),VLOOKUP(A1167,센서로그!$A$2:$C$13,3,FALSE),MiniCase_Data!H1167)</x:f>
        <x:v>28.21</x:v>
      </x:c>
      <x:c r="E1167" t="n">
        <x:f>IF(AND(MiniCase_Data!C1167="야간",MiniCase_Data!F1167="M03"),1,0)</x:f>
        <x:v>0</x:v>
      </x:c>
      <x:c r="F1167" t="n">
        <x:f>IF(C1167="밖",1,0)</x:f>
        <x:v>0</x:v>
      </x:c>
      <x:c r="G1167" t="n">
        <x:f>IF(OR(F1167=1,E1167=1),1,0)</x:f>
        <x:v>0</x:v>
      </x:c>
      <x:c r="H1167" t="str">
        <x:f>IF(B1167=1,IF(F1167=1,"TP","FN"),IF(F1167=1,"FP","TN"))</x:f>
        <x:v>TN</x:v>
      </x:c>
      <x:c r="I1167" t="str">
        <x:f>IF(B1167=1,IF(G1167=1,"TP","FN"),IF(G1167=1,"FP","TN"))</x:f>
        <x:v>TN</x:v>
      </x:c>
    </x:row>
    <x:row r="1168">
      <x:c r="A1168" t="str">
        <x:f>MiniCase_Data!A1168</x:f>
        <x:v>R01167</x:v>
      </x:c>
      <x:c r="B1168" t="n">
        <x:f>IF(MiniCase_Data!O1168="불합격",1,0)</x:f>
        <x:v>0</x:v>
      </x:c>
      <x:c r="C1168" t="str">
        <x:f>IF(ISBLANK(MiniCase_Data!H1168),"missing",IF(OR(MiniCase_Data!H1168&lt;27,MiniCase_Data!H1168&gt;33),"밖","안"))</x:f>
        <x:v>안</x:v>
      </x:c>
      <x:c r="D1168" t="n">
        <x:f>IF(ISBLANK(MiniCase_Data!H1168),VLOOKUP(A1168,센서로그!$A$2:$C$13,3,FALSE),MiniCase_Data!H1168)</x:f>
        <x:v>29.91</x:v>
      </x:c>
      <x:c r="E1168" t="n">
        <x:f>IF(AND(MiniCase_Data!C1168="야간",MiniCase_Data!F1168="M03"),1,0)</x:f>
        <x:v>0</x:v>
      </x:c>
      <x:c r="F1168" t="n">
        <x:f>IF(C1168="밖",1,0)</x:f>
        <x:v>0</x:v>
      </x:c>
      <x:c r="G1168" t="n">
        <x:f>IF(OR(F1168=1,E1168=1),1,0)</x:f>
        <x:v>0</x:v>
      </x:c>
      <x:c r="H1168" t="str">
        <x:f>IF(B1168=1,IF(F1168=1,"TP","FN"),IF(F1168=1,"FP","TN"))</x:f>
        <x:v>TN</x:v>
      </x:c>
      <x:c r="I1168" t="str">
        <x:f>IF(B1168=1,IF(G1168=1,"TP","FN"),IF(G1168=1,"FP","TN"))</x:f>
        <x:v>TN</x:v>
      </x:c>
    </x:row>
    <x:row r="1169">
      <x:c r="A1169" t="str">
        <x:f>MiniCase_Data!A1169</x:f>
        <x:v>R01168</x:v>
      </x:c>
      <x:c r="B1169" t="n">
        <x:f>IF(MiniCase_Data!O1169="불합격",1,0)</x:f>
        <x:v>0</x:v>
      </x:c>
      <x:c r="C1169" t="str">
        <x:f>IF(ISBLANK(MiniCase_Data!H1169),"missing",IF(OR(MiniCase_Data!H1169&lt;27,MiniCase_Data!H1169&gt;33),"밖","안"))</x:f>
        <x:v>밖</x:v>
      </x:c>
      <x:c r="D1169" t="n">
        <x:f>IF(ISBLANK(MiniCase_Data!H1169),VLOOKUP(A1169,센서로그!$A$2:$C$13,3,FALSE),MiniCase_Data!H1169)</x:f>
        <x:v>26.38</x:v>
      </x:c>
      <x:c r="E1169" t="n">
        <x:f>IF(AND(MiniCase_Data!C1169="야간",MiniCase_Data!F1169="M03"),1,0)</x:f>
        <x:v>1</x:v>
      </x:c>
      <x:c r="F1169" t="n">
        <x:f>IF(C1169="밖",1,0)</x:f>
        <x:v>1</x:v>
      </x:c>
      <x:c r="G1169" t="n">
        <x:f>IF(OR(F1169=1,E1169=1),1,0)</x:f>
        <x:v>1</x:v>
      </x:c>
      <x:c r="H1169" t="str">
        <x:f>IF(B1169=1,IF(F1169=1,"TP","FN"),IF(F1169=1,"FP","TN"))</x:f>
        <x:v>FP</x:v>
      </x:c>
      <x:c r="I1169" t="str">
        <x:f>IF(B1169=1,IF(G1169=1,"TP","FN"),IF(G1169=1,"FP","TN"))</x:f>
        <x:v>FP</x:v>
      </x:c>
    </x:row>
    <x:row r="1170">
      <x:c r="A1170" t="str">
        <x:f>MiniCase_Data!A1170</x:f>
        <x:v>R01169</x:v>
      </x:c>
      <x:c r="B1170" t="n">
        <x:f>IF(MiniCase_Data!O1170="불합격",1,0)</x:f>
        <x:v>0</x:v>
      </x:c>
      <x:c r="C1170" t="str">
        <x:f>IF(ISBLANK(MiniCase_Data!H1170),"missing",IF(OR(MiniCase_Data!H1170&lt;27,MiniCase_Data!H1170&gt;33),"밖","안"))</x:f>
        <x:v>안</x:v>
      </x:c>
      <x:c r="D1170" t="n">
        <x:f>IF(ISBLANK(MiniCase_Data!H1170),VLOOKUP(A1170,센서로그!$A$2:$C$13,3,FALSE),MiniCase_Data!H1170)</x:f>
        <x:v>31.19</x:v>
      </x:c>
      <x:c r="E1170" t="n">
        <x:f>IF(AND(MiniCase_Data!C1170="야간",MiniCase_Data!F1170="M03"),1,0)</x:f>
        <x:v>1</x:v>
      </x:c>
      <x:c r="F1170" t="n">
        <x:f>IF(C1170="밖",1,0)</x:f>
        <x:v>0</x:v>
      </x:c>
      <x:c r="G1170" t="n">
        <x:f>IF(OR(F1170=1,E1170=1),1,0)</x:f>
        <x:v>1</x:v>
      </x:c>
      <x:c r="H1170" t="str">
        <x:f>IF(B1170=1,IF(F1170=1,"TP","FN"),IF(F1170=1,"FP","TN"))</x:f>
        <x:v>TN</x:v>
      </x:c>
      <x:c r="I1170" t="str">
        <x:f>IF(B1170=1,IF(G1170=1,"TP","FN"),IF(G1170=1,"FP","TN"))</x:f>
        <x:v>FP</x:v>
      </x:c>
    </x:row>
    <x:row r="1171">
      <x:c r="A1171" t="str">
        <x:f>MiniCase_Data!A1171</x:f>
        <x:v>R01170</x:v>
      </x:c>
      <x:c r="B1171" t="n">
        <x:f>IF(MiniCase_Data!O1171="불합격",1,0)</x:f>
        <x:v>0</x:v>
      </x:c>
      <x:c r="C1171" t="str">
        <x:f>IF(ISBLANK(MiniCase_Data!H1171),"missing",IF(OR(MiniCase_Data!H1171&lt;27,MiniCase_Data!H1171&gt;33),"밖","안"))</x:f>
        <x:v>안</x:v>
      </x:c>
      <x:c r="D1171" t="n">
        <x:f>IF(ISBLANK(MiniCase_Data!H1171),VLOOKUP(A1171,센서로그!$A$2:$C$13,3,FALSE),MiniCase_Data!H1171)</x:f>
        <x:v>31.63</x:v>
      </x:c>
      <x:c r="E1171" t="n">
        <x:f>IF(AND(MiniCase_Data!C1171="야간",MiniCase_Data!F1171="M03"),1,0)</x:f>
        <x:v>0</x:v>
      </x:c>
      <x:c r="F1171" t="n">
        <x:f>IF(C1171="밖",1,0)</x:f>
        <x:v>0</x:v>
      </x:c>
      <x:c r="G1171" t="n">
        <x:f>IF(OR(F1171=1,E1171=1),1,0)</x:f>
        <x:v>0</x:v>
      </x:c>
      <x:c r="H1171" t="str">
        <x:f>IF(B1171=1,IF(F1171=1,"TP","FN"),IF(F1171=1,"FP","TN"))</x:f>
        <x:v>TN</x:v>
      </x:c>
      <x:c r="I1171" t="str">
        <x:f>IF(B1171=1,IF(G1171=1,"TP","FN"),IF(G1171=1,"FP","TN"))</x:f>
        <x:v>TN</x:v>
      </x:c>
    </x:row>
    <x:row r="1172">
      <x:c r="A1172" t="str">
        <x:f>MiniCase_Data!A1172</x:f>
        <x:v>R01171</x:v>
      </x:c>
      <x:c r="B1172" t="n">
        <x:f>IF(MiniCase_Data!O1172="불합격",1,0)</x:f>
        <x:v>0</x:v>
      </x:c>
      <x:c r="C1172" t="str">
        <x:f>IF(ISBLANK(MiniCase_Data!H1172),"missing",IF(OR(MiniCase_Data!H1172&lt;27,MiniCase_Data!H1172&gt;33),"밖","안"))</x:f>
        <x:v>안</x:v>
      </x:c>
      <x:c r="D1172" t="n">
        <x:f>IF(ISBLANK(MiniCase_Data!H1172),VLOOKUP(A1172,센서로그!$A$2:$C$13,3,FALSE),MiniCase_Data!H1172)</x:f>
        <x:v>31.8</x:v>
      </x:c>
      <x:c r="E1172" t="n">
        <x:f>IF(AND(MiniCase_Data!C1172="야간",MiniCase_Data!F1172="M03"),1,0)</x:f>
        <x:v>0</x:v>
      </x:c>
      <x:c r="F1172" t="n">
        <x:f>IF(C1172="밖",1,0)</x:f>
        <x:v>0</x:v>
      </x:c>
      <x:c r="G1172" t="n">
        <x:f>IF(OR(F1172=1,E1172=1),1,0)</x:f>
        <x:v>0</x:v>
      </x:c>
      <x:c r="H1172" t="str">
        <x:f>IF(B1172=1,IF(F1172=1,"TP","FN"),IF(F1172=1,"FP","TN"))</x:f>
        <x:v>TN</x:v>
      </x:c>
      <x:c r="I1172" t="str">
        <x:f>IF(B1172=1,IF(G1172=1,"TP","FN"),IF(G1172=1,"FP","TN"))</x:f>
        <x:v>TN</x:v>
      </x:c>
    </x:row>
    <x:row r="1173">
      <x:c r="A1173" t="str">
        <x:f>MiniCase_Data!A1173</x:f>
        <x:v>R01172</x:v>
      </x:c>
      <x:c r="B1173" t="n">
        <x:f>IF(MiniCase_Data!O1173="불합격",1,0)</x:f>
        <x:v>0</x:v>
      </x:c>
      <x:c r="C1173" t="str">
        <x:f>IF(ISBLANK(MiniCase_Data!H1173),"missing",IF(OR(MiniCase_Data!H1173&lt;27,MiniCase_Data!H1173&gt;33),"밖","안"))</x:f>
        <x:v>안</x:v>
      </x:c>
      <x:c r="D1173" t="n">
        <x:f>IF(ISBLANK(MiniCase_Data!H1173),VLOOKUP(A1173,센서로그!$A$2:$C$13,3,FALSE),MiniCase_Data!H1173)</x:f>
        <x:v>31.09</x:v>
      </x:c>
      <x:c r="E1173" t="n">
        <x:f>IF(AND(MiniCase_Data!C1173="야간",MiniCase_Data!F1173="M03"),1,0)</x:f>
        <x:v>0</x:v>
      </x:c>
      <x:c r="F1173" t="n">
        <x:f>IF(C1173="밖",1,0)</x:f>
        <x:v>0</x:v>
      </x:c>
      <x:c r="G1173" t="n">
        <x:f>IF(OR(F1173=1,E1173=1),1,0)</x:f>
        <x:v>0</x:v>
      </x:c>
      <x:c r="H1173" t="str">
        <x:f>IF(B1173=1,IF(F1173=1,"TP","FN"),IF(F1173=1,"FP","TN"))</x:f>
        <x:v>TN</x:v>
      </x:c>
      <x:c r="I1173" t="str">
        <x:f>IF(B1173=1,IF(G1173=1,"TP","FN"),IF(G1173=1,"FP","TN"))</x:f>
        <x:v>TN</x:v>
      </x:c>
    </x:row>
    <x:row r="1174">
      <x:c r="A1174" t="str">
        <x:f>MiniCase_Data!A1174</x:f>
        <x:v>R01173</x:v>
      </x:c>
      <x:c r="B1174" t="n">
        <x:f>IF(MiniCase_Data!O1174="불합격",1,0)</x:f>
        <x:v>0</x:v>
      </x:c>
      <x:c r="C1174" t="str">
        <x:f>IF(ISBLANK(MiniCase_Data!H1174),"missing",IF(OR(MiniCase_Data!H1174&lt;27,MiniCase_Data!H1174&gt;33),"밖","안"))</x:f>
        <x:v>안</x:v>
      </x:c>
      <x:c r="D1174" t="n">
        <x:f>IF(ISBLANK(MiniCase_Data!H1174),VLOOKUP(A1174,센서로그!$A$2:$C$13,3,FALSE),MiniCase_Data!H1174)</x:f>
        <x:v>31.74</x:v>
      </x:c>
      <x:c r="E1174" t="n">
        <x:f>IF(AND(MiniCase_Data!C1174="야간",MiniCase_Data!F1174="M03"),1,0)</x:f>
        <x:v>0</x:v>
      </x:c>
      <x:c r="F1174" t="n">
        <x:f>IF(C1174="밖",1,0)</x:f>
        <x:v>0</x:v>
      </x:c>
      <x:c r="G1174" t="n">
        <x:f>IF(OR(F1174=1,E1174=1),1,0)</x:f>
        <x:v>0</x:v>
      </x:c>
      <x:c r="H1174" t="str">
        <x:f>IF(B1174=1,IF(F1174=1,"TP","FN"),IF(F1174=1,"FP","TN"))</x:f>
        <x:v>TN</x:v>
      </x:c>
      <x:c r="I1174" t="str">
        <x:f>IF(B1174=1,IF(G1174=1,"TP","FN"),IF(G1174=1,"FP","TN"))</x:f>
        <x:v>TN</x:v>
      </x:c>
    </x:row>
    <x:row r="1175">
      <x:c r="A1175" t="str">
        <x:f>MiniCase_Data!A1175</x:f>
        <x:v>R01174</x:v>
      </x:c>
      <x:c r="B1175" t="n">
        <x:f>IF(MiniCase_Data!O1175="불합격",1,0)</x:f>
        <x:v>0</x:v>
      </x:c>
      <x:c r="C1175" t="str">
        <x:f>IF(ISBLANK(MiniCase_Data!H1175),"missing",IF(OR(MiniCase_Data!H1175&lt;27,MiniCase_Data!H1175&gt;33),"밖","안"))</x:f>
        <x:v>안</x:v>
      </x:c>
      <x:c r="D1175" t="n">
        <x:f>IF(ISBLANK(MiniCase_Data!H1175),VLOOKUP(A1175,센서로그!$A$2:$C$13,3,FALSE),MiniCase_Data!H1175)</x:f>
        <x:v>27.65</x:v>
      </x:c>
      <x:c r="E1175" t="n">
        <x:f>IF(AND(MiniCase_Data!C1175="야간",MiniCase_Data!F1175="M03"),1,0)</x:f>
        <x:v>0</x:v>
      </x:c>
      <x:c r="F1175" t="n">
        <x:f>IF(C1175="밖",1,0)</x:f>
        <x:v>0</x:v>
      </x:c>
      <x:c r="G1175" t="n">
        <x:f>IF(OR(F1175=1,E1175=1),1,0)</x:f>
        <x:v>0</x:v>
      </x:c>
      <x:c r="H1175" t="str">
        <x:f>IF(B1175=1,IF(F1175=1,"TP","FN"),IF(F1175=1,"FP","TN"))</x:f>
        <x:v>TN</x:v>
      </x:c>
      <x:c r="I1175" t="str">
        <x:f>IF(B1175=1,IF(G1175=1,"TP","FN"),IF(G1175=1,"FP","TN"))</x:f>
        <x:v>TN</x:v>
      </x:c>
    </x:row>
    <x:row r="1176">
      <x:c r="A1176" t="str">
        <x:f>MiniCase_Data!A1176</x:f>
        <x:v>R01175</x:v>
      </x:c>
      <x:c r="B1176" t="n">
        <x:f>IF(MiniCase_Data!O1176="불합격",1,0)</x:f>
        <x:v>1</x:v>
      </x:c>
      <x:c r="C1176" t="str">
        <x:f>IF(ISBLANK(MiniCase_Data!H1176),"missing",IF(OR(MiniCase_Data!H1176&lt;27,MiniCase_Data!H1176&gt;33),"밖","안"))</x:f>
        <x:v>안</x:v>
      </x:c>
      <x:c r="D1176" t="n">
        <x:f>IF(ISBLANK(MiniCase_Data!H1176),VLOOKUP(A1176,센서로그!$A$2:$C$13,3,FALSE),MiniCase_Data!H1176)</x:f>
        <x:v>29.95</x:v>
      </x:c>
      <x:c r="E1176" t="n">
        <x:f>IF(AND(MiniCase_Data!C1176="야간",MiniCase_Data!F1176="M03"),1,0)</x:f>
        <x:v>0</x:v>
      </x:c>
      <x:c r="F1176" t="n">
        <x:f>IF(C1176="밖",1,0)</x:f>
        <x:v>0</x:v>
      </x:c>
      <x:c r="G1176" t="n">
        <x:f>IF(OR(F1176=1,E1176=1),1,0)</x:f>
        <x:v>0</x:v>
      </x:c>
      <x:c r="H1176" t="str">
        <x:f>IF(B1176=1,IF(F1176=1,"TP","FN"),IF(F1176=1,"FP","TN"))</x:f>
        <x:v>FN</x:v>
      </x:c>
      <x:c r="I1176" t="str">
        <x:f>IF(B1176=1,IF(G1176=1,"TP","FN"),IF(G1176=1,"FP","TN"))</x:f>
        <x:v>FN</x:v>
      </x:c>
    </x:row>
    <x:row r="1177">
      <x:c r="A1177" t="str">
        <x:f>MiniCase_Data!A1177</x:f>
        <x:v>R01176</x:v>
      </x:c>
      <x:c r="B1177" t="n">
        <x:f>IF(MiniCase_Data!O1177="불합격",1,0)</x:f>
        <x:v>0</x:v>
      </x:c>
      <x:c r="C1177" t="str">
        <x:f>IF(ISBLANK(MiniCase_Data!H1177),"missing",IF(OR(MiniCase_Data!H1177&lt;27,MiniCase_Data!H1177&gt;33),"밖","안"))</x:f>
        <x:v>안</x:v>
      </x:c>
      <x:c r="D1177" t="n">
        <x:f>IF(ISBLANK(MiniCase_Data!H1177),VLOOKUP(A1177,센서로그!$A$2:$C$13,3,FALSE),MiniCase_Data!H1177)</x:f>
        <x:v>29.63</x:v>
      </x:c>
      <x:c r="E1177" t="n">
        <x:f>IF(AND(MiniCase_Data!C1177="야간",MiniCase_Data!F1177="M03"),1,0)</x:f>
        <x:v>0</x:v>
      </x:c>
      <x:c r="F1177" t="n">
        <x:f>IF(C1177="밖",1,0)</x:f>
        <x:v>0</x:v>
      </x:c>
      <x:c r="G1177" t="n">
        <x:f>IF(OR(F1177=1,E1177=1),1,0)</x:f>
        <x:v>0</x:v>
      </x:c>
      <x:c r="H1177" t="str">
        <x:f>IF(B1177=1,IF(F1177=1,"TP","FN"),IF(F1177=1,"FP","TN"))</x:f>
        <x:v>TN</x:v>
      </x:c>
      <x:c r="I1177" t="str">
        <x:f>IF(B1177=1,IF(G1177=1,"TP","FN"),IF(G1177=1,"FP","TN"))</x:f>
        <x:v>TN</x:v>
      </x:c>
    </x:row>
    <x:row r="1178">
      <x:c r="A1178" t="str">
        <x:f>MiniCase_Data!A1178</x:f>
        <x:v>R01177</x:v>
      </x:c>
      <x:c r="B1178" t="n">
        <x:f>IF(MiniCase_Data!O1178="불합격",1,0)</x:f>
        <x:v>0</x:v>
      </x:c>
      <x:c r="C1178" t="str">
        <x:f>IF(ISBLANK(MiniCase_Data!H1178),"missing",IF(OR(MiniCase_Data!H1178&lt;27,MiniCase_Data!H1178&gt;33),"밖","안"))</x:f>
        <x:v>안</x:v>
      </x:c>
      <x:c r="D1178" t="n">
        <x:f>IF(ISBLANK(MiniCase_Data!H1178),VLOOKUP(A1178,센서로그!$A$2:$C$13,3,FALSE),MiniCase_Data!H1178)</x:f>
        <x:v>32.67</x:v>
      </x:c>
      <x:c r="E1178" t="n">
        <x:f>IF(AND(MiniCase_Data!C1178="야간",MiniCase_Data!F1178="M03"),1,0)</x:f>
        <x:v>0</x:v>
      </x:c>
      <x:c r="F1178" t="n">
        <x:f>IF(C1178="밖",1,0)</x:f>
        <x:v>0</x:v>
      </x:c>
      <x:c r="G1178" t="n">
        <x:f>IF(OR(F1178=1,E1178=1),1,0)</x:f>
        <x:v>0</x:v>
      </x:c>
      <x:c r="H1178" t="str">
        <x:f>IF(B1178=1,IF(F1178=1,"TP","FN"),IF(F1178=1,"FP","TN"))</x:f>
        <x:v>TN</x:v>
      </x:c>
      <x:c r="I1178" t="str">
        <x:f>IF(B1178=1,IF(G1178=1,"TP","FN"),IF(G1178=1,"FP","TN"))</x:f>
        <x:v>TN</x:v>
      </x:c>
    </x:row>
    <x:row r="1179">
      <x:c r="A1179" t="str">
        <x:f>MiniCase_Data!A1179</x:f>
        <x:v>R01178</x:v>
      </x:c>
      <x:c r="B1179" t="n">
        <x:f>IF(MiniCase_Data!O1179="불합격",1,0)</x:f>
        <x:v>0</x:v>
      </x:c>
      <x:c r="C1179" t="str">
        <x:f>IF(ISBLANK(MiniCase_Data!H1179),"missing",IF(OR(MiniCase_Data!H1179&lt;27,MiniCase_Data!H1179&gt;33),"밖","안"))</x:f>
        <x:v>안</x:v>
      </x:c>
      <x:c r="D1179" t="n">
        <x:f>IF(ISBLANK(MiniCase_Data!H1179),VLOOKUP(A1179,센서로그!$A$2:$C$13,3,FALSE),MiniCase_Data!H1179)</x:f>
        <x:v>29.01</x:v>
      </x:c>
      <x:c r="E1179" t="n">
        <x:f>IF(AND(MiniCase_Data!C1179="야간",MiniCase_Data!F1179="M03"),1,0)</x:f>
        <x:v>0</x:v>
      </x:c>
      <x:c r="F1179" t="n">
        <x:f>IF(C1179="밖",1,0)</x:f>
        <x:v>0</x:v>
      </x:c>
      <x:c r="G1179" t="n">
        <x:f>IF(OR(F1179=1,E1179=1),1,0)</x:f>
        <x:v>0</x:v>
      </x:c>
      <x:c r="H1179" t="str">
        <x:f>IF(B1179=1,IF(F1179=1,"TP","FN"),IF(F1179=1,"FP","TN"))</x:f>
        <x:v>TN</x:v>
      </x:c>
      <x:c r="I1179" t="str">
        <x:f>IF(B1179=1,IF(G1179=1,"TP","FN"),IF(G1179=1,"FP","TN"))</x:f>
        <x:v>TN</x:v>
      </x:c>
    </x:row>
    <x:row r="1180">
      <x:c r="A1180" t="str">
        <x:f>MiniCase_Data!A1180</x:f>
        <x:v>R01179</x:v>
      </x:c>
      <x:c r="B1180" t="n">
        <x:f>IF(MiniCase_Data!O1180="불합격",1,0)</x:f>
        <x:v>0</x:v>
      </x:c>
      <x:c r="C1180" t="str">
        <x:f>IF(ISBLANK(MiniCase_Data!H1180),"missing",IF(OR(MiniCase_Data!H1180&lt;27,MiniCase_Data!H1180&gt;33),"밖","안"))</x:f>
        <x:v>안</x:v>
      </x:c>
      <x:c r="D1180" t="n">
        <x:f>IF(ISBLANK(MiniCase_Data!H1180),VLOOKUP(A1180,센서로그!$A$2:$C$13,3,FALSE),MiniCase_Data!H1180)</x:f>
        <x:v>27.82</x:v>
      </x:c>
      <x:c r="E1180" t="n">
        <x:f>IF(AND(MiniCase_Data!C1180="야간",MiniCase_Data!F1180="M03"),1,0)</x:f>
        <x:v>0</x:v>
      </x:c>
      <x:c r="F1180" t="n">
        <x:f>IF(C1180="밖",1,0)</x:f>
        <x:v>0</x:v>
      </x:c>
      <x:c r="G1180" t="n">
        <x:f>IF(OR(F1180=1,E1180=1),1,0)</x:f>
        <x:v>0</x:v>
      </x:c>
      <x:c r="H1180" t="str">
        <x:f>IF(B1180=1,IF(F1180=1,"TP","FN"),IF(F1180=1,"FP","TN"))</x:f>
        <x:v>TN</x:v>
      </x:c>
      <x:c r="I1180" t="str">
        <x:f>IF(B1180=1,IF(G1180=1,"TP","FN"),IF(G1180=1,"FP","TN"))</x:f>
        <x:v>TN</x:v>
      </x:c>
    </x:row>
    <x:row r="1181">
      <x:c r="A1181" t="str">
        <x:f>MiniCase_Data!A1181</x:f>
        <x:v>R01180</x:v>
      </x:c>
      <x:c r="B1181" t="n">
        <x:f>IF(MiniCase_Data!O1181="불합격",1,0)</x:f>
        <x:v>0</x:v>
      </x:c>
      <x:c r="C1181" t="str">
        <x:f>IF(ISBLANK(MiniCase_Data!H1181),"missing",IF(OR(MiniCase_Data!H1181&lt;27,MiniCase_Data!H1181&gt;33),"밖","안"))</x:f>
        <x:v>안</x:v>
      </x:c>
      <x:c r="D1181" t="n">
        <x:f>IF(ISBLANK(MiniCase_Data!H1181),VLOOKUP(A1181,센서로그!$A$2:$C$13,3,FALSE),MiniCase_Data!H1181)</x:f>
        <x:v>29.55</x:v>
      </x:c>
      <x:c r="E1181" t="n">
        <x:f>IF(AND(MiniCase_Data!C1181="야간",MiniCase_Data!F1181="M03"),1,0)</x:f>
        <x:v>0</x:v>
      </x:c>
      <x:c r="F1181" t="n">
        <x:f>IF(C1181="밖",1,0)</x:f>
        <x:v>0</x:v>
      </x:c>
      <x:c r="G1181" t="n">
        <x:f>IF(OR(F1181=1,E1181=1),1,0)</x:f>
        <x:v>0</x:v>
      </x:c>
      <x:c r="H1181" t="str">
        <x:f>IF(B1181=1,IF(F1181=1,"TP","FN"),IF(F1181=1,"FP","TN"))</x:f>
        <x:v>TN</x:v>
      </x:c>
      <x:c r="I1181" t="str">
        <x:f>IF(B1181=1,IF(G1181=1,"TP","FN"),IF(G1181=1,"FP","TN"))</x:f>
        <x:v>TN</x:v>
      </x:c>
    </x:row>
    <x:row r="1182">
      <x:c r="A1182" t="str">
        <x:f>MiniCase_Data!A1182</x:f>
        <x:v>R01181</x:v>
      </x:c>
      <x:c r="B1182" t="n">
        <x:f>IF(MiniCase_Data!O1182="불합격",1,0)</x:f>
        <x:v>0</x:v>
      </x:c>
      <x:c r="C1182" t="str">
        <x:f>IF(ISBLANK(MiniCase_Data!H1182),"missing",IF(OR(MiniCase_Data!H1182&lt;27,MiniCase_Data!H1182&gt;33),"밖","안"))</x:f>
        <x:v>안</x:v>
      </x:c>
      <x:c r="D1182" t="n">
        <x:f>IF(ISBLANK(MiniCase_Data!H1182),VLOOKUP(A1182,센서로그!$A$2:$C$13,3,FALSE),MiniCase_Data!H1182)</x:f>
        <x:v>29.09</x:v>
      </x:c>
      <x:c r="E1182" t="n">
        <x:f>IF(AND(MiniCase_Data!C1182="야간",MiniCase_Data!F1182="M03"),1,0)</x:f>
        <x:v>0</x:v>
      </x:c>
      <x:c r="F1182" t="n">
        <x:f>IF(C1182="밖",1,0)</x:f>
        <x:v>0</x:v>
      </x:c>
      <x:c r="G1182" t="n">
        <x:f>IF(OR(F1182=1,E1182=1),1,0)</x:f>
        <x:v>0</x:v>
      </x:c>
      <x:c r="H1182" t="str">
        <x:f>IF(B1182=1,IF(F1182=1,"TP","FN"),IF(F1182=1,"FP","TN"))</x:f>
        <x:v>TN</x:v>
      </x:c>
      <x:c r="I1182" t="str">
        <x:f>IF(B1182=1,IF(G1182=1,"TP","FN"),IF(G1182=1,"FP","TN"))</x:f>
        <x:v>TN</x:v>
      </x:c>
    </x:row>
    <x:row r="1183">
      <x:c r="A1183" t="str">
        <x:f>MiniCase_Data!A1183</x:f>
        <x:v>R01182</x:v>
      </x:c>
      <x:c r="B1183" t="n">
        <x:f>IF(MiniCase_Data!O1183="불합격",1,0)</x:f>
        <x:v>0</x:v>
      </x:c>
      <x:c r="C1183" t="str">
        <x:f>IF(ISBLANK(MiniCase_Data!H1183),"missing",IF(OR(MiniCase_Data!H1183&lt;27,MiniCase_Data!H1183&gt;33),"밖","안"))</x:f>
        <x:v>안</x:v>
      </x:c>
      <x:c r="D1183" t="n">
        <x:f>IF(ISBLANK(MiniCase_Data!H1183),VLOOKUP(A1183,센서로그!$A$2:$C$13,3,FALSE),MiniCase_Data!H1183)</x:f>
        <x:v>29.04</x:v>
      </x:c>
      <x:c r="E1183" t="n">
        <x:f>IF(AND(MiniCase_Data!C1183="야간",MiniCase_Data!F1183="M03"),1,0)</x:f>
        <x:v>0</x:v>
      </x:c>
      <x:c r="F1183" t="n">
        <x:f>IF(C1183="밖",1,0)</x:f>
        <x:v>0</x:v>
      </x:c>
      <x:c r="G1183" t="n">
        <x:f>IF(OR(F1183=1,E1183=1),1,0)</x:f>
        <x:v>0</x:v>
      </x:c>
      <x:c r="H1183" t="str">
        <x:f>IF(B1183=1,IF(F1183=1,"TP","FN"),IF(F1183=1,"FP","TN"))</x:f>
        <x:v>TN</x:v>
      </x:c>
      <x:c r="I1183" t="str">
        <x:f>IF(B1183=1,IF(G1183=1,"TP","FN"),IF(G1183=1,"FP","TN"))</x:f>
        <x:v>TN</x:v>
      </x:c>
    </x:row>
    <x:row r="1184">
      <x:c r="A1184" t="str">
        <x:f>MiniCase_Data!A1184</x:f>
        <x:v>R01183</x:v>
      </x:c>
      <x:c r="B1184" t="n">
        <x:f>IF(MiniCase_Data!O1184="불합격",1,0)</x:f>
        <x:v>0</x:v>
      </x:c>
      <x:c r="C1184" t="str">
        <x:f>IF(ISBLANK(MiniCase_Data!H1184),"missing",IF(OR(MiniCase_Data!H1184&lt;27,MiniCase_Data!H1184&gt;33),"밖","안"))</x:f>
        <x:v>안</x:v>
      </x:c>
      <x:c r="D1184" t="n">
        <x:f>IF(ISBLANK(MiniCase_Data!H1184),VLOOKUP(A1184,센서로그!$A$2:$C$13,3,FALSE),MiniCase_Data!H1184)</x:f>
        <x:v>31.7</x:v>
      </x:c>
      <x:c r="E1184" t="n">
        <x:f>IF(AND(MiniCase_Data!C1184="야간",MiniCase_Data!F1184="M03"),1,0)</x:f>
        <x:v>0</x:v>
      </x:c>
      <x:c r="F1184" t="n">
        <x:f>IF(C1184="밖",1,0)</x:f>
        <x:v>0</x:v>
      </x:c>
      <x:c r="G1184" t="n">
        <x:f>IF(OR(F1184=1,E1184=1),1,0)</x:f>
        <x:v>0</x:v>
      </x:c>
      <x:c r="H1184" t="str">
        <x:f>IF(B1184=1,IF(F1184=1,"TP","FN"),IF(F1184=1,"FP","TN"))</x:f>
        <x:v>TN</x:v>
      </x:c>
      <x:c r="I1184" t="str">
        <x:f>IF(B1184=1,IF(G1184=1,"TP","FN"),IF(G1184=1,"FP","TN"))</x:f>
        <x:v>TN</x:v>
      </x:c>
    </x:row>
    <x:row r="1185">
      <x:c r="A1185" t="str">
        <x:f>MiniCase_Data!A1185</x:f>
        <x:v>R01184</x:v>
      </x:c>
      <x:c r="B1185" t="n">
        <x:f>IF(MiniCase_Data!O1185="불합격",1,0)</x:f>
        <x:v>0</x:v>
      </x:c>
      <x:c r="C1185" t="str">
        <x:f>IF(ISBLANK(MiniCase_Data!H1185),"missing",IF(OR(MiniCase_Data!H1185&lt;27,MiniCase_Data!H1185&gt;33),"밖","안"))</x:f>
        <x:v>안</x:v>
      </x:c>
      <x:c r="D1185" t="n">
        <x:f>IF(ISBLANK(MiniCase_Data!H1185),VLOOKUP(A1185,센서로그!$A$2:$C$13,3,FALSE),MiniCase_Data!H1185)</x:f>
        <x:v>27.94</x:v>
      </x:c>
      <x:c r="E1185" t="n">
        <x:f>IF(AND(MiniCase_Data!C1185="야간",MiniCase_Data!F1185="M03"),1,0)</x:f>
        <x:v>0</x:v>
      </x:c>
      <x:c r="F1185" t="n">
        <x:f>IF(C1185="밖",1,0)</x:f>
        <x:v>0</x:v>
      </x:c>
      <x:c r="G1185" t="n">
        <x:f>IF(OR(F1185=1,E1185=1),1,0)</x:f>
        <x:v>0</x:v>
      </x:c>
      <x:c r="H1185" t="str">
        <x:f>IF(B1185=1,IF(F1185=1,"TP","FN"),IF(F1185=1,"FP","TN"))</x:f>
        <x:v>TN</x:v>
      </x:c>
      <x:c r="I1185" t="str">
        <x:f>IF(B1185=1,IF(G1185=1,"TP","FN"),IF(G1185=1,"FP","TN"))</x:f>
        <x:v>TN</x:v>
      </x:c>
    </x:row>
    <x:row r="1186">
      <x:c r="A1186" t="str">
        <x:f>MiniCase_Data!A1186</x:f>
        <x:v>R01185</x:v>
      </x:c>
      <x:c r="B1186" t="n">
        <x:f>IF(MiniCase_Data!O1186="불합격",1,0)</x:f>
        <x:v>0</x:v>
      </x:c>
      <x:c r="C1186" t="str">
        <x:f>IF(ISBLANK(MiniCase_Data!H1186),"missing",IF(OR(MiniCase_Data!H1186&lt;27,MiniCase_Data!H1186&gt;33),"밖","안"))</x:f>
        <x:v>안</x:v>
      </x:c>
      <x:c r="D1186" t="n">
        <x:f>IF(ISBLANK(MiniCase_Data!H1186),VLOOKUP(A1186,센서로그!$A$2:$C$13,3,FALSE),MiniCase_Data!H1186)</x:f>
        <x:v>31.15</x:v>
      </x:c>
      <x:c r="E1186" t="n">
        <x:f>IF(AND(MiniCase_Data!C1186="야간",MiniCase_Data!F1186="M03"),1,0)</x:f>
        <x:v>0</x:v>
      </x:c>
      <x:c r="F1186" t="n">
        <x:f>IF(C1186="밖",1,0)</x:f>
        <x:v>0</x:v>
      </x:c>
      <x:c r="G1186" t="n">
        <x:f>IF(OR(F1186=1,E1186=1),1,0)</x:f>
        <x:v>0</x:v>
      </x:c>
      <x:c r="H1186" t="str">
        <x:f>IF(B1186=1,IF(F1186=1,"TP","FN"),IF(F1186=1,"FP","TN"))</x:f>
        <x:v>TN</x:v>
      </x:c>
      <x:c r="I1186" t="str">
        <x:f>IF(B1186=1,IF(G1186=1,"TP","FN"),IF(G1186=1,"FP","TN"))</x:f>
        <x:v>TN</x:v>
      </x:c>
    </x:row>
    <x:row r="1187">
      <x:c r="A1187" t="str">
        <x:f>MiniCase_Data!A1187</x:f>
        <x:v>R01186</x:v>
      </x:c>
      <x:c r="B1187" t="n">
        <x:f>IF(MiniCase_Data!O1187="불합격",1,0)</x:f>
        <x:v>0</x:v>
      </x:c>
      <x:c r="C1187" t="str">
        <x:f>IF(ISBLANK(MiniCase_Data!H1187),"missing",IF(OR(MiniCase_Data!H1187&lt;27,MiniCase_Data!H1187&gt;33),"밖","안"))</x:f>
        <x:v>안</x:v>
      </x:c>
      <x:c r="D1187" t="n">
        <x:f>IF(ISBLANK(MiniCase_Data!H1187),VLOOKUP(A1187,센서로그!$A$2:$C$13,3,FALSE),MiniCase_Data!H1187)</x:f>
        <x:v>27.76</x:v>
      </x:c>
      <x:c r="E1187" t="n">
        <x:f>IF(AND(MiniCase_Data!C1187="야간",MiniCase_Data!F1187="M03"),1,0)</x:f>
        <x:v>0</x:v>
      </x:c>
      <x:c r="F1187" t="n">
        <x:f>IF(C1187="밖",1,0)</x:f>
        <x:v>0</x:v>
      </x:c>
      <x:c r="G1187" t="n">
        <x:f>IF(OR(F1187=1,E1187=1),1,0)</x:f>
        <x:v>0</x:v>
      </x:c>
      <x:c r="H1187" t="str">
        <x:f>IF(B1187=1,IF(F1187=1,"TP","FN"),IF(F1187=1,"FP","TN"))</x:f>
        <x:v>TN</x:v>
      </x:c>
      <x:c r="I1187" t="str">
        <x:f>IF(B1187=1,IF(G1187=1,"TP","FN"),IF(G1187=1,"FP","TN"))</x:f>
        <x:v>TN</x:v>
      </x:c>
    </x:row>
    <x:row r="1188">
      <x:c r="A1188" t="str">
        <x:f>MiniCase_Data!A1188</x:f>
        <x:v>R01187</x:v>
      </x:c>
      <x:c r="B1188" t="n">
        <x:f>IF(MiniCase_Data!O1188="불합격",1,0)</x:f>
        <x:v>0</x:v>
      </x:c>
      <x:c r="C1188" t="str">
        <x:f>IF(ISBLANK(MiniCase_Data!H1188),"missing",IF(OR(MiniCase_Data!H1188&lt;27,MiniCase_Data!H1188&gt;33),"밖","안"))</x:f>
        <x:v>안</x:v>
      </x:c>
      <x:c r="D1188" t="n">
        <x:f>IF(ISBLANK(MiniCase_Data!H1188),VLOOKUP(A1188,센서로그!$A$2:$C$13,3,FALSE),MiniCase_Data!H1188)</x:f>
        <x:v>30.44</x:v>
      </x:c>
      <x:c r="E1188" t="n">
        <x:f>IF(AND(MiniCase_Data!C1188="야간",MiniCase_Data!F1188="M03"),1,0)</x:f>
        <x:v>0</x:v>
      </x:c>
      <x:c r="F1188" t="n">
        <x:f>IF(C1188="밖",1,0)</x:f>
        <x:v>0</x:v>
      </x:c>
      <x:c r="G1188" t="n">
        <x:f>IF(OR(F1188=1,E1188=1),1,0)</x:f>
        <x:v>0</x:v>
      </x:c>
      <x:c r="H1188" t="str">
        <x:f>IF(B1188=1,IF(F1188=1,"TP","FN"),IF(F1188=1,"FP","TN"))</x:f>
        <x:v>TN</x:v>
      </x:c>
      <x:c r="I1188" t="str">
        <x:f>IF(B1188=1,IF(G1188=1,"TP","FN"),IF(G1188=1,"FP","TN"))</x:f>
        <x:v>TN</x:v>
      </x:c>
    </x:row>
    <x:row r="1189">
      <x:c r="A1189" t="str">
        <x:f>MiniCase_Data!A1189</x:f>
        <x:v>R01188</x:v>
      </x:c>
      <x:c r="B1189" t="n">
        <x:f>IF(MiniCase_Data!O1189="불합격",1,0)</x:f>
        <x:v>0</x:v>
      </x:c>
      <x:c r="C1189" t="str">
        <x:f>IF(ISBLANK(MiniCase_Data!H1189),"missing",IF(OR(MiniCase_Data!H1189&lt;27,MiniCase_Data!H1189&gt;33),"밖","안"))</x:f>
        <x:v>안</x:v>
      </x:c>
      <x:c r="D1189" t="n">
        <x:f>IF(ISBLANK(MiniCase_Data!H1189),VLOOKUP(A1189,센서로그!$A$2:$C$13,3,FALSE),MiniCase_Data!H1189)</x:f>
        <x:v>28.02</x:v>
      </x:c>
      <x:c r="E1189" t="n">
        <x:f>IF(AND(MiniCase_Data!C1189="야간",MiniCase_Data!F1189="M03"),1,0)</x:f>
        <x:v>0</x:v>
      </x:c>
      <x:c r="F1189" t="n">
        <x:f>IF(C1189="밖",1,0)</x:f>
        <x:v>0</x:v>
      </x:c>
      <x:c r="G1189" t="n">
        <x:f>IF(OR(F1189=1,E1189=1),1,0)</x:f>
        <x:v>0</x:v>
      </x:c>
      <x:c r="H1189" t="str">
        <x:f>IF(B1189=1,IF(F1189=1,"TP","FN"),IF(F1189=1,"FP","TN"))</x:f>
        <x:v>TN</x:v>
      </x:c>
      <x:c r="I1189" t="str">
        <x:f>IF(B1189=1,IF(G1189=1,"TP","FN"),IF(G1189=1,"FP","TN"))</x:f>
        <x:v>TN</x:v>
      </x:c>
    </x:row>
    <x:row r="1190">
      <x:c r="A1190" t="str">
        <x:f>MiniCase_Data!A1190</x:f>
        <x:v>R01189</x:v>
      </x:c>
      <x:c r="B1190" t="n">
        <x:f>IF(MiniCase_Data!O1190="불합격",1,0)</x:f>
        <x:v>0</x:v>
      </x:c>
      <x:c r="C1190" t="str">
        <x:f>IF(ISBLANK(MiniCase_Data!H1190),"missing",IF(OR(MiniCase_Data!H1190&lt;27,MiniCase_Data!H1190&gt;33),"밖","안"))</x:f>
        <x:v>안</x:v>
      </x:c>
      <x:c r="D1190" t="n">
        <x:f>IF(ISBLANK(MiniCase_Data!H1190),VLOOKUP(A1190,센서로그!$A$2:$C$13,3,FALSE),MiniCase_Data!H1190)</x:f>
        <x:v>30.96</x:v>
      </x:c>
      <x:c r="E1190" t="n">
        <x:f>IF(AND(MiniCase_Data!C1190="야간",MiniCase_Data!F1190="M03"),1,0)</x:f>
        <x:v>0</x:v>
      </x:c>
      <x:c r="F1190" t="n">
        <x:f>IF(C1190="밖",1,0)</x:f>
        <x:v>0</x:v>
      </x:c>
      <x:c r="G1190" t="n">
        <x:f>IF(OR(F1190=1,E1190=1),1,0)</x:f>
        <x:v>0</x:v>
      </x:c>
      <x:c r="H1190" t="str">
        <x:f>IF(B1190=1,IF(F1190=1,"TP","FN"),IF(F1190=1,"FP","TN"))</x:f>
        <x:v>TN</x:v>
      </x:c>
      <x:c r="I1190" t="str">
        <x:f>IF(B1190=1,IF(G1190=1,"TP","FN"),IF(G1190=1,"FP","TN"))</x:f>
        <x:v>TN</x:v>
      </x:c>
    </x:row>
    <x:row r="1191">
      <x:c r="A1191" t="str">
        <x:f>MiniCase_Data!A1191</x:f>
        <x:v>R01190</x:v>
      </x:c>
      <x:c r="B1191" t="n">
        <x:f>IF(MiniCase_Data!O1191="불합격",1,0)</x:f>
        <x:v>0</x:v>
      </x:c>
      <x:c r="C1191" t="str">
        <x:f>IF(ISBLANK(MiniCase_Data!H1191),"missing",IF(OR(MiniCase_Data!H1191&lt;27,MiniCase_Data!H1191&gt;33),"밖","안"))</x:f>
        <x:v>안</x:v>
      </x:c>
      <x:c r="D1191" t="n">
        <x:f>IF(ISBLANK(MiniCase_Data!H1191),VLOOKUP(A1191,센서로그!$A$2:$C$13,3,FALSE),MiniCase_Data!H1191)</x:f>
        <x:v>27.52</x:v>
      </x:c>
      <x:c r="E1191" t="n">
        <x:f>IF(AND(MiniCase_Data!C1191="야간",MiniCase_Data!F1191="M03"),1,0)</x:f>
        <x:v>0</x:v>
      </x:c>
      <x:c r="F1191" t="n">
        <x:f>IF(C1191="밖",1,0)</x:f>
        <x:v>0</x:v>
      </x:c>
      <x:c r="G1191" t="n">
        <x:f>IF(OR(F1191=1,E1191=1),1,0)</x:f>
        <x:v>0</x:v>
      </x:c>
      <x:c r="H1191" t="str">
        <x:f>IF(B1191=1,IF(F1191=1,"TP","FN"),IF(F1191=1,"FP","TN"))</x:f>
        <x:v>TN</x:v>
      </x:c>
      <x:c r="I1191" t="str">
        <x:f>IF(B1191=1,IF(G1191=1,"TP","FN"),IF(G1191=1,"FP","TN"))</x:f>
        <x:v>TN</x:v>
      </x:c>
    </x:row>
    <x:row r="1192">
      <x:c r="A1192" t="str">
        <x:f>MiniCase_Data!A1192</x:f>
        <x:v>R01191</x:v>
      </x:c>
      <x:c r="B1192" t="n">
        <x:f>IF(MiniCase_Data!O1192="불합격",1,0)</x:f>
        <x:v>0</x:v>
      </x:c>
      <x:c r="C1192" t="str">
        <x:f>IF(ISBLANK(MiniCase_Data!H1192),"missing",IF(OR(MiniCase_Data!H1192&lt;27,MiniCase_Data!H1192&gt;33),"밖","안"))</x:f>
        <x:v>안</x:v>
      </x:c>
      <x:c r="D1192" t="n">
        <x:f>IF(ISBLANK(MiniCase_Data!H1192),VLOOKUP(A1192,센서로그!$A$2:$C$13,3,FALSE),MiniCase_Data!H1192)</x:f>
        <x:v>28.8</x:v>
      </x:c>
      <x:c r="E1192" t="n">
        <x:f>IF(AND(MiniCase_Data!C1192="야간",MiniCase_Data!F1192="M03"),1,0)</x:f>
        <x:v>0</x:v>
      </x:c>
      <x:c r="F1192" t="n">
        <x:f>IF(C1192="밖",1,0)</x:f>
        <x:v>0</x:v>
      </x:c>
      <x:c r="G1192" t="n">
        <x:f>IF(OR(F1192=1,E1192=1),1,0)</x:f>
        <x:v>0</x:v>
      </x:c>
      <x:c r="H1192" t="str">
        <x:f>IF(B1192=1,IF(F1192=1,"TP","FN"),IF(F1192=1,"FP","TN"))</x:f>
        <x:v>TN</x:v>
      </x:c>
      <x:c r="I1192" t="str">
        <x:f>IF(B1192=1,IF(G1192=1,"TP","FN"),IF(G1192=1,"FP","TN"))</x:f>
        <x:v>TN</x:v>
      </x:c>
    </x:row>
    <x:row r="1193">
      <x:c r="A1193" t="str">
        <x:f>MiniCase_Data!A1193</x:f>
        <x:v>R01192</x:v>
      </x:c>
      <x:c r="B1193" t="n">
        <x:f>IF(MiniCase_Data!O1193="불합격",1,0)</x:f>
        <x:v>0</x:v>
      </x:c>
      <x:c r="C1193" t="str">
        <x:f>IF(ISBLANK(MiniCase_Data!H1193),"missing",IF(OR(MiniCase_Data!H1193&lt;27,MiniCase_Data!H1193&gt;33),"밖","안"))</x:f>
        <x:v>안</x:v>
      </x:c>
      <x:c r="D1193" t="n">
        <x:f>IF(ISBLANK(MiniCase_Data!H1193),VLOOKUP(A1193,센서로그!$A$2:$C$13,3,FALSE),MiniCase_Data!H1193)</x:f>
        <x:v>30.1</x:v>
      </x:c>
      <x:c r="E1193" t="n">
        <x:f>IF(AND(MiniCase_Data!C1193="야간",MiniCase_Data!F1193="M03"),1,0)</x:f>
        <x:v>0</x:v>
      </x:c>
      <x:c r="F1193" t="n">
        <x:f>IF(C1193="밖",1,0)</x:f>
        <x:v>0</x:v>
      </x:c>
      <x:c r="G1193" t="n">
        <x:f>IF(OR(F1193=1,E1193=1),1,0)</x:f>
        <x:v>0</x:v>
      </x:c>
      <x:c r="H1193" t="str">
        <x:f>IF(B1193=1,IF(F1193=1,"TP","FN"),IF(F1193=1,"FP","TN"))</x:f>
        <x:v>TN</x:v>
      </x:c>
      <x:c r="I1193" t="str">
        <x:f>IF(B1193=1,IF(G1193=1,"TP","FN"),IF(G1193=1,"FP","TN"))</x:f>
        <x:v>TN</x:v>
      </x:c>
    </x:row>
    <x:row r="1194">
      <x:c r="A1194" t="str">
        <x:f>MiniCase_Data!A1194</x:f>
        <x:v>R01193</x:v>
      </x:c>
      <x:c r="B1194" t="n">
        <x:f>IF(MiniCase_Data!O1194="불합격",1,0)</x:f>
        <x:v>0</x:v>
      </x:c>
      <x:c r="C1194" t="str">
        <x:f>IF(ISBLANK(MiniCase_Data!H1194),"missing",IF(OR(MiniCase_Data!H1194&lt;27,MiniCase_Data!H1194&gt;33),"밖","안"))</x:f>
        <x:v>안</x:v>
      </x:c>
      <x:c r="D1194" t="n">
        <x:f>IF(ISBLANK(MiniCase_Data!H1194),VLOOKUP(A1194,센서로그!$A$2:$C$13,3,FALSE),MiniCase_Data!H1194)</x:f>
        <x:v>27.55</x:v>
      </x:c>
      <x:c r="E1194" t="n">
        <x:f>IF(AND(MiniCase_Data!C1194="야간",MiniCase_Data!F1194="M03"),1,0)</x:f>
        <x:v>0</x:v>
      </x:c>
      <x:c r="F1194" t="n">
        <x:f>IF(C1194="밖",1,0)</x:f>
        <x:v>0</x:v>
      </x:c>
      <x:c r="G1194" t="n">
        <x:f>IF(OR(F1194=1,E1194=1),1,0)</x:f>
        <x:v>0</x:v>
      </x:c>
      <x:c r="H1194" t="str">
        <x:f>IF(B1194=1,IF(F1194=1,"TP","FN"),IF(F1194=1,"FP","TN"))</x:f>
        <x:v>TN</x:v>
      </x:c>
      <x:c r="I1194" t="str">
        <x:f>IF(B1194=1,IF(G1194=1,"TP","FN"),IF(G1194=1,"FP","TN"))</x:f>
        <x:v>TN</x:v>
      </x:c>
    </x:row>
    <x:row r="1195">
      <x:c r="A1195" t="str">
        <x:f>MiniCase_Data!A1195</x:f>
        <x:v>R01194</x:v>
      </x:c>
      <x:c r="B1195" t="n">
        <x:f>IF(MiniCase_Data!O1195="불합격",1,0)</x:f>
        <x:v>0</x:v>
      </x:c>
      <x:c r="C1195" t="str">
        <x:f>IF(ISBLANK(MiniCase_Data!H1195),"missing",IF(OR(MiniCase_Data!H1195&lt;27,MiniCase_Data!H1195&gt;33),"밖","안"))</x:f>
        <x:v>안</x:v>
      </x:c>
      <x:c r="D1195" t="n">
        <x:f>IF(ISBLANK(MiniCase_Data!H1195),VLOOKUP(A1195,센서로그!$A$2:$C$13,3,FALSE),MiniCase_Data!H1195)</x:f>
        <x:v>27.59</x:v>
      </x:c>
      <x:c r="E1195" t="n">
        <x:f>IF(AND(MiniCase_Data!C1195="야간",MiniCase_Data!F1195="M03"),1,0)</x:f>
        <x:v>0</x:v>
      </x:c>
      <x:c r="F1195" t="n">
        <x:f>IF(C1195="밖",1,0)</x:f>
        <x:v>0</x:v>
      </x:c>
      <x:c r="G1195" t="n">
        <x:f>IF(OR(F1195=1,E1195=1),1,0)</x:f>
        <x:v>0</x:v>
      </x:c>
      <x:c r="H1195" t="str">
        <x:f>IF(B1195=1,IF(F1195=1,"TP","FN"),IF(F1195=1,"FP","TN"))</x:f>
        <x:v>TN</x:v>
      </x:c>
      <x:c r="I1195" t="str">
        <x:f>IF(B1195=1,IF(G1195=1,"TP","FN"),IF(G1195=1,"FP","TN"))</x:f>
        <x:v>TN</x:v>
      </x:c>
    </x:row>
    <x:row r="1196">
      <x:c r="A1196" t="str">
        <x:f>MiniCase_Data!A1196</x:f>
        <x:v>R01195</x:v>
      </x:c>
      <x:c r="B1196" t="n">
        <x:f>IF(MiniCase_Data!O1196="불합격",1,0)</x:f>
        <x:v>0</x:v>
      </x:c>
      <x:c r="C1196" t="str">
        <x:f>IF(ISBLANK(MiniCase_Data!H1196),"missing",IF(OR(MiniCase_Data!H1196&lt;27,MiniCase_Data!H1196&gt;33),"밖","안"))</x:f>
        <x:v>안</x:v>
      </x:c>
      <x:c r="D1196" t="n">
        <x:f>IF(ISBLANK(MiniCase_Data!H1196),VLOOKUP(A1196,센서로그!$A$2:$C$13,3,FALSE),MiniCase_Data!H1196)</x:f>
        <x:v>32.44</x:v>
      </x:c>
      <x:c r="E1196" t="n">
        <x:f>IF(AND(MiniCase_Data!C1196="야간",MiniCase_Data!F1196="M03"),1,0)</x:f>
        <x:v>1</x:v>
      </x:c>
      <x:c r="F1196" t="n">
        <x:f>IF(C1196="밖",1,0)</x:f>
        <x:v>0</x:v>
      </x:c>
      <x:c r="G1196" t="n">
        <x:f>IF(OR(F1196=1,E1196=1),1,0)</x:f>
        <x:v>1</x:v>
      </x:c>
      <x:c r="H1196" t="str">
        <x:f>IF(B1196=1,IF(F1196=1,"TP","FN"),IF(F1196=1,"FP","TN"))</x:f>
        <x:v>TN</x:v>
      </x:c>
      <x:c r="I1196" t="str">
        <x:f>IF(B1196=1,IF(G1196=1,"TP","FN"),IF(G1196=1,"FP","TN"))</x:f>
        <x:v>FP</x:v>
      </x:c>
    </x:row>
    <x:row r="1197">
      <x:c r="A1197" t="str">
        <x:f>MiniCase_Data!A1197</x:f>
        <x:v>R01196</x:v>
      </x:c>
      <x:c r="B1197" t="n">
        <x:f>IF(MiniCase_Data!O1197="불합격",1,0)</x:f>
        <x:v>0</x:v>
      </x:c>
      <x:c r="C1197" t="str">
        <x:f>IF(ISBLANK(MiniCase_Data!H1197),"missing",IF(OR(MiniCase_Data!H1197&lt;27,MiniCase_Data!H1197&gt;33),"밖","안"))</x:f>
        <x:v>안</x:v>
      </x:c>
      <x:c r="D1197" t="n">
        <x:f>IF(ISBLANK(MiniCase_Data!H1197),VLOOKUP(A1197,센서로그!$A$2:$C$13,3,FALSE),MiniCase_Data!H1197)</x:f>
        <x:v>30.57</x:v>
      </x:c>
      <x:c r="E1197" t="n">
        <x:f>IF(AND(MiniCase_Data!C1197="야간",MiniCase_Data!F1197="M03"),1,0)</x:f>
        <x:v>0</x:v>
      </x:c>
      <x:c r="F1197" t="n">
        <x:f>IF(C1197="밖",1,0)</x:f>
        <x:v>0</x:v>
      </x:c>
      <x:c r="G1197" t="n">
        <x:f>IF(OR(F1197=1,E1197=1),1,0)</x:f>
        <x:v>0</x:v>
      </x:c>
      <x:c r="H1197" t="str">
        <x:f>IF(B1197=1,IF(F1197=1,"TP","FN"),IF(F1197=1,"FP","TN"))</x:f>
        <x:v>TN</x:v>
      </x:c>
      <x:c r="I1197" t="str">
        <x:f>IF(B1197=1,IF(G1197=1,"TP","FN"),IF(G1197=1,"FP","TN"))</x:f>
        <x:v>TN</x:v>
      </x:c>
    </x:row>
    <x:row r="1198">
      <x:c r="A1198" t="str">
        <x:f>MiniCase_Data!A1198</x:f>
        <x:v>R01197</x:v>
      </x:c>
      <x:c r="B1198" t="n">
        <x:f>IF(MiniCase_Data!O1198="불합격",1,0)</x:f>
        <x:v>0</x:v>
      </x:c>
      <x:c r="C1198" t="str">
        <x:f>IF(ISBLANK(MiniCase_Data!H1198),"missing",IF(OR(MiniCase_Data!H1198&lt;27,MiniCase_Data!H1198&gt;33),"밖","안"))</x:f>
        <x:v>안</x:v>
      </x:c>
      <x:c r="D1198" t="n">
        <x:f>IF(ISBLANK(MiniCase_Data!H1198),VLOOKUP(A1198,센서로그!$A$2:$C$13,3,FALSE),MiniCase_Data!H1198)</x:f>
        <x:v>28.71</x:v>
      </x:c>
      <x:c r="E1198" t="n">
        <x:f>IF(AND(MiniCase_Data!C1198="야간",MiniCase_Data!F1198="M03"),1,0)</x:f>
        <x:v>0</x:v>
      </x:c>
      <x:c r="F1198" t="n">
        <x:f>IF(C1198="밖",1,0)</x:f>
        <x:v>0</x:v>
      </x:c>
      <x:c r="G1198" t="n">
        <x:f>IF(OR(F1198=1,E1198=1),1,0)</x:f>
        <x:v>0</x:v>
      </x:c>
      <x:c r="H1198" t="str">
        <x:f>IF(B1198=1,IF(F1198=1,"TP","FN"),IF(F1198=1,"FP","TN"))</x:f>
        <x:v>TN</x:v>
      </x:c>
      <x:c r="I1198" t="str">
        <x:f>IF(B1198=1,IF(G1198=1,"TP","FN"),IF(G1198=1,"FP","TN"))</x:f>
        <x:v>TN</x:v>
      </x:c>
    </x:row>
    <x:row r="1199">
      <x:c r="A1199" t="str">
        <x:f>MiniCase_Data!A1199</x:f>
        <x:v>R01198</x:v>
      </x:c>
      <x:c r="B1199" t="n">
        <x:f>IF(MiniCase_Data!O1199="불합격",1,0)</x:f>
        <x:v>0</x:v>
      </x:c>
      <x:c r="C1199" t="str">
        <x:f>IF(ISBLANK(MiniCase_Data!H1199),"missing",IF(OR(MiniCase_Data!H1199&lt;27,MiniCase_Data!H1199&gt;33),"밖","안"))</x:f>
        <x:v>안</x:v>
      </x:c>
      <x:c r="D1199" t="n">
        <x:f>IF(ISBLANK(MiniCase_Data!H1199),VLOOKUP(A1199,센서로그!$A$2:$C$13,3,FALSE),MiniCase_Data!H1199)</x:f>
        <x:v>27.47</x:v>
      </x:c>
      <x:c r="E1199" t="n">
        <x:f>IF(AND(MiniCase_Data!C1199="야간",MiniCase_Data!F1199="M03"),1,0)</x:f>
        <x:v>0</x:v>
      </x:c>
      <x:c r="F1199" t="n">
        <x:f>IF(C1199="밖",1,0)</x:f>
        <x:v>0</x:v>
      </x:c>
      <x:c r="G1199" t="n">
        <x:f>IF(OR(F1199=1,E1199=1),1,0)</x:f>
        <x:v>0</x:v>
      </x:c>
      <x:c r="H1199" t="str">
        <x:f>IF(B1199=1,IF(F1199=1,"TP","FN"),IF(F1199=1,"FP","TN"))</x:f>
        <x:v>TN</x:v>
      </x:c>
      <x:c r="I1199" t="str">
        <x:f>IF(B1199=1,IF(G1199=1,"TP","FN"),IF(G1199=1,"FP","TN"))</x:f>
        <x:v>TN</x:v>
      </x:c>
    </x:row>
    <x:row r="1200">
      <x:c r="A1200" t="str">
        <x:f>MiniCase_Data!A1200</x:f>
        <x:v>R01199</x:v>
      </x:c>
      <x:c r="B1200" t="n">
        <x:f>IF(MiniCase_Data!O1200="불합격",1,0)</x:f>
        <x:v>0</x:v>
      </x:c>
      <x:c r="C1200" t="str">
        <x:f>IF(ISBLANK(MiniCase_Data!H1200),"missing",IF(OR(MiniCase_Data!H1200&lt;27,MiniCase_Data!H1200&gt;33),"밖","안"))</x:f>
        <x:v>안</x:v>
      </x:c>
      <x:c r="D1200" t="n">
        <x:f>IF(ISBLANK(MiniCase_Data!H1200),VLOOKUP(A1200,센서로그!$A$2:$C$13,3,FALSE),MiniCase_Data!H1200)</x:f>
        <x:v>31.81</x:v>
      </x:c>
      <x:c r="E1200" t="n">
        <x:f>IF(AND(MiniCase_Data!C1200="야간",MiniCase_Data!F1200="M03"),1,0)</x:f>
        <x:v>0</x:v>
      </x:c>
      <x:c r="F1200" t="n">
        <x:f>IF(C1200="밖",1,0)</x:f>
        <x:v>0</x:v>
      </x:c>
      <x:c r="G1200" t="n">
        <x:f>IF(OR(F1200=1,E1200=1),1,0)</x:f>
        <x:v>0</x:v>
      </x:c>
      <x:c r="H1200" t="str">
        <x:f>IF(B1200=1,IF(F1200=1,"TP","FN"),IF(F1200=1,"FP","TN"))</x:f>
        <x:v>TN</x:v>
      </x:c>
      <x:c r="I1200" t="str">
        <x:f>IF(B1200=1,IF(G1200=1,"TP","FN"),IF(G1200=1,"FP","TN"))</x:f>
        <x:v>TN</x:v>
      </x:c>
    </x:row>
    <x:row r="1201">
      <x:c r="A1201" t="str">
        <x:f>MiniCase_Data!A1201</x:f>
        <x:v>R01200</x:v>
      </x:c>
      <x:c r="B1201" t="n">
        <x:f>IF(MiniCase_Data!O1201="불합격",1,0)</x:f>
        <x:v>0</x:v>
      </x:c>
      <x:c r="C1201" t="str">
        <x:f>IF(ISBLANK(MiniCase_Data!H1201),"missing",IF(OR(MiniCase_Data!H1201&lt;27,MiniCase_Data!H1201&gt;33),"밖","안"))</x:f>
        <x:v>안</x:v>
      </x:c>
      <x:c r="D1201" t="n">
        <x:f>IF(ISBLANK(MiniCase_Data!H1201),VLOOKUP(A1201,센서로그!$A$2:$C$13,3,FALSE),MiniCase_Data!H1201)</x:f>
        <x:v>32.27</x:v>
      </x:c>
      <x:c r="E1201" t="n">
        <x:f>IF(AND(MiniCase_Data!C1201="야간",MiniCase_Data!F1201="M03"),1,0)</x:f>
        <x:v>0</x:v>
      </x:c>
      <x:c r="F1201" t="n">
        <x:f>IF(C1201="밖",1,0)</x:f>
        <x:v>0</x:v>
      </x:c>
      <x:c r="G1201" t="n">
        <x:f>IF(OR(F1201=1,E1201=1),1,0)</x:f>
        <x:v>0</x:v>
      </x:c>
      <x:c r="H1201" t="str">
        <x:f>IF(B1201=1,IF(F1201=1,"TP","FN"),IF(F1201=1,"FP","TN"))</x:f>
        <x:v>TN</x:v>
      </x:c>
      <x:c r="I1201" t="str">
        <x:f>IF(B1201=1,IF(G1201=1,"TP","FN"),IF(G1201=1,"FP","TN"))</x:f>
        <x:v>TN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44" customHeight="1">
      <x:c r="A1" s="7" t="str">
        <x:v>record_id</x:v>
      </x:c>
      <x:c r="B1" s="7" t="str">
        <x:v>timestamp</x:v>
      </x:c>
      <x:c r="C1" s="7" t="str">
        <x:v>shift</x:v>
      </x:c>
      <x:c r="D1" s="7" t="str">
        <x:v>line_id</x:v>
      </x:c>
      <x:c r="E1" s="7" t="str">
        <x:v>product_model</x:v>
      </x:c>
      <x:c r="F1" s="7" t="str">
        <x:v>equipment_id</x:v>
      </x:c>
      <x:c r="G1" s="7" t="str">
        <x:v>operator_group</x:v>
      </x:c>
      <x:c r="H1" s="7" t="str">
        <x:v>torque_nm</x:v>
      </x:c>
      <x:c r="I1" s="7" t="str">
        <x:v>pressure_bar</x:v>
      </x:c>
      <x:c r="J1" s="7" t="str">
        <x:v>cycle_time_sec</x:v>
      </x:c>
      <x:c r="K1" s="7" t="str">
        <x:v>temperature_c</x:v>
      </x:c>
      <x:c r="L1" s="7" t="str">
        <x:v>vibration_mm_s</x:v>
      </x:c>
      <x:c r="M1" s="7" t="str">
        <x:v>downtime_min</x:v>
      </x:c>
      <x:c r="N1" s="7" t="str">
        <x:v>energy_kwh</x:v>
      </x:c>
      <x:c r="O1" s="7" t="str">
        <x:v>inspection_result</x:v>
      </x:c>
      <x:c r="P1" s="7" t="str">
        <x:v>defect_type</x:v>
      </x:c>
      <x:c r="Q1" s="7" t="str">
        <x:v>inspection_time_sec</x:v>
      </x:c>
      <x:c r="R1" s="7" t="str">
        <x:v>rework_flag</x:v>
      </x:c>
      <x:c r="S1" s="7" t="str">
        <x:v>rework_time_min</x:v>
      </x:c>
      <x:c r="T1" s="7" t="str">
        <x:v>final_disposition</x:v>
      </x:c>
    </x:row>
    <x:row r="2" ht="22" customHeight="1">
      <x:c r="A2" s="1" t="str">
        <x:v>R00001</x:v>
      </x:c>
      <x:c r="B2" s="4" t="n">
        <x:v>46204.875289351854</x:v>
      </x:c>
      <x:c r="C2" s="1" t="str">
        <x:v>야간</x:v>
      </x:c>
      <x:c r="D2" s="1" t="str">
        <x:v>L1</x:v>
      </x:c>
      <x:c r="E2" s="1" t="str">
        <x:v>P1</x:v>
      </x:c>
      <x:c r="F2" s="1" t="str">
        <x:v>M04</x:v>
      </x:c>
      <x:c r="G2" s="1" t="str">
        <x:v>G01</x:v>
      </x:c>
      <x:c r="H2" s="5" t="n">
        <x:v>31.46</x:v>
      </x:c>
      <x:c r="I2" s="5" t="n">
        <x:v>5.98</x:v>
      </x:c>
      <x:c r="J2" s="5" t="n">
        <x:v>51.4</x:v>
      </x:c>
      <x:c r="K2" s="5" t="n">
        <x:v>35.2</x:v>
      </x:c>
      <x:c r="L2" s="5" t="n">
        <x:v>2.7</x:v>
      </x:c>
      <x:c r="M2" s="1" t="n">
        <x:v>0</x:v>
      </x:c>
      <x:c r="N2" s="6" t="n">
        <x:v>1</x:v>
      </x:c>
      <x:c r="O2" s="1" t="str">
        <x:v>합격</x:v>
      </x:c>
      <x:c r="P2" s="1"/>
      <x:c r="Q2" s="1" t="n">
        <x:v>37</x:v>
      </x:c>
      <x:c r="R2" s="1" t="str">
        <x:v>N</x:v>
      </x:c>
      <x:c r="S2" s="1" t="n">
        <x:v>0</x:v>
      </x:c>
      <x:c r="T2" s="1" t="str">
        <x:v>합격</x:v>
      </x:c>
    </x:row>
    <x:row r="3" ht="22" customHeight="1">
      <x:c r="A3" s="1" t="str">
        <x:v>R00002</x:v>
      </x:c>
      <x:c r="B3" s="4" t="n">
        <x:v>46205.50844907408</x:v>
      </x:c>
      <x:c r="C3" s="1" t="str">
        <x:v>주간</x:v>
      </x:c>
      <x:c r="D3" s="1" t="str">
        <x:v>L2</x:v>
      </x:c>
      <x:c r="E3" s="1" t="str">
        <x:v>P2</x:v>
      </x:c>
      <x:c r="F3" s="1" t="str">
        <x:v>M04</x:v>
      </x:c>
      <x:c r="G3" s="1" t="str">
        <x:v>G02</x:v>
      </x:c>
      <x:c r="H3" s="5" t="n">
        <x:v>32.37</x:v>
      </x:c>
      <x:c r="I3" s="5" t="n">
        <x:v>5.66</x:v>
      </x:c>
      <x:c r="J3" s="5" t="n">
        <x:v>50.6</x:v>
      </x:c>
      <x:c r="K3" s="5" t="n">
        <x:v>38.6</x:v>
      </x:c>
      <x:c r="L3" s="5" t="n">
        <x:v>2.59</x:v>
      </x:c>
      <x:c r="M3" s="1" t="n">
        <x:v>0</x:v>
      </x:c>
      <x:c r="N3" s="6" t="n">
        <x:v>0.915</x:v>
      </x:c>
      <x:c r="O3" s="1" t="str">
        <x:v>합격</x:v>
      </x:c>
      <x:c r="P3" s="1"/>
      <x:c r="Q3" s="1" t="n">
        <x:v>42</x:v>
      </x:c>
      <x:c r="R3" s="1" t="str">
        <x:v>N</x:v>
      </x:c>
      <x:c r="S3" s="1" t="n">
        <x:v>0</x:v>
      </x:c>
      <x:c r="T3" s="1" t="str">
        <x:v>합격</x:v>
      </x:c>
    </x:row>
    <x:row r="4" ht="22" customHeight="1">
      <x:c r="A4" s="1" t="str">
        <x:v>R00003</x:v>
      </x:c>
      <x:c r="B4" s="4" t="n">
        <x:v>46206.41888888889</x:v>
      </x:c>
      <x:c r="C4" s="1" t="str">
        <x:v>주간</x:v>
      </x:c>
      <x:c r="D4" s="1" t="str">
        <x:v>L1</x:v>
      </x:c>
      <x:c r="E4" s="1" t="str">
        <x:v>P1</x:v>
      </x:c>
      <x:c r="F4" s="1" t="str">
        <x:v>M03</x:v>
      </x:c>
      <x:c r="G4" s="1" t="str">
        <x:v>G03</x:v>
      </x:c>
      <x:c r="H4" s="5" t="n">
        <x:v>30.26</x:v>
      </x:c>
      <x:c r="I4" s="5" t="n">
        <x:v>5.68</x:v>
      </x:c>
      <x:c r="J4" s="5" t="n">
        <x:v>49.4</x:v>
      </x:c>
      <x:c r="K4" s="5" t="n">
        <x:v>39.5</x:v>
      </x:c>
      <x:c r="L4" s="5" t="n">
        <x:v>2.27</x:v>
      </x:c>
      <x:c r="M4" s="1" t="n">
        <x:v>1</x:v>
      </x:c>
      <x:c r="N4" s="6" t="n">
        <x:v>1.044</x:v>
      </x:c>
      <x:c r="O4" s="1" t="str">
        <x:v>합격</x:v>
      </x:c>
      <x:c r="P4" s="1"/>
      <x:c r="Q4" s="1" t="n">
        <x:v>46</x:v>
      </x:c>
      <x:c r="R4" s="1" t="str">
        <x:v>N</x:v>
      </x:c>
      <x:c r="S4" s="1" t="n">
        <x:v>0</x:v>
      </x:c>
      <x:c r="T4" s="1" t="str">
        <x:v>합격</x:v>
      </x:c>
    </x:row>
    <x:row r="5" ht="22" customHeight="1">
      <x:c r="A5" s="1" t="str">
        <x:v>R00004</x:v>
      </x:c>
      <x:c r="B5" s="4" t="n">
        <x:v>46207.03428240741</x:v>
      </x:c>
      <x:c r="C5" s="1" t="str">
        <x:v>야간</x:v>
      </x:c>
      <x:c r="D5" s="1" t="str">
        <x:v>L1</x:v>
      </x:c>
      <x:c r="E5" s="1" t="str">
        <x:v>P1</x:v>
      </x:c>
      <x:c r="F5" s="1" t="str">
        <x:v>M04</x:v>
      </x:c>
      <x:c r="G5" s="1" t="str">
        <x:v>G04</x:v>
      </x:c>
      <x:c r="H5" s="5" t="n">
        <x:v>29.61</x:v>
      </x:c>
      <x:c r="I5" s="5" t="n">
        <x:v>5.82</x:v>
      </x:c>
      <x:c r="J5" s="5" t="n">
        <x:v>49.1</x:v>
      </x:c>
      <x:c r="K5" s="5" t="n">
        <x:v>39.2</x:v>
      </x:c>
      <x:c r="L5" s="5" t="n">
        <x:v>1.56</x:v>
      </x:c>
      <x:c r="M5" s="1" t="n">
        <x:v>0</x:v>
      </x:c>
      <x:c r="N5" s="6" t="n">
        <x:v>0.924</x:v>
      </x:c>
      <x:c r="O5" s="1" t="str">
        <x:v>합격</x:v>
      </x:c>
      <x:c r="P5" s="1"/>
      <x:c r="Q5" s="1" t="n">
        <x:v>42</x:v>
      </x:c>
      <x:c r="R5" s="1" t="str">
        <x:v>N</x:v>
      </x:c>
      <x:c r="S5" s="1" t="n">
        <x:v>0</x:v>
      </x:c>
      <x:c r="T5" s="1" t="str">
        <x:v>합격</x:v>
      </x:c>
    </x:row>
    <x:row r="6" ht="22" customHeight="1">
      <x:c r="A6" s="1" t="str">
        <x:v>R00005</x:v>
      </x:c>
      <x:c r="B6" s="4" t="n">
        <x:v>46208.52875</x:v>
      </x:c>
      <x:c r="C6" s="1" t="str">
        <x:v>주간</x:v>
      </x:c>
      <x:c r="D6" s="1" t="str">
        <x:v>L2</x:v>
      </x:c>
      <x:c r="E6" s="1" t="str">
        <x:v>P2</x:v>
      </x:c>
      <x:c r="F6" s="1" t="str">
        <x:v>M02</x:v>
      </x:c>
      <x:c r="G6" s="1" t="str">
        <x:v>G05</x:v>
      </x:c>
      <x:c r="H6" s="5" t="n">
        <x:v>31.48</x:v>
      </x:c>
      <x:c r="I6" s="5" t="n">
        <x:v>5.94</x:v>
      </x:c>
      <x:c r="J6" s="5" t="n">
        <x:v>47.9</x:v>
      </x:c>
      <x:c r="K6" s="5" t="n">
        <x:v>36</x:v>
      </x:c>
      <x:c r="L6" s="5" t="n">
        <x:v>1.35</x:v>
      </x:c>
      <x:c r="M6" s="1" t="n">
        <x:v>1</x:v>
      </x:c>
      <x:c r="N6" s="6" t="n">
        <x:v>1.011</x:v>
      </x:c>
      <x:c r="O6" s="1" t="str">
        <x:v>합격</x:v>
      </x:c>
      <x:c r="P6" s="1"/>
      <x:c r="Q6" s="1" t="n">
        <x:v>38</x:v>
      </x:c>
      <x:c r="R6" s="1" t="str">
        <x:v>N</x:v>
      </x:c>
      <x:c r="S6" s="1" t="n">
        <x:v>0</x:v>
      </x:c>
      <x:c r="T6" s="1" t="str">
        <x:v>합격</x:v>
      </x:c>
    </x:row>
    <x:row r="7" ht="22" customHeight="1">
      <x:c r="A7" s="1" t="str">
        <x:v>R00006</x:v>
      </x:c>
      <x:c r="B7" s="4" t="n">
        <x:v>46209.545752314814</x:v>
      </x:c>
      <x:c r="C7" s="1" t="str">
        <x:v>주간</x:v>
      </x:c>
      <x:c r="D7" s="1" t="str">
        <x:v>L2</x:v>
      </x:c>
      <x:c r="E7" s="1" t="str">
        <x:v>P2</x:v>
      </x:c>
      <x:c r="F7" s="1" t="str">
        <x:v>M02</x:v>
      </x:c>
      <x:c r="G7" s="1" t="str">
        <x:v>G06</x:v>
      </x:c>
      <x:c r="H7" s="5" t="n">
        <x:v>31.19</x:v>
      </x:c>
      <x:c r="I7" s="5" t="n">
        <x:v>5.9</x:v>
      </x:c>
      <x:c r="J7" s="5" t="n">
        <x:v>51.1</x:v>
      </x:c>
      <x:c r="K7" s="5" t="n">
        <x:v>38.8</x:v>
      </x:c>
      <x:c r="L7" s="5" t="n">
        <x:v>2.51</x:v>
      </x:c>
      <x:c r="M7" s="1" t="n">
        <x:v>0</x:v>
      </x:c>
      <x:c r="N7" s="6" t="n">
        <x:v>1.031</x:v>
      </x:c>
      <x:c r="O7" s="1" t="str">
        <x:v>합격</x:v>
      </x:c>
      <x:c r="P7" s="1"/>
      <x:c r="Q7" s="1" t="n">
        <x:v>47</x:v>
      </x:c>
      <x:c r="R7" s="1" t="str">
        <x:v>N</x:v>
      </x:c>
      <x:c r="S7" s="1" t="n">
        <x:v>0</x:v>
      </x:c>
      <x:c r="T7" s="1" t="str">
        <x:v>합격</x:v>
      </x:c>
    </x:row>
    <x:row r="8" ht="22" customHeight="1">
      <x:c r="A8" s="1" t="str">
        <x:v>R00007</x:v>
      </x:c>
      <x:c r="B8" s="4" t="n">
        <x:v>46210.440775462965</x:v>
      </x:c>
      <x:c r="C8" s="1" t="str">
        <x:v>주간</x:v>
      </x:c>
      <x:c r="D8" s="1" t="str">
        <x:v>L1</x:v>
      </x:c>
      <x:c r="E8" s="1" t="str">
        <x:v>P1</x:v>
      </x:c>
      <x:c r="F8" s="1" t="str">
        <x:v>M03</x:v>
      </x:c>
      <x:c r="G8" s="1" t="str">
        <x:v>G01</x:v>
      </x:c>
      <x:c r="H8" s="5" t="n">
        <x:v>32.47</x:v>
      </x:c>
      <x:c r="I8" s="5" t="n">
        <x:v>5.92</x:v>
      </x:c>
      <x:c r="J8" s="5" t="n">
        <x:v>55.1</x:v>
      </x:c>
      <x:c r="K8" s="5" t="n">
        <x:v>39.6</x:v>
      </x:c>
      <x:c r="L8" s="5" t="n">
        <x:v>1.83</x:v>
      </x:c>
      <x:c r="M8" s="1" t="n">
        <x:v>0</x:v>
      </x:c>
      <x:c r="N8" s="6" t="n">
        <x:v>0.865</x:v>
      </x:c>
      <x:c r="O8" s="1" t="str">
        <x:v>합격</x:v>
      </x:c>
      <x:c r="P8" s="1"/>
      <x:c r="Q8" s="1" t="n">
        <x:v>44</x:v>
      </x:c>
      <x:c r="R8" s="1" t="str">
        <x:v>N</x:v>
      </x:c>
      <x:c r="S8" s="1" t="n">
        <x:v>0</x:v>
      </x:c>
      <x:c r="T8" s="1" t="str">
        <x:v>합격</x:v>
      </x:c>
    </x:row>
    <x:row r="9" ht="22" customHeight="1">
      <x:c r="A9" s="1" t="str">
        <x:v>R00008</x:v>
      </x:c>
      <x:c r="B9" s="4" t="n">
        <x:v>46211.14417824074</x:v>
      </x:c>
      <x:c r="C9" s="1" t="str">
        <x:v>야간</x:v>
      </x:c>
      <x:c r="D9" s="1" t="str">
        <x:v>L1</x:v>
      </x:c>
      <x:c r="E9" s="1" t="str">
        <x:v>P1</x:v>
      </x:c>
      <x:c r="F9" s="1" t="str">
        <x:v>M03</x:v>
      </x:c>
      <x:c r="G9" s="1" t="str">
        <x:v>G02</x:v>
      </x:c>
      <x:c r="H9" s="5" t="n">
        <x:v>30.76</x:v>
      </x:c>
      <x:c r="I9" s="5" t="n">
        <x:v>5.95</x:v>
      </x:c>
      <x:c r="J9" s="5" t="n">
        <x:v>58.7</x:v>
      </x:c>
      <x:c r="K9" s="5" t="n">
        <x:v>41</x:v>
      </x:c>
      <x:c r="L9" s="5" t="n">
        <x:v>2.55</x:v>
      </x:c>
      <x:c r="M9" s="1" t="n">
        <x:v>0</x:v>
      </x:c>
      <x:c r="N9" s="6" t="n">
        <x:v>0.918</x:v>
      </x:c>
      <x:c r="O9" s="1" t="str">
        <x:v>합격</x:v>
      </x:c>
      <x:c r="P9" s="1"/>
      <x:c r="Q9" s="1" t="n">
        <x:v>42</x:v>
      </x:c>
      <x:c r="R9" s="1" t="str">
        <x:v>N</x:v>
      </x:c>
      <x:c r="S9" s="1" t="n">
        <x:v>0</x:v>
      </x:c>
      <x:c r="T9" s="1" t="str">
        <x:v>합격</x:v>
      </x:c>
    </x:row>
    <x:row r="10" ht="22" customHeight="1">
      <x:c r="A10" s="1" t="str">
        <x:v>R00009</x:v>
      </x:c>
      <x:c r="B10" s="4" t="n">
        <x:v>46212.923854166664</x:v>
      </x:c>
      <x:c r="C10" s="1" t="str">
        <x:v>야간</x:v>
      </x:c>
      <x:c r="D10" s="1" t="str">
        <x:v>L1</x:v>
      </x:c>
      <x:c r="E10" s="1" t="str">
        <x:v>P1</x:v>
      </x:c>
      <x:c r="F10" s="1" t="str">
        <x:v>M03</x:v>
      </x:c>
      <x:c r="G10" s="1" t="str">
        <x:v>G03</x:v>
      </x:c>
      <x:c r="H10" s="5" t="n">
        <x:v>33.58</x:v>
      </x:c>
      <x:c r="I10" s="5" t="n">
        <x:v>5.84</x:v>
      </x:c>
      <x:c r="J10" s="5" t="n">
        <x:v>49.3</x:v>
      </x:c>
      <x:c r="K10" s="5" t="n">
        <x:v>41.1</x:v>
      </x:c>
      <x:c r="L10" s="5" t="n">
        <x:v>1.85</x:v>
      </x:c>
      <x:c r="M10" s="1" t="n">
        <x:v>1</x:v>
      </x:c>
      <x:c r="N10" s="6" t="n">
        <x:v>0.951</x:v>
      </x:c>
      <x:c r="O10" s="1" t="str">
        <x:v>합격</x:v>
      </x:c>
      <x:c r="P10" s="1"/>
      <x:c r="Q10" s="1" t="n">
        <x:v>39</x:v>
      </x:c>
      <x:c r="R10" s="1" t="str">
        <x:v>N</x:v>
      </x:c>
      <x:c r="S10" s="1" t="n">
        <x:v>0</x:v>
      </x:c>
      <x:c r="T10" s="1" t="str">
        <x:v>합격</x:v>
      </x:c>
    </x:row>
    <x:row r="11" ht="22" customHeight="1">
      <x:c r="A11" s="1" t="str">
        <x:v>R00010</x:v>
      </x:c>
      <x:c r="B11" s="4" t="n">
        <x:v>46213.451840277776</x:v>
      </x:c>
      <x:c r="C11" s="1" t="str">
        <x:v>주간</x:v>
      </x:c>
      <x:c r="D11" s="1" t="str">
        <x:v>L1</x:v>
      </x:c>
      <x:c r="E11" s="1" t="str">
        <x:v>P1</x:v>
      </x:c>
      <x:c r="F11" s="1" t="str">
        <x:v>M01</x:v>
      </x:c>
      <x:c r="G11" s="1" t="str">
        <x:v>G04</x:v>
      </x:c>
      <x:c r="H11" s="5" t="n">
        <x:v>32.39</x:v>
      </x:c>
      <x:c r="I11" s="5" t="n">
        <x:v>5.64</x:v>
      </x:c>
      <x:c r="J11" s="5" t="n">
        <x:v>55.6</x:v>
      </x:c>
      <x:c r="K11" s="5" t="n">
        <x:v>36.7</x:v>
      </x:c>
      <x:c r="L11" s="5" t="n">
        <x:v>2.33</x:v>
      </x:c>
      <x:c r="M11" s="1" t="n">
        <x:v>0</x:v>
      </x:c>
      <x:c r="N11" s="6" t="n">
        <x:v>0.891</x:v>
      </x:c>
      <x:c r="O11" s="1" t="str">
        <x:v>합격</x:v>
      </x:c>
      <x:c r="P11" s="1"/>
      <x:c r="Q11" s="1" t="n">
        <x:v>48</x:v>
      </x:c>
      <x:c r="R11" s="1" t="str">
        <x:v>N</x:v>
      </x:c>
      <x:c r="S11" s="1" t="n">
        <x:v>0</x:v>
      </x:c>
      <x:c r="T11" s="1" t="str">
        <x:v>합격</x:v>
      </x:c>
    </x:row>
    <x:row r="12" ht="22" customHeight="1">
      <x:c r="A12" s="1" t="str">
        <x:v>R00011</x:v>
      </x:c>
      <x:c r="B12" s="4" t="n">
        <x:v>46214.624189814815</x:v>
      </x:c>
      <x:c r="C12" s="1" t="str">
        <x:v>주간</x:v>
      </x:c>
      <x:c r="D12" s="1" t="str">
        <x:v>L1</x:v>
      </x:c>
      <x:c r="E12" s="1" t="str">
        <x:v>P1</x:v>
      </x:c>
      <x:c r="F12" s="1" t="str">
        <x:v>M01</x:v>
      </x:c>
      <x:c r="G12" s="1" t="str">
        <x:v>G05</x:v>
      </x:c>
      <x:c r="H12" s="5" t="n">
        <x:v>28.98</x:v>
      </x:c>
      <x:c r="I12" s="5" t="n">
        <x:v>5.83</x:v>
      </x:c>
      <x:c r="J12" s="5" t="n">
        <x:v>57.7</x:v>
      </x:c>
      <x:c r="K12" s="5" t="n">
        <x:v>39.5</x:v>
      </x:c>
      <x:c r="L12" s="5" t="n">
        <x:v>2.21</x:v>
      </x:c>
      <x:c r="M12" s="1" t="n">
        <x:v>1</x:v>
      </x:c>
      <x:c r="N12" s="6" t="n">
        <x:v>1.019</x:v>
      </x:c>
      <x:c r="O12" s="1" t="str">
        <x:v>합격</x:v>
      </x:c>
      <x:c r="P12" s="1"/>
      <x:c r="Q12" s="1" t="n">
        <x:v>42</x:v>
      </x:c>
      <x:c r="R12" s="1" t="str">
        <x:v>N</x:v>
      </x:c>
      <x:c r="S12" s="1" t="n">
        <x:v>0</x:v>
      </x:c>
      <x:c r="T12" s="1" t="str">
        <x:v>합격</x:v>
      </x:c>
    </x:row>
    <x:row r="13" ht="22" customHeight="1">
      <x:c r="A13" s="1" t="str">
        <x:v>R00012</x:v>
      </x:c>
      <x:c r="B13" s="4" t="n">
        <x:v>46215.94818287037</x:v>
      </x:c>
      <x:c r="C13" s="1" t="str">
        <x:v>야간</x:v>
      </x:c>
      <x:c r="D13" s="1" t="str">
        <x:v>L2</x:v>
      </x:c>
      <x:c r="E13" s="1" t="str">
        <x:v>P2</x:v>
      </x:c>
      <x:c r="F13" s="1" t="str">
        <x:v>M02</x:v>
      </x:c>
      <x:c r="G13" s="1" t="str">
        <x:v>G06</x:v>
      </x:c>
      <x:c r="H13" s="5" t="n">
        <x:v>27.56</x:v>
      </x:c>
      <x:c r="I13" s="5" t="n">
        <x:v>5.67</x:v>
      </x:c>
      <x:c r="J13" s="5" t="n">
        <x:v>56.7</x:v>
      </x:c>
      <x:c r="K13" s="5" t="n">
        <x:v>39</x:v>
      </x:c>
      <x:c r="L13" s="5" t="n">
        <x:v>1.69</x:v>
      </x:c>
      <x:c r="M13" s="1" t="n">
        <x:v>1</x:v>
      </x:c>
      <x:c r="N13" s="6" t="n">
        <x:v>0.983</x:v>
      </x:c>
      <x:c r="O13" s="1" t="str">
        <x:v>합격</x:v>
      </x:c>
      <x:c r="P13" s="1"/>
      <x:c r="Q13" s="1" t="n">
        <x:v>41</x:v>
      </x:c>
      <x:c r="R13" s="1" t="str">
        <x:v>N</x:v>
      </x:c>
      <x:c r="S13" s="1" t="n">
        <x:v>0</x:v>
      </x:c>
      <x:c r="T13" s="1" t="str">
        <x:v>합격</x:v>
      </x:c>
    </x:row>
    <x:row r="14" ht="22" customHeight="1">
      <x:c r="A14" s="1" t="str">
        <x:v>R00013</x:v>
      </x:c>
      <x:c r="B14" s="4" t="n">
        <x:v>46216.42670138889</x:v>
      </x:c>
      <x:c r="C14" s="1" t="str">
        <x:v>주간</x:v>
      </x:c>
      <x:c r="D14" s="1" t="str">
        <x:v>L1</x:v>
      </x:c>
      <x:c r="E14" s="1" t="str">
        <x:v>P1</x:v>
      </x:c>
      <x:c r="F14" s="1" t="str">
        <x:v>M02</x:v>
      </x:c>
      <x:c r="G14" s="1" t="str">
        <x:v>G01</x:v>
      </x:c>
      <x:c r="H14" s="5" t="n">
        <x:v>33.62</x:v>
      </x:c>
      <x:c r="I14" s="5" t="n">
        <x:v>5.88</x:v>
      </x:c>
      <x:c r="J14" s="5" t="n">
        <x:v>47.9</x:v>
      </x:c>
      <x:c r="K14" s="5" t="n">
        <x:v>36.6</x:v>
      </x:c>
      <x:c r="L14" s="5" t="n">
        <x:v>1.5</x:v>
      </x:c>
      <x:c r="M14" s="1" t="n">
        <x:v>0</x:v>
      </x:c>
      <x:c r="N14" s="6" t="n">
        <x:v>0.888</x:v>
      </x:c>
      <x:c r="O14" s="1" t="str">
        <x:v>불합격</x:v>
      </x:c>
      <x:c r="P14" s="1" t="str">
        <x:v>작동불량</x:v>
      </x:c>
      <x:c r="Q14" s="1" t="n">
        <x:v>43</x:v>
      </x:c>
      <x:c r="R14" s="1" t="str">
        <x:v>Y</x:v>
      </x:c>
      <x:c r="S14" s="1" t="n">
        <x:v>8</x:v>
      </x:c>
      <x:c r="T14" s="1" t="str">
        <x:v>재작업후합격</x:v>
      </x:c>
    </x:row>
    <x:row r="15" ht="22" customHeight="1">
      <x:c r="A15" s="1" t="str">
        <x:v>R00014</x:v>
      </x:c>
      <x:c r="B15" s="4" t="n">
        <x:v>46217.61813657408</x:v>
      </x:c>
      <x:c r="C15" s="1" t="str">
        <x:v>주간</x:v>
      </x:c>
      <x:c r="D15" s="1" t="str">
        <x:v>L1</x:v>
      </x:c>
      <x:c r="E15" s="1" t="str">
        <x:v>P1</x:v>
      </x:c>
      <x:c r="F15" s="1" t="str">
        <x:v>M01</x:v>
      </x:c>
      <x:c r="G15" s="1" t="str">
        <x:v>G02</x:v>
      </x:c>
      <x:c r="H15" s="5" t="n">
        <x:v>27.45</x:v>
      </x:c>
      <x:c r="I15" s="5" t="n">
        <x:v>5.85</x:v>
      </x:c>
      <x:c r="J15" s="5" t="n">
        <x:v>49.3</x:v>
      </x:c>
      <x:c r="K15" s="5" t="n">
        <x:v>39.6</x:v>
      </x:c>
      <x:c r="L15" s="5" t="n">
        <x:v>2.12</x:v>
      </x:c>
      <x:c r="M15" s="1" t="n">
        <x:v>1</x:v>
      </x:c>
      <x:c r="N15" s="6" t="n">
        <x:v>0.975</x:v>
      </x:c>
      <x:c r="O15" s="1" t="str">
        <x:v>합격</x:v>
      </x:c>
      <x:c r="P15" s="1"/>
      <x:c r="Q15" s="1" t="n">
        <x:v>38</x:v>
      </x:c>
      <x:c r="R15" s="1" t="str">
        <x:v>N</x:v>
      </x:c>
      <x:c r="S15" s="1" t="n">
        <x:v>0</x:v>
      </x:c>
      <x:c r="T15" s="1" t="str">
        <x:v>합격</x:v>
      </x:c>
    </x:row>
    <x:row r="16" ht="22" customHeight="1">
      <x:c r="A16" s="1" t="str">
        <x:v>R00015</x:v>
      </x:c>
      <x:c r="B16" s="4" t="n">
        <x:v>46218.05569444445</x:v>
      </x:c>
      <x:c r="C16" s="1" t="str">
        <x:v>야간</x:v>
      </x:c>
      <x:c r="D16" s="1" t="str">
        <x:v>L1</x:v>
      </x:c>
      <x:c r="E16" s="1" t="str">
        <x:v>P1</x:v>
      </x:c>
      <x:c r="F16" s="1" t="str">
        <x:v>M04</x:v>
      </x:c>
      <x:c r="G16" s="1" t="str">
        <x:v>G03</x:v>
      </x:c>
      <x:c r="H16" s="5" t="n">
        <x:v>28.65</x:v>
      </x:c>
      <x:c r="I16" s="5" t="n">
        <x:v>5.63</x:v>
      </x:c>
      <x:c r="J16" s="5" t="n">
        <x:v>50</x:v>
      </x:c>
      <x:c r="K16" s="5" t="n">
        <x:v>38.8</x:v>
      </x:c>
      <x:c r="L16" s="5" t="n">
        <x:v>2.17</x:v>
      </x:c>
      <x:c r="M16" s="1" t="n">
        <x:v>1</x:v>
      </x:c>
      <x:c r="N16" s="6" t="n">
        <x:v>0.957</x:v>
      </x:c>
      <x:c r="O16" s="1" t="str">
        <x:v>합격</x:v>
      </x:c>
      <x:c r="P16" s="1"/>
      <x:c r="Q16" s="1" t="n">
        <x:v>47</x:v>
      </x:c>
      <x:c r="R16" s="1" t="str">
        <x:v>N</x:v>
      </x:c>
      <x:c r="S16" s="1" t="n">
        <x:v>0</x:v>
      </x:c>
      <x:c r="T16" s="1" t="str">
        <x:v>합격</x:v>
      </x:c>
    </x:row>
    <x:row r="17" ht="22" customHeight="1">
      <x:c r="A17" s="1" t="str">
        <x:v>R00016</x:v>
      </x:c>
      <x:c r="B17" s="4" t="n">
        <x:v>46219.9034837963</x:v>
      </x:c>
      <x:c r="C17" s="1" t="str">
        <x:v>야간</x:v>
      </x:c>
      <x:c r="D17" s="1" t="str">
        <x:v>L1</x:v>
      </x:c>
      <x:c r="E17" s="1" t="str">
        <x:v>P1</x:v>
      </x:c>
      <x:c r="F17" s="1" t="str">
        <x:v>M03</x:v>
      </x:c>
      <x:c r="G17" s="1" t="str">
        <x:v>G04</x:v>
      </x:c>
      <x:c r="H17" s="5" t="n">
        <x:v>26.71</x:v>
      </x:c>
      <x:c r="I17" s="5" t="n">
        <x:v>5.76</x:v>
      </x:c>
      <x:c r="J17" s="5" t="n">
        <x:v>56</x:v>
      </x:c>
      <x:c r="K17" s="5" t="n">
        <x:v>39.3</x:v>
      </x:c>
      <x:c r="L17" s="5" t="n">
        <x:v>1.84</x:v>
      </x:c>
      <x:c r="M17" s="1" t="n">
        <x:v>1</x:v>
      </x:c>
      <x:c r="N17" s="6" t="n">
        <x:v>0.916</x:v>
      </x:c>
      <x:c r="O17" s="1" t="str">
        <x:v>합격</x:v>
      </x:c>
      <x:c r="P17" s="1"/>
      <x:c r="Q17" s="1" t="n">
        <x:v>43</x:v>
      </x:c>
      <x:c r="R17" s="1" t="str">
        <x:v>N</x:v>
      </x:c>
      <x:c r="S17" s="1" t="n">
        <x:v>0</x:v>
      </x:c>
      <x:c r="T17" s="1" t="str">
        <x:v>합격</x:v>
      </x:c>
    </x:row>
    <x:row r="18" ht="22" customHeight="1">
      <x:c r="A18" s="1" t="str">
        <x:v>R00017</x:v>
      </x:c>
      <x:c r="B18" s="4" t="n">
        <x:v>46220.559641203705</x:v>
      </x:c>
      <x:c r="C18" s="1" t="str">
        <x:v>주간</x:v>
      </x:c>
      <x:c r="D18" s="1" t="str">
        <x:v>L1</x:v>
      </x:c>
      <x:c r="E18" s="1" t="str">
        <x:v>P1</x:v>
      </x:c>
      <x:c r="F18" s="1" t="str">
        <x:v>M01</x:v>
      </x:c>
      <x:c r="G18" s="1" t="str">
        <x:v>G05</x:v>
      </x:c>
      <x:c r="H18" s="5" t="n">
        <x:v>32.21</x:v>
      </x:c>
      <x:c r="I18" s="5" t="n">
        <x:v>5.65</x:v>
      </x:c>
      <x:c r="J18" s="5" t="n">
        <x:v>51.8</x:v>
      </x:c>
      <x:c r="K18" s="5" t="n">
        <x:v>39.4</x:v>
      </x:c>
      <x:c r="L18" s="5" t="n">
        <x:v>1.91</x:v>
      </x:c>
      <x:c r="M18" s="1" t="n">
        <x:v>1</x:v>
      </x:c>
      <x:c r="N18" s="6" t="n">
        <x:v>1.05</x:v>
      </x:c>
      <x:c r="O18" s="1" t="str">
        <x:v>합격</x:v>
      </x:c>
      <x:c r="P18" s="1"/>
      <x:c r="Q18" s="1" t="n">
        <x:v>37</x:v>
      </x:c>
      <x:c r="R18" s="1" t="str">
        <x:v>N</x:v>
      </x:c>
      <x:c r="S18" s="1" t="n">
        <x:v>0</x:v>
      </x:c>
      <x:c r="T18" s="1" t="str">
        <x:v>합격</x:v>
      </x:c>
    </x:row>
    <x:row r="19" ht="22" customHeight="1">
      <x:c r="A19" s="1" t="str">
        <x:v>R00018</x:v>
      </x:c>
      <x:c r="B19" s="4" t="n">
        <x:v>46221.59986111111</x:v>
      </x:c>
      <x:c r="C19" s="1" t="str">
        <x:v>주간</x:v>
      </x:c>
      <x:c r="D19" s="1" t="str">
        <x:v>L2</x:v>
      </x:c>
      <x:c r="E19" s="1" t="str">
        <x:v>P2</x:v>
      </x:c>
      <x:c r="F19" s="1" t="str">
        <x:v>M04</x:v>
      </x:c>
      <x:c r="G19" s="1" t="str">
        <x:v>G06</x:v>
      </x:c>
      <x:c r="H19" s="5" t="n">
        <x:v>31.8</x:v>
      </x:c>
      <x:c r="I19" s="5" t="n">
        <x:v>5.83</x:v>
      </x:c>
      <x:c r="J19" s="5" t="n">
        <x:v>56.1</x:v>
      </x:c>
      <x:c r="K19" s="5" t="n">
        <x:v>41.1</x:v>
      </x:c>
      <x:c r="L19" s="5" t="n">
        <x:v>1.31</x:v>
      </x:c>
      <x:c r="M19" s="1" t="n">
        <x:v>1</x:v>
      </x:c>
      <x:c r="N19" s="6" t="n">
        <x:v>0.967</x:v>
      </x:c>
      <x:c r="O19" s="1" t="str">
        <x:v>합격</x:v>
      </x:c>
      <x:c r="P19" s="1"/>
      <x:c r="Q19" s="1" t="n">
        <x:v>37</x:v>
      </x:c>
      <x:c r="R19" s="1" t="str">
        <x:v>N</x:v>
      </x:c>
      <x:c r="S19" s="1" t="n">
        <x:v>0</x:v>
      </x:c>
      <x:c r="T19" s="1" t="str">
        <x:v>합격</x:v>
      </x:c>
    </x:row>
    <x:row r="20" ht="22" customHeight="1">
      <x:c r="A20" s="1" t="str">
        <x:v>R00019</x:v>
      </x:c>
      <x:c r="B20" s="4" t="n">
        <x:v>46222.638240740744</x:v>
      </x:c>
      <x:c r="C20" s="1" t="str">
        <x:v>주간</x:v>
      </x:c>
      <x:c r="D20" s="1" t="str">
        <x:v>L1</x:v>
      </x:c>
      <x:c r="E20" s="1" t="str">
        <x:v>P1</x:v>
      </x:c>
      <x:c r="F20" s="1" t="str">
        <x:v>M03</x:v>
      </x:c>
      <x:c r="G20" s="1" t="str">
        <x:v>G01</x:v>
      </x:c>
      <x:c r="H20" s="5" t="n">
        <x:v>28.55</x:v>
      </x:c>
      <x:c r="I20" s="5" t="n">
        <x:v>5.77</x:v>
      </x:c>
      <x:c r="J20" s="5" t="n">
        <x:v>50.3</x:v>
      </x:c>
      <x:c r="K20" s="5" t="n">
        <x:v>37.6</x:v>
      </x:c>
      <x:c r="L20" s="5" t="n">
        <x:v>1.67</x:v>
      </x:c>
      <x:c r="M20" s="1" t="n">
        <x:v>1</x:v>
      </x:c>
      <x:c r="N20" s="6" t="n">
        <x:v>1.008</x:v>
      </x:c>
      <x:c r="O20" s="1" t="str">
        <x:v>합격</x:v>
      </x:c>
      <x:c r="P20" s="1"/>
      <x:c r="Q20" s="1" t="n">
        <x:v>37</x:v>
      </x:c>
      <x:c r="R20" s="1" t="str">
        <x:v>N</x:v>
      </x:c>
      <x:c r="S20" s="1" t="n">
        <x:v>0</x:v>
      </x:c>
      <x:c r="T20" s="1" t="str">
        <x:v>합격</x:v>
      </x:c>
    </x:row>
    <x:row r="21" ht="22" customHeight="1">
      <x:c r="A21" s="1" t="str">
        <x:v>R00020</x:v>
      </x:c>
      <x:c r="B21" s="4" t="n">
        <x:v>46223.55818287037</x:v>
      </x:c>
      <x:c r="C21" s="1" t="str">
        <x:v>주간</x:v>
      </x:c>
      <x:c r="D21" s="1" t="str">
        <x:v>L2</x:v>
      </x:c>
      <x:c r="E21" s="1" t="str">
        <x:v>P2</x:v>
      </x:c>
      <x:c r="F21" s="1" t="str">
        <x:v>M04</x:v>
      </x:c>
      <x:c r="G21" s="1" t="str">
        <x:v>G02</x:v>
      </x:c>
      <x:c r="H21" s="5" t="n">
        <x:v>28.81</x:v>
      </x:c>
      <x:c r="I21" s="5" t="n">
        <x:v>5.92</x:v>
      </x:c>
      <x:c r="J21" s="5" t="n">
        <x:v>47.2</x:v>
      </x:c>
      <x:c r="K21" s="5" t="n">
        <x:v>40.1</x:v>
      </x:c>
      <x:c r="L21" s="5" t="n">
        <x:v>1.86</x:v>
      </x:c>
      <x:c r="M21" s="1" t="n">
        <x:v>1</x:v>
      </x:c>
      <x:c r="N21" s="6" t="n">
        <x:v>0.961</x:v>
      </x:c>
      <x:c r="O21" s="1" t="str">
        <x:v>합격</x:v>
      </x:c>
      <x:c r="P21" s="1"/>
      <x:c r="Q21" s="1" t="n">
        <x:v>43</x:v>
      </x:c>
      <x:c r="R21" s="1" t="str">
        <x:v>N</x:v>
      </x:c>
      <x:c r="S21" s="1" t="n">
        <x:v>0</x:v>
      </x:c>
      <x:c r="T21" s="1" t="str">
        <x:v>합격</x:v>
      </x:c>
    </x:row>
    <x:row r="22" ht="22" customHeight="1">
      <x:c r="A22" s="1" t="str">
        <x:v>R00021</x:v>
      </x:c>
      <x:c r="B22" s="4" t="n">
        <x:v>46224.612916666665</x:v>
      </x:c>
      <x:c r="C22" s="1" t="str">
        <x:v>주간</x:v>
      </x:c>
      <x:c r="D22" s="1" t="str">
        <x:v>L2</x:v>
      </x:c>
      <x:c r="E22" s="1" t="str">
        <x:v>P2</x:v>
      </x:c>
      <x:c r="F22" s="1" t="str">
        <x:v>M02</x:v>
      </x:c>
      <x:c r="G22" s="1" t="str">
        <x:v>G03</x:v>
      </x:c>
      <x:c r="H22" s="5" t="n">
        <x:v>30.15</x:v>
      </x:c>
      <x:c r="I22" s="5" t="n">
        <x:v>5.81</x:v>
      </x:c>
      <x:c r="J22" s="5" t="n">
        <x:v>48.7</x:v>
      </x:c>
      <x:c r="K22" s="5" t="n">
        <x:v>37.8</x:v>
      </x:c>
      <x:c r="L22" s="5" t="n">
        <x:v>2.65</x:v>
      </x:c>
      <x:c r="M22" s="1" t="n">
        <x:v>1</x:v>
      </x:c>
      <x:c r="N22" s="6" t="n">
        <x:v>0.969</x:v>
      </x:c>
      <x:c r="O22" s="1" t="str">
        <x:v>합격</x:v>
      </x:c>
      <x:c r="P22" s="1"/>
      <x:c r="Q22" s="1" t="n">
        <x:v>49</x:v>
      </x:c>
      <x:c r="R22" s="1" t="str">
        <x:v>N</x:v>
      </x:c>
      <x:c r="S22" s="1" t="n">
        <x:v>0</x:v>
      </x:c>
      <x:c r="T22" s="1" t="str">
        <x:v>합격</x:v>
      </x:c>
    </x:row>
    <x:row r="23" ht="22" customHeight="1">
      <x:c r="A23" s="1" t="str">
        <x:v>R00022</x:v>
      </x:c>
      <x:c r="B23" s="4" t="n">
        <x:v>46225.90290509259</x:v>
      </x:c>
      <x:c r="C23" s="1" t="str">
        <x:v>야간</x:v>
      </x:c>
      <x:c r="D23" s="1" t="str">
        <x:v>L2</x:v>
      </x:c>
      <x:c r="E23" s="1" t="str">
        <x:v>P2</x:v>
      </x:c>
      <x:c r="F23" s="1" t="str">
        <x:v>M01</x:v>
      </x:c>
      <x:c r="G23" s="1" t="str">
        <x:v>G04</x:v>
      </x:c>
      <x:c r="H23" s="5" t="n">
        <x:v>29.51</x:v>
      </x:c>
      <x:c r="I23" s="5" t="n">
        <x:v>5.67</x:v>
      </x:c>
      <x:c r="J23" s="5" t="n">
        <x:v>53.2</x:v>
      </x:c>
      <x:c r="K23" s="5" t="n">
        <x:v>38.9</x:v>
      </x:c>
      <x:c r="L23" s="5" t="n">
        <x:v>2.38</x:v>
      </x:c>
      <x:c r="M23" s="1" t="n">
        <x:v>1</x:v>
      </x:c>
      <x:c r="N23" s="6" t="n">
        <x:v>0.876</x:v>
      </x:c>
      <x:c r="O23" s="1" t="str">
        <x:v>합격</x:v>
      </x:c>
      <x:c r="P23" s="1"/>
      <x:c r="Q23" s="1" t="n">
        <x:v>41</x:v>
      </x:c>
      <x:c r="R23" s="1" t="str">
        <x:v>N</x:v>
      </x:c>
      <x:c r="S23" s="1" t="n">
        <x:v>0</x:v>
      </x:c>
      <x:c r="T23" s="1" t="str">
        <x:v>합격</x:v>
      </x:c>
    </x:row>
    <x:row r="24" ht="22" customHeight="1">
      <x:c r="A24" s="1" t="str">
        <x:v>R00023</x:v>
      </x:c>
      <x:c r="B24" s="4" t="n">
        <x:v>46226.16253472222</x:v>
      </x:c>
      <x:c r="C24" s="1" t="str">
        <x:v>야간</x:v>
      </x:c>
      <x:c r="D24" s="1" t="str">
        <x:v>L2</x:v>
      </x:c>
      <x:c r="E24" s="1" t="str">
        <x:v>P2</x:v>
      </x:c>
      <x:c r="F24" s="1" t="str">
        <x:v>M01</x:v>
      </x:c>
      <x:c r="G24" s="1" t="str">
        <x:v>G05</x:v>
      </x:c>
      <x:c r="H24" s="5" t="n">
        <x:v>30.45</x:v>
      </x:c>
      <x:c r="I24" s="5" t="n">
        <x:v>5.63</x:v>
      </x:c>
      <x:c r="J24" s="5" t="n">
        <x:v>56.2</x:v>
      </x:c>
      <x:c r="K24" s="5" t="n">
        <x:v>39.8</x:v>
      </x:c>
      <x:c r="L24" s="5" t="n">
        <x:v>2.49</x:v>
      </x:c>
      <x:c r="M24" s="1" t="n">
        <x:v>1</x:v>
      </x:c>
      <x:c r="N24" s="6" t="n">
        <x:v>0.934</x:v>
      </x:c>
      <x:c r="O24" s="1" t="str">
        <x:v>합격</x:v>
      </x:c>
      <x:c r="P24" s="1"/>
      <x:c r="Q24" s="1" t="n">
        <x:v>35</x:v>
      </x:c>
      <x:c r="R24" s="1" t="str">
        <x:v>N</x:v>
      </x:c>
      <x:c r="S24" s="1" t="n">
        <x:v>0</x:v>
      </x:c>
      <x:c r="T24" s="1" t="str">
        <x:v>합격</x:v>
      </x:c>
    </x:row>
    <x:row r="25" ht="22" customHeight="1">
      <x:c r="A25" s="1" t="str">
        <x:v>R00024</x:v>
      </x:c>
      <x:c r="B25" s="4" t="n">
        <x:v>46227.893055555556</x:v>
      </x:c>
      <x:c r="C25" s="1" t="str">
        <x:v>야간</x:v>
      </x:c>
      <x:c r="D25" s="1" t="str">
        <x:v>L2</x:v>
      </x:c>
      <x:c r="E25" s="1" t="str">
        <x:v>P2</x:v>
      </x:c>
      <x:c r="F25" s="1" t="str">
        <x:v>M01</x:v>
      </x:c>
      <x:c r="G25" s="1" t="str">
        <x:v>G06</x:v>
      </x:c>
      <x:c r="H25" s="5" t="n">
        <x:v>27.85</x:v>
      </x:c>
      <x:c r="I25" s="5" t="n">
        <x:v>5.69</x:v>
      </x:c>
      <x:c r="J25" s="5" t="n">
        <x:v>48.8</x:v>
      </x:c>
      <x:c r="K25" s="5" t="n">
        <x:v>37.9</x:v>
      </x:c>
      <x:c r="L25" s="5" t="n">
        <x:v>1.43</x:v>
      </x:c>
      <x:c r="M25" s="1" t="n">
        <x:v>0</x:v>
      </x:c>
      <x:c r="N25" s="6" t="n">
        <x:v>1.018</x:v>
      </x:c>
      <x:c r="O25" s="1" t="str">
        <x:v>합격</x:v>
      </x:c>
      <x:c r="P25" s="1"/>
      <x:c r="Q25" s="1" t="n">
        <x:v>37</x:v>
      </x:c>
      <x:c r="R25" s="1" t="str">
        <x:v>N</x:v>
      </x:c>
      <x:c r="S25" s="1" t="n">
        <x:v>0</x:v>
      </x:c>
      <x:c r="T25" s="1" t="str">
        <x:v>합격</x:v>
      </x:c>
    </x:row>
    <x:row r="26" ht="22" customHeight="1">
      <x:c r="A26" s="1" t="str">
        <x:v>R00025</x:v>
      </x:c>
      <x:c r="B26" s="4" t="n">
        <x:v>46228.639189814814</x:v>
      </x:c>
      <x:c r="C26" s="1" t="str">
        <x:v>주간</x:v>
      </x:c>
      <x:c r="D26" s="1" t="str">
        <x:v>L1</x:v>
      </x:c>
      <x:c r="E26" s="1" t="str">
        <x:v>P1</x:v>
      </x:c>
      <x:c r="F26" s="1" t="str">
        <x:v>M01</x:v>
      </x:c>
      <x:c r="G26" s="1" t="str">
        <x:v>G01</x:v>
      </x:c>
      <x:c r="H26" s="5" t="n">
        <x:v>29.59</x:v>
      </x:c>
      <x:c r="I26" s="5" t="n">
        <x:v>5.85</x:v>
      </x:c>
      <x:c r="J26" s="5" t="n">
        <x:v>53.3</x:v>
      </x:c>
      <x:c r="K26" s="5" t="n">
        <x:v>37.9</x:v>
      </x:c>
      <x:c r="L26" s="5" t="n">
        <x:v>2.12</x:v>
      </x:c>
      <x:c r="M26" s="1" t="n">
        <x:v>1</x:v>
      </x:c>
      <x:c r="N26" s="6" t="n">
        <x:v>0.878</x:v>
      </x:c>
      <x:c r="O26" s="1" t="str">
        <x:v>합격</x:v>
      </x:c>
      <x:c r="P26" s="1"/>
      <x:c r="Q26" s="1" t="n">
        <x:v>45</x:v>
      </x:c>
      <x:c r="R26" s="1" t="str">
        <x:v>N</x:v>
      </x:c>
      <x:c r="S26" s="1" t="n">
        <x:v>0</x:v>
      </x:c>
      <x:c r="T26" s="1" t="str">
        <x:v>합격</x:v>
      </x:c>
    </x:row>
    <x:row r="27" ht="22" customHeight="1">
      <x:c r="A27" s="1" t="str">
        <x:v>R00026</x:v>
      </x:c>
      <x:c r="B27" s="4" t="n">
        <x:v>46229.02875</x:v>
      </x:c>
      <x:c r="C27" s="1" t="str">
        <x:v>야간</x:v>
      </x:c>
      <x:c r="D27" s="1" t="str">
        <x:v>L2</x:v>
      </x:c>
      <x:c r="E27" s="1" t="str">
        <x:v>P2</x:v>
      </x:c>
      <x:c r="F27" s="1" t="str">
        <x:v>M02</x:v>
      </x:c>
      <x:c r="G27" s="1" t="str">
        <x:v>G02</x:v>
      </x:c>
      <x:c r="H27" s="5" t="n">
        <x:v>28</x:v>
      </x:c>
      <x:c r="I27" s="5" t="n">
        <x:v>6</x:v>
      </x:c>
      <x:c r="J27" s="5" t="n">
        <x:v>50.3</x:v>
      </x:c>
      <x:c r="K27" s="5" t="n">
        <x:v>37.1</x:v>
      </x:c>
      <x:c r="L27" s="5" t="n">
        <x:v>1.4</x:v>
      </x:c>
      <x:c r="M27" s="1" t="n">
        <x:v>0</x:v>
      </x:c>
      <x:c r="N27" s="6" t="n">
        <x:v>0.939</x:v>
      </x:c>
      <x:c r="O27" s="1" t="str">
        <x:v>합격</x:v>
      </x:c>
      <x:c r="P27" s="1"/>
      <x:c r="Q27" s="1" t="n">
        <x:v>39</x:v>
      </x:c>
      <x:c r="R27" s="1" t="str">
        <x:v>N</x:v>
      </x:c>
      <x:c r="S27" s="1" t="n">
        <x:v>0</x:v>
      </x:c>
      <x:c r="T27" s="1" t="str">
        <x:v>합격</x:v>
      </x:c>
    </x:row>
    <x:row r="28" ht="22" customHeight="1">
      <x:c r="A28" s="1" t="str">
        <x:v>R00027</x:v>
      </x:c>
      <x:c r="B28" s="4" t="n">
        <x:v>46230.553877314815</x:v>
      </x:c>
      <x:c r="C28" s="1" t="str">
        <x:v>주간</x:v>
      </x:c>
      <x:c r="D28" s="1" t="str">
        <x:v>L1</x:v>
      </x:c>
      <x:c r="E28" s="1" t="str">
        <x:v>P1</x:v>
      </x:c>
      <x:c r="F28" s="1" t="str">
        <x:v>M01</x:v>
      </x:c>
      <x:c r="G28" s="1" t="str">
        <x:v>G03</x:v>
      </x:c>
      <x:c r="H28" s="5" t="n">
        <x:v>31.62</x:v>
      </x:c>
      <x:c r="I28" s="5" t="n">
        <x:v>5.9</x:v>
      </x:c>
      <x:c r="J28" s="5" t="n">
        <x:v>47.7</x:v>
      </x:c>
      <x:c r="K28" s="5" t="n">
        <x:v>40</x:v>
      </x:c>
      <x:c r="L28" s="5" t="n">
        <x:v>2.18</x:v>
      </x:c>
      <x:c r="M28" s="1" t="n">
        <x:v>1</x:v>
      </x:c>
      <x:c r="N28" s="6" t="n">
        <x:v>1.028</x:v>
      </x:c>
      <x:c r="O28" s="1" t="str">
        <x:v>합격</x:v>
      </x:c>
      <x:c r="P28" s="1"/>
      <x:c r="Q28" s="1" t="n">
        <x:v>35</x:v>
      </x:c>
      <x:c r="R28" s="1" t="str">
        <x:v>N</x:v>
      </x:c>
      <x:c r="S28" s="1" t="n">
        <x:v>0</x:v>
      </x:c>
      <x:c r="T28" s="1" t="str">
        <x:v>합격</x:v>
      </x:c>
    </x:row>
    <x:row r="29" ht="22" customHeight="1">
      <x:c r="A29" s="1" t="str">
        <x:v>R00028</x:v>
      </x:c>
      <x:c r="B29" s="4" t="n">
        <x:v>46231.64087962963</x:v>
      </x:c>
      <x:c r="C29" s="1" t="str">
        <x:v>주간</x:v>
      </x:c>
      <x:c r="D29" s="1" t="str">
        <x:v>L1</x:v>
      </x:c>
      <x:c r="E29" s="1" t="str">
        <x:v>P1</x:v>
      </x:c>
      <x:c r="F29" s="1" t="str">
        <x:v>M01</x:v>
      </x:c>
      <x:c r="G29" s="1" t="str">
        <x:v>G04</x:v>
      </x:c>
      <x:c r="H29" s="5" t="n">
        <x:v>30.88</x:v>
      </x:c>
      <x:c r="I29" s="5" t="n">
        <x:v>5.78</x:v>
      </x:c>
      <x:c r="J29" s="5" t="n">
        <x:v>49.7</x:v>
      </x:c>
      <x:c r="K29" s="5" t="n">
        <x:v>36</x:v>
      </x:c>
      <x:c r="L29" s="5" t="n">
        <x:v>2.17</x:v>
      </x:c>
      <x:c r="M29" s="1" t="n">
        <x:v>1</x:v>
      </x:c>
      <x:c r="N29" s="6" t="n">
        <x:v>0.993</x:v>
      </x:c>
      <x:c r="O29" s="1" t="str">
        <x:v>합격</x:v>
      </x:c>
      <x:c r="P29" s="1"/>
      <x:c r="Q29" s="1" t="n">
        <x:v>48</x:v>
      </x:c>
      <x:c r="R29" s="1" t="str">
        <x:v>N</x:v>
      </x:c>
      <x:c r="S29" s="1" t="n">
        <x:v>0</x:v>
      </x:c>
      <x:c r="T29" s="1" t="str">
        <x:v>합격</x:v>
      </x:c>
    </x:row>
    <x:row r="30" ht="22" customHeight="1">
      <x:c r="A30" s="1" t="str">
        <x:v>R00029</x:v>
      </x:c>
      <x:c r="B30" s="4" t="n">
        <x:v>46232.39606481481</x:v>
      </x:c>
      <x:c r="C30" s="1" t="str">
        <x:v>주간</x:v>
      </x:c>
      <x:c r="D30" s="1" t="str">
        <x:v>L1</x:v>
      </x:c>
      <x:c r="E30" s="1" t="str">
        <x:v>P1</x:v>
      </x:c>
      <x:c r="F30" s="1" t="str">
        <x:v>M01</x:v>
      </x:c>
      <x:c r="G30" s="1" t="str">
        <x:v>G05</x:v>
      </x:c>
      <x:c r="H30" s="5" t="n">
        <x:v>28.46</x:v>
      </x:c>
      <x:c r="I30" s="5" t="n">
        <x:v>5.93</x:v>
      </x:c>
      <x:c r="J30" s="5" t="n">
        <x:v>58.5</x:v>
      </x:c>
      <x:c r="K30" s="5" t="n">
        <x:v>36.1</x:v>
      </x:c>
      <x:c r="L30" s="5" t="n">
        <x:v>2.66</x:v>
      </x:c>
      <x:c r="M30" s="1" t="n">
        <x:v>0</x:v>
      </x:c>
      <x:c r="N30" s="6" t="n">
        <x:v>1.018</x:v>
      </x:c>
      <x:c r="O30" s="1" t="str">
        <x:v>합격</x:v>
      </x:c>
      <x:c r="P30" s="1"/>
      <x:c r="Q30" s="1" t="n">
        <x:v>43</x:v>
      </x:c>
      <x:c r="R30" s="1" t="str">
        <x:v>N</x:v>
      </x:c>
      <x:c r="S30" s="1" t="n">
        <x:v>0</x:v>
      </x:c>
      <x:c r="T30" s="1" t="str">
        <x:v>합격</x:v>
      </x:c>
    </x:row>
    <x:row r="31" ht="22" customHeight="1">
      <x:c r="A31" s="1" t="str">
        <x:v>R00030</x:v>
      </x:c>
      <x:c r="B31" s="4" t="n">
        <x:v>46233.38097222222</x:v>
      </x:c>
      <x:c r="C31" s="1" t="str">
        <x:v>주간</x:v>
      </x:c>
      <x:c r="D31" s="1" t="str">
        <x:v>L2</x:v>
      </x:c>
      <x:c r="E31" s="1" t="str">
        <x:v>P2</x:v>
      </x:c>
      <x:c r="F31" s="1" t="str">
        <x:v>M02</x:v>
      </x:c>
      <x:c r="G31" s="1" t="str">
        <x:v>G06</x:v>
      </x:c>
      <x:c r="H31" s="5" t="n">
        <x:v>31.01</x:v>
      </x:c>
      <x:c r="I31" s="5" t="n">
        <x:v>5.77</x:v>
      </x:c>
      <x:c r="J31" s="5" t="n">
        <x:v>55.2</x:v>
      </x:c>
      <x:c r="K31" s="5" t="n">
        <x:v>38.4</x:v>
      </x:c>
      <x:c r="L31" s="5" t="n">
        <x:v>1.36</x:v>
      </x:c>
      <x:c r="M31" s="1" t="n">
        <x:v>1</x:v>
      </x:c>
      <x:c r="N31" s="6" t="n">
        <x:v>0.929</x:v>
      </x:c>
      <x:c r="O31" s="1" t="str">
        <x:v>합격</x:v>
      </x:c>
      <x:c r="P31" s="1"/>
      <x:c r="Q31" s="1" t="n">
        <x:v>46</x:v>
      </x:c>
      <x:c r="R31" s="1" t="str">
        <x:v>N</x:v>
      </x:c>
      <x:c r="S31" s="1" t="n">
        <x:v>0</x:v>
      </x:c>
      <x:c r="T31" s="1" t="str">
        <x:v>합격</x:v>
      </x:c>
    </x:row>
    <x:row r="32" ht="22" customHeight="1">
      <x:c r="A32" s="1" t="str">
        <x:v>R00031</x:v>
      </x:c>
      <x:c r="B32" s="4" t="n">
        <x:v>46234.40806712963</x:v>
      </x:c>
      <x:c r="C32" s="1" t="str">
        <x:v>주간</x:v>
      </x:c>
      <x:c r="D32" s="1" t="str">
        <x:v>L1</x:v>
      </x:c>
      <x:c r="E32" s="1" t="str">
        <x:v>P1</x:v>
      </x:c>
      <x:c r="F32" s="1" t="str">
        <x:v>M01</x:v>
      </x:c>
      <x:c r="G32" s="1" t="str">
        <x:v>G01</x:v>
      </x:c>
      <x:c r="H32" s="5" t="n">
        <x:v>28.48</x:v>
      </x:c>
      <x:c r="I32" s="5" t="n">
        <x:v>5.98</x:v>
      </x:c>
      <x:c r="J32" s="5" t="n">
        <x:v>58.7</x:v>
      </x:c>
      <x:c r="K32" s="5" t="n">
        <x:v>39.4</x:v>
      </x:c>
      <x:c r="L32" s="5" t="n">
        <x:v>2.59</x:v>
      </x:c>
      <x:c r="M32" s="1" t="n">
        <x:v>0</x:v>
      </x:c>
      <x:c r="N32" s="6" t="n">
        <x:v>0.874</x:v>
      </x:c>
      <x:c r="O32" s="1" t="str">
        <x:v>합격</x:v>
      </x:c>
      <x:c r="P32" s="1"/>
      <x:c r="Q32" s="1" t="n">
        <x:v>46</x:v>
      </x:c>
      <x:c r="R32" s="1" t="str">
        <x:v>N</x:v>
      </x:c>
      <x:c r="S32" s="1" t="n">
        <x:v>0</x:v>
      </x:c>
      <x:c r="T32" s="1" t="str">
        <x:v>합격</x:v>
      </x:c>
    </x:row>
    <x:row r="33" ht="22" customHeight="1">
      <x:c r="A33" s="1" t="str">
        <x:v>R00032</x:v>
      </x:c>
      <x:c r="B33" s="4" t="n">
        <x:v>46204.848020833335</x:v>
      </x:c>
      <x:c r="C33" s="1" t="str">
        <x:v>야간</x:v>
      </x:c>
      <x:c r="D33" s="1" t="str">
        <x:v>L1</x:v>
      </x:c>
      <x:c r="E33" s="1" t="str">
        <x:v>P1</x:v>
      </x:c>
      <x:c r="F33" s="1" t="str">
        <x:v>M04</x:v>
      </x:c>
      <x:c r="G33" s="1" t="str">
        <x:v>G02</x:v>
      </x:c>
      <x:c r="H33" s="5" t="n">
        <x:v>28.3</x:v>
      </x:c>
      <x:c r="I33" s="5" t="n">
        <x:v>5.87</x:v>
      </x:c>
      <x:c r="J33" s="5" t="n">
        <x:v>47.9</x:v>
      </x:c>
      <x:c r="K33" s="5" t="n">
        <x:v>40.9</x:v>
      </x:c>
      <x:c r="L33" s="5" t="n">
        <x:v>2.29</x:v>
      </x:c>
      <x:c r="M33" s="1" t="n">
        <x:v>0</x:v>
      </x:c>
      <x:c r="N33" s="6" t="n">
        <x:v>1.015</x:v>
      </x:c>
      <x:c r="O33" s="1" t="str">
        <x:v>합격</x:v>
      </x:c>
      <x:c r="P33" s="1"/>
      <x:c r="Q33" s="1" t="n">
        <x:v>45</x:v>
      </x:c>
      <x:c r="R33" s="1" t="str">
        <x:v>N</x:v>
      </x:c>
      <x:c r="S33" s="1" t="n">
        <x:v>0</x:v>
      </x:c>
      <x:c r="T33" s="1" t="str">
        <x:v>합격</x:v>
      </x:c>
    </x:row>
    <x:row r="34" ht="22" customHeight="1">
      <x:c r="A34" s="1" t="str">
        <x:v>R00033</x:v>
      </x:c>
      <x:c r="B34" s="4" t="n">
        <x:v>46205.54974537037</x:v>
      </x:c>
      <x:c r="C34" s="1" t="str">
        <x:v>주간</x:v>
      </x:c>
      <x:c r="D34" s="1" t="str">
        <x:v>L1</x:v>
      </x:c>
      <x:c r="E34" s="1" t="str">
        <x:v>P1</x:v>
      </x:c>
      <x:c r="F34" s="1" t="str">
        <x:v>M03</x:v>
      </x:c>
      <x:c r="G34" s="1" t="str">
        <x:v>G03</x:v>
      </x:c>
      <x:c r="H34" s="5" t="n">
        <x:v>28.31</x:v>
      </x:c>
      <x:c r="I34" s="5" t="n">
        <x:v>5.84</x:v>
      </x:c>
      <x:c r="J34" s="5" t="n">
        <x:v>47.2</x:v>
      </x:c>
      <x:c r="K34" s="5" t="n">
        <x:v>37.6</x:v>
      </x:c>
      <x:c r="L34" s="5" t="n">
        <x:v>2.49</x:v>
      </x:c>
      <x:c r="M34" s="1" t="n">
        <x:v>1</x:v>
      </x:c>
      <x:c r="N34" s="6" t="n">
        <x:v>0.877</x:v>
      </x:c>
      <x:c r="O34" s="1" t="str">
        <x:v>합격</x:v>
      </x:c>
      <x:c r="P34" s="1"/>
      <x:c r="Q34" s="1" t="n">
        <x:v>46</x:v>
      </x:c>
      <x:c r="R34" s="1" t="str">
        <x:v>N</x:v>
      </x:c>
      <x:c r="S34" s="1" t="n">
        <x:v>0</x:v>
      </x:c>
      <x:c r="T34" s="1" t="str">
        <x:v>합격</x:v>
      </x:c>
    </x:row>
    <x:row r="35" ht="22" customHeight="1">
      <x:c r="A35" s="1" t="str">
        <x:v>R00034</x:v>
      </x:c>
      <x:c r="B35" s="4" t="n">
        <x:v>46206.424363425926</x:v>
      </x:c>
      <x:c r="C35" s="1" t="str">
        <x:v>주간</x:v>
      </x:c>
      <x:c r="D35" s="1" t="str">
        <x:v>L1</x:v>
      </x:c>
      <x:c r="E35" s="1" t="str">
        <x:v>P1</x:v>
      </x:c>
      <x:c r="F35" s="1" t="str">
        <x:v>M03</x:v>
      </x:c>
      <x:c r="G35" s="1" t="str">
        <x:v>G04</x:v>
      </x:c>
      <x:c r="H35" s="5" t="n">
        <x:v>30.56</x:v>
      </x:c>
      <x:c r="I35" s="5" t="n">
        <x:v>5.75</x:v>
      </x:c>
      <x:c r="J35" s="5" t="n">
        <x:v>50.6</x:v>
      </x:c>
      <x:c r="K35" s="5" t="n">
        <x:v>37.7</x:v>
      </x:c>
      <x:c r="L35" s="5" t="n">
        <x:v>1.76</x:v>
      </x:c>
      <x:c r="M35" s="1" t="n">
        <x:v>1</x:v>
      </x:c>
      <x:c r="N35" s="6" t="n">
        <x:v>0.872</x:v>
      </x:c>
      <x:c r="O35" s="1" t="str">
        <x:v>합격</x:v>
      </x:c>
      <x:c r="P35" s="1"/>
      <x:c r="Q35" s="1" t="n">
        <x:v>44</x:v>
      </x:c>
      <x:c r="R35" s="1" t="str">
        <x:v>N</x:v>
      </x:c>
      <x:c r="S35" s="1" t="n">
        <x:v>0</x:v>
      </x:c>
      <x:c r="T35" s="1" t="str">
        <x:v>합격</x:v>
      </x:c>
    </x:row>
    <x:row r="36" ht="22" customHeight="1">
      <x:c r="A36" s="1" t="str">
        <x:v>R00035</x:v>
      </x:c>
      <x:c r="B36" s="4" t="n">
        <x:v>46207.07270833333</x:v>
      </x:c>
      <x:c r="C36" s="1" t="str">
        <x:v>야간</x:v>
      </x:c>
      <x:c r="D36" s="1" t="str">
        <x:v>L1</x:v>
      </x:c>
      <x:c r="E36" s="1" t="str">
        <x:v>P1</x:v>
      </x:c>
      <x:c r="F36" s="1" t="str">
        <x:v>M04</x:v>
      </x:c>
      <x:c r="G36" s="1" t="str">
        <x:v>G05</x:v>
      </x:c>
      <x:c r="H36" s="5" t="n">
        <x:v>30.28</x:v>
      </x:c>
      <x:c r="I36" s="5" t="n">
        <x:v>5.6</x:v>
      </x:c>
      <x:c r="J36" s="5" t="n">
        <x:v>53.1</x:v>
      </x:c>
      <x:c r="K36" s="5" t="n">
        <x:v>41.7</x:v>
      </x:c>
      <x:c r="L36" s="5" t="n">
        <x:v>1.55</x:v>
      </x:c>
      <x:c r="M36" s="1" t="n">
        <x:v>1</x:v>
      </x:c>
      <x:c r="N36" s="6" t="n">
        <x:v>0.916</x:v>
      </x:c>
      <x:c r="O36" s="1" t="str">
        <x:v>합격</x:v>
      </x:c>
      <x:c r="P36" s="1"/>
      <x:c r="Q36" s="1" t="n">
        <x:v>45</x:v>
      </x:c>
      <x:c r="R36" s="1" t="str">
        <x:v>N</x:v>
      </x:c>
      <x:c r="S36" s="1" t="n">
        <x:v>0</x:v>
      </x:c>
      <x:c r="T36" s="1" t="str">
        <x:v>합격</x:v>
      </x:c>
    </x:row>
    <x:row r="37" ht="22" customHeight="1">
      <x:c r="A37" s="1" t="str">
        <x:v>R00036</x:v>
      </x:c>
      <x:c r="B37" s="4" t="n">
        <x:v>46208.054027777776</x:v>
      </x:c>
      <x:c r="C37" s="1" t="str">
        <x:v>야간</x:v>
      </x:c>
      <x:c r="D37" s="1" t="str">
        <x:v>L2</x:v>
      </x:c>
      <x:c r="E37" s="1" t="str">
        <x:v>P2</x:v>
      </x:c>
      <x:c r="F37" s="1" t="str">
        <x:v>M02</x:v>
      </x:c>
      <x:c r="G37" s="1" t="str">
        <x:v>G06</x:v>
      </x:c>
      <x:c r="H37" s="5" t="n">
        <x:v>30.71</x:v>
      </x:c>
      <x:c r="I37" s="5" t="n">
        <x:v>5.83</x:v>
      </x:c>
      <x:c r="J37" s="5" t="n">
        <x:v>56.4</x:v>
      </x:c>
      <x:c r="K37" s="5" t="n">
        <x:v>39.2</x:v>
      </x:c>
      <x:c r="L37" s="5" t="n">
        <x:v>2.69</x:v>
      </x:c>
      <x:c r="M37" s="1" t="n">
        <x:v>0</x:v>
      </x:c>
      <x:c r="N37" s="6" t="n">
        <x:v>0.875</x:v>
      </x:c>
      <x:c r="O37" s="1" t="str">
        <x:v>합격</x:v>
      </x:c>
      <x:c r="P37" s="1"/>
      <x:c r="Q37" s="1" t="n">
        <x:v>45</x:v>
      </x:c>
      <x:c r="R37" s="1" t="str">
        <x:v>N</x:v>
      </x:c>
      <x:c r="S37" s="1" t="n">
        <x:v>0</x:v>
      </x:c>
      <x:c r="T37" s="1" t="str">
        <x:v>합격</x:v>
      </x:c>
    </x:row>
    <x:row r="38" ht="22" customHeight="1">
      <x:c r="A38" s="1" t="str">
        <x:v>R00037</x:v>
      </x:c>
      <x:c r="B38" s="4" t="n">
        <x:v>46209.49695601852</x:v>
      </x:c>
      <x:c r="C38" s="1" t="str">
        <x:v>주간</x:v>
      </x:c>
      <x:c r="D38" s="1" t="str">
        <x:v>L1</x:v>
      </x:c>
      <x:c r="E38" s="1" t="str">
        <x:v>P1</x:v>
      </x:c>
      <x:c r="F38" s="1" t="str">
        <x:v>M03</x:v>
      </x:c>
      <x:c r="G38" s="1" t="str">
        <x:v>G01</x:v>
      </x:c>
      <x:c r="H38" s="5" t="n">
        <x:v>32.33</x:v>
      </x:c>
      <x:c r="I38" s="5" t="n">
        <x:v>5.93</x:v>
      </x:c>
      <x:c r="J38" s="5" t="n">
        <x:v>53.7</x:v>
      </x:c>
      <x:c r="K38" s="5" t="n">
        <x:v>41</x:v>
      </x:c>
      <x:c r="L38" s="5" t="n">
        <x:v>1.44</x:v>
      </x:c>
      <x:c r="M38" s="1" t="n">
        <x:v>1</x:v>
      </x:c>
      <x:c r="N38" s="6" t="n">
        <x:v>1.047</x:v>
      </x:c>
      <x:c r="O38" s="1" t="str">
        <x:v>합격</x:v>
      </x:c>
      <x:c r="P38" s="1"/>
      <x:c r="Q38" s="1" t="n">
        <x:v>35</x:v>
      </x:c>
      <x:c r="R38" s="1" t="str">
        <x:v>N</x:v>
      </x:c>
      <x:c r="S38" s="1" t="n">
        <x:v>0</x:v>
      </x:c>
      <x:c r="T38" s="1" t="str">
        <x:v>합격</x:v>
      </x:c>
    </x:row>
    <x:row r="39" ht="22" customHeight="1">
      <x:c r="A39" s="1" t="str">
        <x:v>R00038</x:v>
      </x:c>
      <x:c r="B39" s="4" t="n">
        <x:v>46210.47944444444</x:v>
      </x:c>
      <x:c r="C39" s="1" t="str">
        <x:v>주간</x:v>
      </x:c>
      <x:c r="D39" s="1" t="str">
        <x:v>L2</x:v>
      </x:c>
      <x:c r="E39" s="1" t="str">
        <x:v>P2</x:v>
      </x:c>
      <x:c r="F39" s="1" t="str">
        <x:v>M02</x:v>
      </x:c>
      <x:c r="G39" s="1" t="str">
        <x:v>G02</x:v>
      </x:c>
      <x:c r="H39" s="5" t="n">
        <x:v>28.12</x:v>
      </x:c>
      <x:c r="I39" s="5" t="n">
        <x:v>5.94</x:v>
      </x:c>
      <x:c r="J39" s="5" t="n">
        <x:v>49.1</x:v>
      </x:c>
      <x:c r="K39" s="5" t="n">
        <x:v>41.2</x:v>
      </x:c>
      <x:c r="L39" s="5" t="n">
        <x:v>2.1</x:v>
      </x:c>
      <x:c r="M39" s="1" t="n">
        <x:v>0</x:v>
      </x:c>
      <x:c r="N39" s="6" t="n">
        <x:v>0.955</x:v>
      </x:c>
      <x:c r="O39" s="1" t="str">
        <x:v>합격</x:v>
      </x:c>
      <x:c r="P39" s="1"/>
      <x:c r="Q39" s="1" t="n">
        <x:v>40</x:v>
      </x:c>
      <x:c r="R39" s="1" t="str">
        <x:v>N</x:v>
      </x:c>
      <x:c r="S39" s="1" t="n">
        <x:v>0</x:v>
      </x:c>
      <x:c r="T39" s="1" t="str">
        <x:v>합격</x:v>
      </x:c>
    </x:row>
    <x:row r="40" ht="22" customHeight="1">
      <x:c r="A40" s="1" t="str">
        <x:v>R00039</x:v>
      </x:c>
      <x:c r="B40" s="4" t="n">
        <x:v>46211.024375</x:v>
      </x:c>
      <x:c r="C40" s="1" t="str">
        <x:v>야간</x:v>
      </x:c>
      <x:c r="D40" s="1" t="str">
        <x:v>L2</x:v>
      </x:c>
      <x:c r="E40" s="1" t="str">
        <x:v>P2</x:v>
      </x:c>
      <x:c r="F40" s="1" t="str">
        <x:v>M02</x:v>
      </x:c>
      <x:c r="G40" s="1" t="str">
        <x:v>G03</x:v>
      </x:c>
      <x:c r="H40" s="5" t="n">
        <x:v>30.54</x:v>
      </x:c>
      <x:c r="I40" s="5" t="n">
        <x:v>5.62</x:v>
      </x:c>
      <x:c r="J40" s="5" t="n">
        <x:v>55.8</x:v>
      </x:c>
      <x:c r="K40" s="5" t="n">
        <x:v>35.7</x:v>
      </x:c>
      <x:c r="L40" s="5" t="n">
        <x:v>2.2</x:v>
      </x:c>
      <x:c r="M40" s="1" t="n">
        <x:v>1</x:v>
      </x:c>
      <x:c r="N40" s="6" t="n">
        <x:v>0.946</x:v>
      </x:c>
      <x:c r="O40" s="1" t="str">
        <x:v>합격</x:v>
      </x:c>
      <x:c r="P40" s="1"/>
      <x:c r="Q40" s="1" t="n">
        <x:v>41</x:v>
      </x:c>
      <x:c r="R40" s="1" t="str">
        <x:v>N</x:v>
      </x:c>
      <x:c r="S40" s="1" t="n">
        <x:v>0</x:v>
      </x:c>
      <x:c r="T40" s="1" t="str">
        <x:v>합격</x:v>
      </x:c>
    </x:row>
    <x:row r="41" ht="22" customHeight="1">
      <x:c r="A41" s="1" t="str">
        <x:v>R00040</x:v>
      </x:c>
      <x:c r="B41" s="4" t="n">
        <x:v>46212.83862268519</x:v>
      </x:c>
      <x:c r="C41" s="1" t="str">
        <x:v>야간</x:v>
      </x:c>
      <x:c r="D41" s="1" t="str">
        <x:v>L1</x:v>
      </x:c>
      <x:c r="E41" s="1" t="str">
        <x:v>P1</x:v>
      </x:c>
      <x:c r="F41" s="1" t="str">
        <x:v>M03</x:v>
      </x:c>
      <x:c r="G41" s="1" t="str">
        <x:v>G04</x:v>
      </x:c>
      <x:c r="H41" s="5" t="n">
        <x:v>26.44</x:v>
      </x:c>
      <x:c r="I41" s="5" t="n">
        <x:v>5.8</x:v>
      </x:c>
      <x:c r="J41" s="5" t="n">
        <x:v>53</x:v>
      </x:c>
      <x:c r="K41" s="5" t="n">
        <x:v>38.1</x:v>
      </x:c>
      <x:c r="L41" s="5" t="n">
        <x:v>2.23</x:v>
      </x:c>
      <x:c r="M41" s="1" t="n">
        <x:v>1</x:v>
      </x:c>
      <x:c r="N41" s="6" t="n">
        <x:v>1.028</x:v>
      </x:c>
      <x:c r="O41" s="1" t="str">
        <x:v>합격</x:v>
      </x:c>
      <x:c r="P41" s="1"/>
      <x:c r="Q41" s="1" t="n">
        <x:v>43</x:v>
      </x:c>
      <x:c r="R41" s="1" t="str">
        <x:v>N</x:v>
      </x:c>
      <x:c r="S41" s="1" t="n">
        <x:v>0</x:v>
      </x:c>
      <x:c r="T41" s="1" t="str">
        <x:v>합격</x:v>
      </x:c>
    </x:row>
    <x:row r="42" ht="22" customHeight="1">
      <x:c r="A42" s="1" t="str">
        <x:v>R00041</x:v>
      </x:c>
      <x:c r="B42" s="4" t="n">
        <x:v>46213.62152777778</x:v>
      </x:c>
      <x:c r="C42" s="1" t="str">
        <x:v>주간</x:v>
      </x:c>
      <x:c r="D42" s="1" t="str">
        <x:v>L2</x:v>
      </x:c>
      <x:c r="E42" s="1" t="str">
        <x:v>P2</x:v>
      </x:c>
      <x:c r="F42" s="1" t="str">
        <x:v>M04</x:v>
      </x:c>
      <x:c r="G42" s="1" t="str">
        <x:v>G05</x:v>
      </x:c>
      <x:c r="H42" s="5" t="n">
        <x:v>27.47</x:v>
      </x:c>
      <x:c r="I42" s="5" t="n">
        <x:v>5.92</x:v>
      </x:c>
      <x:c r="J42" s="5" t="n">
        <x:v>55</x:v>
      </x:c>
      <x:c r="K42" s="5" t="n">
        <x:v>41.9</x:v>
      </x:c>
      <x:c r="L42" s="5" t="n">
        <x:v>2.56</x:v>
      </x:c>
      <x:c r="M42" s="1" t="n">
        <x:v>1</x:v>
      </x:c>
      <x:c r="N42" s="6" t="n">
        <x:v>0.92</x:v>
      </x:c>
      <x:c r="O42" s="1" t="str">
        <x:v>합격</x:v>
      </x:c>
      <x:c r="P42" s="1"/>
      <x:c r="Q42" s="1" t="n">
        <x:v>45</x:v>
      </x:c>
      <x:c r="R42" s="1" t="str">
        <x:v>N</x:v>
      </x:c>
      <x:c r="S42" s="1" t="n">
        <x:v>0</x:v>
      </x:c>
      <x:c r="T42" s="1" t="str">
        <x:v>합격</x:v>
      </x:c>
    </x:row>
    <x:row r="43" ht="22" customHeight="1">
      <x:c r="A43" s="1" t="str">
        <x:v>R00042</x:v>
      </x:c>
      <x:c r="B43" s="4" t="n">
        <x:v>46214.134351851855</x:v>
      </x:c>
      <x:c r="C43" s="1" t="str">
        <x:v>야간</x:v>
      </x:c>
      <x:c r="D43" s="1" t="str">
        <x:v>L1</x:v>
      </x:c>
      <x:c r="E43" s="1" t="str">
        <x:v>P1</x:v>
      </x:c>
      <x:c r="F43" s="1" t="str">
        <x:v>M04</x:v>
      </x:c>
      <x:c r="G43" s="1" t="str">
        <x:v>G06</x:v>
      </x:c>
      <x:c r="H43" s="5" t="n">
        <x:v>28.31</x:v>
      </x:c>
      <x:c r="I43" s="5" t="n">
        <x:v>5.71</x:v>
      </x:c>
      <x:c r="J43" s="5" t="n">
        <x:v>53</x:v>
      </x:c>
      <x:c r="K43" s="5" t="n">
        <x:v>40.3</x:v>
      </x:c>
      <x:c r="L43" s="5" t="n">
        <x:v>2</x:v>
      </x:c>
      <x:c r="M43" s="1" t="n">
        <x:v>1</x:v>
      </x:c>
      <x:c r="N43" s="6" t="n">
        <x:v>0.952</x:v>
      </x:c>
      <x:c r="O43" s="1" t="str">
        <x:v>합격</x:v>
      </x:c>
      <x:c r="P43" s="1"/>
      <x:c r="Q43" s="1" t="n">
        <x:v>40</x:v>
      </x:c>
      <x:c r="R43" s="1" t="str">
        <x:v>N</x:v>
      </x:c>
      <x:c r="S43" s="1" t="n">
        <x:v>0</x:v>
      </x:c>
      <x:c r="T43" s="1" t="str">
        <x:v>합격</x:v>
      </x:c>
    </x:row>
    <x:row r="44" ht="22" customHeight="1">
      <x:c r="A44" s="1" t="str">
        <x:v>R00043</x:v>
      </x:c>
      <x:c r="B44" s="4" t="n">
        <x:v>46215.55159722222</x:v>
      </x:c>
      <x:c r="C44" s="1" t="str">
        <x:v>주간</x:v>
      </x:c>
      <x:c r="D44" s="1" t="str">
        <x:v>L2</x:v>
      </x:c>
      <x:c r="E44" s="1" t="str">
        <x:v>P2</x:v>
      </x:c>
      <x:c r="F44" s="1" t="str">
        <x:v>M02</x:v>
      </x:c>
      <x:c r="G44" s="1" t="str">
        <x:v>G01</x:v>
      </x:c>
      <x:c r="H44" s="5" t="n">
        <x:v>32.21</x:v>
      </x:c>
      <x:c r="I44" s="5" t="n">
        <x:v>5.85</x:v>
      </x:c>
      <x:c r="J44" s="5" t="n">
        <x:v>50.2</x:v>
      </x:c>
      <x:c r="K44" s="5" t="n">
        <x:v>36.5</x:v>
      </x:c>
      <x:c r="L44" s="5" t="n">
        <x:v>2.03</x:v>
      </x:c>
      <x:c r="M44" s="1" t="n">
        <x:v>1</x:v>
      </x:c>
      <x:c r="N44" s="6" t="n">
        <x:v>0.977</x:v>
      </x:c>
      <x:c r="O44" s="1" t="str">
        <x:v>합격</x:v>
      </x:c>
      <x:c r="P44" s="1"/>
      <x:c r="Q44" s="1" t="n">
        <x:v>38</x:v>
      </x:c>
      <x:c r="R44" s="1" t="str">
        <x:v>N</x:v>
      </x:c>
      <x:c r="S44" s="1" t="n">
        <x:v>0</x:v>
      </x:c>
      <x:c r="T44" s="1" t="str">
        <x:v>합격</x:v>
      </x:c>
    </x:row>
    <x:row r="45" ht="22" customHeight="1">
      <x:c r="A45" s="1" t="str">
        <x:v>R00044</x:v>
      </x:c>
      <x:c r="B45" s="4" t="n">
        <x:v>46216.49517361111</x:v>
      </x:c>
      <x:c r="C45" s="1" t="str">
        <x:v>주간</x:v>
      </x:c>
      <x:c r="D45" s="1" t="str">
        <x:v>L1</x:v>
      </x:c>
      <x:c r="E45" s="1" t="str">
        <x:v>P1</x:v>
      </x:c>
      <x:c r="F45" s="1" t="str">
        <x:v>M01</x:v>
      </x:c>
      <x:c r="G45" s="1" t="str">
        <x:v>G02</x:v>
      </x:c>
      <x:c r="H45" s="5" t="n">
        <x:v>29.41</x:v>
      </x:c>
      <x:c r="I45" s="5" t="n">
        <x:v>5.75</x:v>
      </x:c>
      <x:c r="J45" s="5" t="n">
        <x:v>56</x:v>
      </x:c>
      <x:c r="K45" s="5" t="n">
        <x:v>39.8</x:v>
      </x:c>
      <x:c r="L45" s="5" t="n">
        <x:v>2.01</x:v>
      </x:c>
      <x:c r="M45" s="1" t="n">
        <x:v>0</x:v>
      </x:c>
      <x:c r="N45" s="6" t="n">
        <x:v>0.953</x:v>
      </x:c>
      <x:c r="O45" s="1" t="str">
        <x:v>합격</x:v>
      </x:c>
      <x:c r="P45" s="1"/>
      <x:c r="Q45" s="1" t="n">
        <x:v>49</x:v>
      </x:c>
      <x:c r="R45" s="1" t="str">
        <x:v>N</x:v>
      </x:c>
      <x:c r="S45" s="1" t="n">
        <x:v>0</x:v>
      </x:c>
      <x:c r="T45" s="1" t="str">
        <x:v>합격</x:v>
      </x:c>
    </x:row>
    <x:row r="46" ht="22" customHeight="1">
      <x:c r="A46" s="1" t="str">
        <x:v>R00045</x:v>
      </x:c>
      <x:c r="B46" s="4" t="n">
        <x:v>46217.13465277778</x:v>
      </x:c>
      <x:c r="C46" s="1" t="str">
        <x:v>야간</x:v>
      </x:c>
      <x:c r="D46" s="1" t="str">
        <x:v>L2</x:v>
      </x:c>
      <x:c r="E46" s="1" t="str">
        <x:v>P2</x:v>
      </x:c>
      <x:c r="F46" s="1" t="str">
        <x:v>M01</x:v>
      </x:c>
      <x:c r="G46" s="1" t="str">
        <x:v>G03</x:v>
      </x:c>
      <x:c r="H46" s="5" t="n">
        <x:v>32.08</x:v>
      </x:c>
      <x:c r="I46" s="5" t="n">
        <x:v>5.9</x:v>
      </x:c>
      <x:c r="J46" s="5" t="n">
        <x:v>57.1</x:v>
      </x:c>
      <x:c r="K46" s="5" t="n">
        <x:v>39.9</x:v>
      </x:c>
      <x:c r="L46" s="5" t="n">
        <x:v>2.46</x:v>
      </x:c>
      <x:c r="M46" s="1" t="n">
        <x:v>1</x:v>
      </x:c>
      <x:c r="N46" s="6" t="n">
        <x:v>0.938</x:v>
      </x:c>
      <x:c r="O46" s="1" t="str">
        <x:v>합격</x:v>
      </x:c>
      <x:c r="P46" s="1"/>
      <x:c r="Q46" s="1" t="n">
        <x:v>35</x:v>
      </x:c>
      <x:c r="R46" s="1" t="str">
        <x:v>N</x:v>
      </x:c>
      <x:c r="S46" s="1" t="n">
        <x:v>0</x:v>
      </x:c>
      <x:c r="T46" s="1" t="str">
        <x:v>합격</x:v>
      </x:c>
    </x:row>
    <x:row r="47" ht="22" customHeight="1">
      <x:c r="A47" s="1" t="str">
        <x:v>R00046</x:v>
      </x:c>
      <x:c r="B47" s="4" t="n">
        <x:v>46218.94598379629</x:v>
      </x:c>
      <x:c r="C47" s="1" t="str">
        <x:v>야간</x:v>
      </x:c>
      <x:c r="D47" s="1" t="str">
        <x:v>L1</x:v>
      </x:c>
      <x:c r="E47" s="1" t="str">
        <x:v>P1</x:v>
      </x:c>
      <x:c r="F47" s="1" t="str">
        <x:v>M03</x:v>
      </x:c>
      <x:c r="G47" s="1" t="str">
        <x:v>G04</x:v>
      </x:c>
      <x:c r="H47" s="5" t="n">
        <x:v>27.61</x:v>
      </x:c>
      <x:c r="I47" s="5" t="n">
        <x:v>6</x:v>
      </x:c>
      <x:c r="J47" s="5" t="n">
        <x:v>50.1</x:v>
      </x:c>
      <x:c r="K47" s="5" t="n">
        <x:v>38.3</x:v>
      </x:c>
      <x:c r="L47" s="5" t="n">
        <x:v>2.08</x:v>
      </x:c>
      <x:c r="M47" s="1" t="n">
        <x:v>1</x:v>
      </x:c>
      <x:c r="N47" s="6" t="n">
        <x:v>0.979</x:v>
      </x:c>
      <x:c r="O47" s="1" t="str">
        <x:v>합격</x:v>
      </x:c>
      <x:c r="P47" s="1"/>
      <x:c r="Q47" s="1" t="n">
        <x:v>41</x:v>
      </x:c>
      <x:c r="R47" s="1" t="str">
        <x:v>N</x:v>
      </x:c>
      <x:c r="S47" s="1" t="n">
        <x:v>0</x:v>
      </x:c>
      <x:c r="T47" s="1" t="str">
        <x:v>합격</x:v>
      </x:c>
    </x:row>
    <x:row r="48" ht="22" customHeight="1">
      <x:c r="A48" s="1" t="str">
        <x:v>R00047</x:v>
      </x:c>
      <x:c r="B48" s="4" t="n">
        <x:v>46219.596655092595</x:v>
      </x:c>
      <x:c r="C48" s="1" t="str">
        <x:v>주간</x:v>
      </x:c>
      <x:c r="D48" s="1" t="str">
        <x:v>L1</x:v>
      </x:c>
      <x:c r="E48" s="1" t="str">
        <x:v>P1</x:v>
      </x:c>
      <x:c r="F48" s="1" t="str">
        <x:v>M03</x:v>
      </x:c>
      <x:c r="G48" s="1" t="str">
        <x:v>G05</x:v>
      </x:c>
      <x:c r="H48" s="5" t="n">
        <x:v>31.12</x:v>
      </x:c>
      <x:c r="I48" s="5" t="n">
        <x:v>5.96</x:v>
      </x:c>
      <x:c r="J48" s="5" t="n">
        <x:v>52.7</x:v>
      </x:c>
      <x:c r="K48" s="5" t="n">
        <x:v>38.4</x:v>
      </x:c>
      <x:c r="L48" s="5" t="n">
        <x:v>2.05</x:v>
      </x:c>
      <x:c r="M48" s="1" t="n">
        <x:v>1</x:v>
      </x:c>
      <x:c r="N48" s="6" t="n">
        <x:v>0.986</x:v>
      </x:c>
      <x:c r="O48" s="1" t="str">
        <x:v>합격</x:v>
      </x:c>
      <x:c r="P48" s="1"/>
      <x:c r="Q48" s="1" t="n">
        <x:v>49</x:v>
      </x:c>
      <x:c r="R48" s="1" t="str">
        <x:v>N</x:v>
      </x:c>
      <x:c r="S48" s="1" t="n">
        <x:v>0</x:v>
      </x:c>
      <x:c r="T48" s="1" t="str">
        <x:v>합격</x:v>
      </x:c>
    </x:row>
    <x:row r="49" ht="22" customHeight="1">
      <x:c r="A49" s="1" t="str">
        <x:v>R00048</x:v>
      </x:c>
      <x:c r="B49" s="4" t="n">
        <x:v>46220.66226851852</x:v>
      </x:c>
      <x:c r="C49" s="1" t="str">
        <x:v>주간</x:v>
      </x:c>
      <x:c r="D49" s="1" t="str">
        <x:v>L1</x:v>
      </x:c>
      <x:c r="E49" s="1" t="str">
        <x:v>P1</x:v>
      </x:c>
      <x:c r="F49" s="1" t="str">
        <x:v>M01</x:v>
      </x:c>
      <x:c r="G49" s="1" t="str">
        <x:v>G06</x:v>
      </x:c>
      <x:c r="H49" s="5" t="n">
        <x:v>28.75</x:v>
      </x:c>
      <x:c r="I49" s="5" t="n">
        <x:v>5.62</x:v>
      </x:c>
      <x:c r="J49" s="5" t="n">
        <x:v>56.4</x:v>
      </x:c>
      <x:c r="K49" s="5" t="n">
        <x:v>41.4</x:v>
      </x:c>
      <x:c r="L49" s="5" t="n">
        <x:v>1.74</x:v>
      </x:c>
      <x:c r="M49" s="1" t="n">
        <x:v>1</x:v>
      </x:c>
      <x:c r="N49" s="6" t="n">
        <x:v>0.929</x:v>
      </x:c>
      <x:c r="O49" s="1" t="str">
        <x:v>합격</x:v>
      </x:c>
      <x:c r="P49" s="1"/>
      <x:c r="Q49" s="1" t="n">
        <x:v>44</x:v>
      </x:c>
      <x:c r="R49" s="1" t="str">
        <x:v>N</x:v>
      </x:c>
      <x:c r="S49" s="1" t="n">
        <x:v>0</x:v>
      </x:c>
      <x:c r="T49" s="1" t="str">
        <x:v>합격</x:v>
      </x:c>
    </x:row>
    <x:row r="50" ht="22" customHeight="1">
      <x:c r="A50" s="1" t="str">
        <x:v>R00049</x:v>
      </x:c>
      <x:c r="B50" s="4" t="n">
        <x:v>46221.54331018519</x:v>
      </x:c>
      <x:c r="C50" s="1" t="str">
        <x:v>주간</x:v>
      </x:c>
      <x:c r="D50" s="1" t="str">
        <x:v>L2</x:v>
      </x:c>
      <x:c r="E50" s="1" t="str">
        <x:v>P2</x:v>
      </x:c>
      <x:c r="F50" s="1" t="str">
        <x:v>M02</x:v>
      </x:c>
      <x:c r="G50" s="1" t="str">
        <x:v>G01</x:v>
      </x:c>
      <x:c r="H50" s="5" t="n">
        <x:v>31.29</x:v>
      </x:c>
      <x:c r="I50" s="5" t="n">
        <x:v>6</x:v>
      </x:c>
      <x:c r="J50" s="5" t="n">
        <x:v>48.3</x:v>
      </x:c>
      <x:c r="K50" s="5" t="n">
        <x:v>35.5</x:v>
      </x:c>
      <x:c r="L50" s="5" t="n">
        <x:v>1.91</x:v>
      </x:c>
      <x:c r="M50" s="1" t="n">
        <x:v>0</x:v>
      </x:c>
      <x:c r="N50" s="6" t="n">
        <x:v>0.973</x:v>
      </x:c>
      <x:c r="O50" s="1" t="str">
        <x:v>합격</x:v>
      </x:c>
      <x:c r="P50" s="1"/>
      <x:c r="Q50" s="1" t="n">
        <x:v>42</x:v>
      </x:c>
      <x:c r="R50" s="1" t="str">
        <x:v>N</x:v>
      </x:c>
      <x:c r="S50" s="1" t="n">
        <x:v>0</x:v>
      </x:c>
      <x:c r="T50" s="1" t="str">
        <x:v>합격</x:v>
      </x:c>
    </x:row>
    <x:row r="51" ht="22" customHeight="1">
      <x:c r="A51" s="1" t="str">
        <x:v>R00050</x:v>
      </x:c>
      <x:c r="B51" s="4" t="n">
        <x:v>46222.933796296296</x:v>
      </x:c>
      <x:c r="C51" s="1" t="str">
        <x:v>야간</x:v>
      </x:c>
      <x:c r="D51" s="1" t="str">
        <x:v>L1</x:v>
      </x:c>
      <x:c r="E51" s="1" t="str">
        <x:v>P1</x:v>
      </x:c>
      <x:c r="F51" s="1" t="str">
        <x:v>M04</x:v>
      </x:c>
      <x:c r="G51" s="1" t="str">
        <x:v>G02</x:v>
      </x:c>
      <x:c r="H51" s="5" t="n">
        <x:v>27.44</x:v>
      </x:c>
      <x:c r="I51" s="5" t="n">
        <x:v>5.82</x:v>
      </x:c>
      <x:c r="J51" s="5" t="n">
        <x:v>49.3</x:v>
      </x:c>
      <x:c r="K51" s="5" t="n">
        <x:v>39.9</x:v>
      </x:c>
      <x:c r="L51" s="5" t="n">
        <x:v>1.97</x:v>
      </x:c>
      <x:c r="M51" s="1" t="n">
        <x:v>0</x:v>
      </x:c>
      <x:c r="N51" s="6" t="n">
        <x:v>1.021</x:v>
      </x:c>
      <x:c r="O51" s="1" t="str">
        <x:v>합격</x:v>
      </x:c>
      <x:c r="P51" s="1"/>
      <x:c r="Q51" s="1" t="n">
        <x:v>42</x:v>
      </x:c>
      <x:c r="R51" s="1" t="str">
        <x:v>N</x:v>
      </x:c>
      <x:c r="S51" s="1" t="n">
        <x:v>0</x:v>
      </x:c>
      <x:c r="T51" s="1" t="str">
        <x:v>합격</x:v>
      </x:c>
    </x:row>
    <x:row r="52" ht="22" customHeight="1">
      <x:c r="A52" s="1" t="str">
        <x:v>R00051</x:v>
      </x:c>
      <x:c r="B52" s="4" t="n">
        <x:v>46223.07194444445</x:v>
      </x:c>
      <x:c r="C52" s="1" t="str">
        <x:v>야간</x:v>
      </x:c>
      <x:c r="D52" s="1" t="str">
        <x:v>L2</x:v>
      </x:c>
      <x:c r="E52" s="1" t="str">
        <x:v>P2</x:v>
      </x:c>
      <x:c r="F52" s="1" t="str">
        <x:v>M02</x:v>
      </x:c>
      <x:c r="G52" s="1" t="str">
        <x:v>G03</x:v>
      </x:c>
      <x:c r="H52" s="5" t="n">
        <x:v>29.3</x:v>
      </x:c>
      <x:c r="I52" s="5" t="n">
        <x:v>5.85</x:v>
      </x:c>
      <x:c r="J52" s="5" t="n">
        <x:v>55.1</x:v>
      </x:c>
      <x:c r="K52" s="5" t="n">
        <x:v>41.5</x:v>
      </x:c>
      <x:c r="L52" s="5" t="n">
        <x:v>2.65</x:v>
      </x:c>
      <x:c r="M52" s="1" t="n">
        <x:v>1</x:v>
      </x:c>
      <x:c r="N52" s="6" t="n">
        <x:v>0.87</x:v>
      </x:c>
      <x:c r="O52" s="1" t="str">
        <x:v>합격</x:v>
      </x:c>
      <x:c r="P52" s="1"/>
      <x:c r="Q52" s="1" t="n">
        <x:v>36</x:v>
      </x:c>
      <x:c r="R52" s="1" t="str">
        <x:v>N</x:v>
      </x:c>
      <x:c r="S52" s="1" t="n">
        <x:v>0</x:v>
      </x:c>
      <x:c r="T52" s="1" t="str">
        <x:v>합격</x:v>
      </x:c>
    </x:row>
    <x:row r="53" ht="22" customHeight="1">
      <x:c r="A53" s="1" t="str">
        <x:v>R00052</x:v>
      </x:c>
      <x:c r="B53" s="4" t="n">
        <x:v>46224.02689814815</x:v>
      </x:c>
      <x:c r="C53" s="1" t="str">
        <x:v>야간</x:v>
      </x:c>
      <x:c r="D53" s="1" t="str">
        <x:v>L1</x:v>
      </x:c>
      <x:c r="E53" s="1" t="str">
        <x:v>P1</x:v>
      </x:c>
      <x:c r="F53" s="1" t="str">
        <x:v>M04</x:v>
      </x:c>
      <x:c r="G53" s="1" t="str">
        <x:v>G04</x:v>
      </x:c>
      <x:c r="H53" s="5" t="n">
        <x:v>31.38</x:v>
      </x:c>
      <x:c r="I53" s="5" t="n">
        <x:v>5.79</x:v>
      </x:c>
      <x:c r="J53" s="5" t="n">
        <x:v>56</x:v>
      </x:c>
      <x:c r="K53" s="5" t="n">
        <x:v>36.3</x:v>
      </x:c>
      <x:c r="L53" s="5" t="n">
        <x:v>2.22</x:v>
      </x:c>
      <x:c r="M53" s="1" t="n">
        <x:v>1</x:v>
      </x:c>
      <x:c r="N53" s="6" t="n">
        <x:v>1.048</x:v>
      </x:c>
      <x:c r="O53" s="1" t="str">
        <x:v>합격</x:v>
      </x:c>
      <x:c r="P53" s="1"/>
      <x:c r="Q53" s="1" t="n">
        <x:v>36</x:v>
      </x:c>
      <x:c r="R53" s="1" t="str">
        <x:v>N</x:v>
      </x:c>
      <x:c r="S53" s="1" t="n">
        <x:v>0</x:v>
      </x:c>
      <x:c r="T53" s="1" t="str">
        <x:v>합격</x:v>
      </x:c>
    </x:row>
    <x:row r="54" ht="22" customHeight="1">
      <x:c r="A54" s="1" t="str">
        <x:v>R00053</x:v>
      </x:c>
      <x:c r="B54" s="4" t="n">
        <x:v>46225.57519675926</x:v>
      </x:c>
      <x:c r="C54" s="1" t="str">
        <x:v>주간</x:v>
      </x:c>
      <x:c r="D54" s="1" t="str">
        <x:v>L1</x:v>
      </x:c>
      <x:c r="E54" s="1" t="str">
        <x:v>P1</x:v>
      </x:c>
      <x:c r="F54" s="1" t="str">
        <x:v>M01</x:v>
      </x:c>
      <x:c r="G54" s="1" t="str">
        <x:v>G05</x:v>
      </x:c>
      <x:c r="H54" s="5" t="n">
        <x:v>28.01</x:v>
      </x:c>
      <x:c r="I54" s="5" t="n">
        <x:v>5.74</x:v>
      </x:c>
      <x:c r="J54" s="5" t="n">
        <x:v>57.3</x:v>
      </x:c>
      <x:c r="K54" s="5" t="n">
        <x:v>38.6</x:v>
      </x:c>
      <x:c r="L54" s="5" t="n">
        <x:v>2.01</x:v>
      </x:c>
      <x:c r="M54" s="1" t="n">
        <x:v>0</x:v>
      </x:c>
      <x:c r="N54" s="6" t="n">
        <x:v>0.938</x:v>
      </x:c>
      <x:c r="O54" s="1" t="str">
        <x:v>합격</x:v>
      </x:c>
      <x:c r="P54" s="1"/>
      <x:c r="Q54" s="1" t="n">
        <x:v>43</x:v>
      </x:c>
      <x:c r="R54" s="1" t="str">
        <x:v>N</x:v>
      </x:c>
      <x:c r="S54" s="1" t="n">
        <x:v>0</x:v>
      </x:c>
      <x:c r="T54" s="1" t="str">
        <x:v>합격</x:v>
      </x:c>
    </x:row>
    <x:row r="55" ht="22" customHeight="1">
      <x:c r="A55" s="1" t="str">
        <x:v>R00054</x:v>
      </x:c>
      <x:c r="B55" s="4" t="n">
        <x:v>46226.6147337963</x:v>
      </x:c>
      <x:c r="C55" s="1" t="str">
        <x:v>주간</x:v>
      </x:c>
      <x:c r="D55" s="1" t="str">
        <x:v>L1</x:v>
      </x:c>
      <x:c r="E55" s="1" t="str">
        <x:v>P1</x:v>
      </x:c>
      <x:c r="F55" s="1" t="str">
        <x:v>M03</x:v>
      </x:c>
      <x:c r="G55" s="1" t="str">
        <x:v>G06</x:v>
      </x:c>
      <x:c r="H55" s="5" t="n">
        <x:v>32.1</x:v>
      </x:c>
      <x:c r="I55" s="5" t="n">
        <x:v>5.84</x:v>
      </x:c>
      <x:c r="J55" s="5" t="n">
        <x:v>58</x:v>
      </x:c>
      <x:c r="K55" s="5" t="n">
        <x:v>36.6</x:v>
      </x:c>
      <x:c r="L55" s="5" t="n">
        <x:v>1.57</x:v>
      </x:c>
      <x:c r="M55" s="1" t="n">
        <x:v>1</x:v>
      </x:c>
      <x:c r="N55" s="6" t="n">
        <x:v>0.947</x:v>
      </x:c>
      <x:c r="O55" s="1" t="str">
        <x:v>합격</x:v>
      </x:c>
      <x:c r="P55" s="1"/>
      <x:c r="Q55" s="1" t="n">
        <x:v>42</x:v>
      </x:c>
      <x:c r="R55" s="1" t="str">
        <x:v>N</x:v>
      </x:c>
      <x:c r="S55" s="1" t="n">
        <x:v>0</x:v>
      </x:c>
      <x:c r="T55" s="1" t="str">
        <x:v>합격</x:v>
      </x:c>
    </x:row>
    <x:row r="56" ht="22" customHeight="1">
      <x:c r="A56" s="1" t="str">
        <x:v>R00055</x:v>
      </x:c>
      <x:c r="B56" s="4" t="n">
        <x:v>46227.026979166665</x:v>
      </x:c>
      <x:c r="C56" s="1" t="str">
        <x:v>야간</x:v>
      </x:c>
      <x:c r="D56" s="1" t="str">
        <x:v>L1</x:v>
      </x:c>
      <x:c r="E56" s="1" t="str">
        <x:v>P1</x:v>
      </x:c>
      <x:c r="F56" s="1" t="str">
        <x:v>M03</x:v>
      </x:c>
      <x:c r="G56" s="1" t="str">
        <x:v>G01</x:v>
      </x:c>
      <x:c r="H56" s="5" t="n">
        <x:v>33.59</x:v>
      </x:c>
      <x:c r="I56" s="5" t="n">
        <x:v>6</x:v>
      </x:c>
      <x:c r="J56" s="5" t="n">
        <x:v>49.8</x:v>
      </x:c>
      <x:c r="K56" s="5" t="n">
        <x:v>36.9</x:v>
      </x:c>
      <x:c r="L56" s="5" t="n">
        <x:v>2.29</x:v>
      </x:c>
      <x:c r="M56" s="1" t="n">
        <x:v>1</x:v>
      </x:c>
      <x:c r="N56" s="6" t="n">
        <x:v>0.957</x:v>
      </x:c>
      <x:c r="O56" s="1" t="str">
        <x:v>합격</x:v>
      </x:c>
      <x:c r="P56" s="1"/>
      <x:c r="Q56" s="1" t="n">
        <x:v>39</x:v>
      </x:c>
      <x:c r="R56" s="1" t="str">
        <x:v>N</x:v>
      </x:c>
      <x:c r="S56" s="1" t="n">
        <x:v>0</x:v>
      </x:c>
      <x:c r="T56" s="1" t="str">
        <x:v>합격</x:v>
      </x:c>
    </x:row>
    <x:row r="57" ht="22" customHeight="1">
      <x:c r="A57" s="1" t="str">
        <x:v>R00056</x:v>
      </x:c>
      <x:c r="B57" s="4" t="n">
        <x:v>46228.0053587963</x:v>
      </x:c>
      <x:c r="C57" s="1" t="str">
        <x:v>야간</x:v>
      </x:c>
      <x:c r="D57" s="1" t="str">
        <x:v>L1</x:v>
      </x:c>
      <x:c r="E57" s="1" t="str">
        <x:v>P1</x:v>
      </x:c>
      <x:c r="F57" s="1" t="str">
        <x:v>M03</x:v>
      </x:c>
      <x:c r="G57" s="1" t="str">
        <x:v>G02</x:v>
      </x:c>
      <x:c r="H57" s="5" t="n">
        <x:v>25.83</x:v>
      </x:c>
      <x:c r="I57" s="5" t="n">
        <x:v>5.72</x:v>
      </x:c>
      <x:c r="J57" s="5" t="n">
        <x:v>51.1</x:v>
      </x:c>
      <x:c r="K57" s="5" t="n">
        <x:v>35.1</x:v>
      </x:c>
      <x:c r="L57" s="5"/>
      <x:c r="M57" s="1" t="n">
        <x:v>1</x:v>
      </x:c>
      <x:c r="N57" s="6" t="n">
        <x:v>0.934</x:v>
      </x:c>
      <x:c r="O57" s="1" t="str">
        <x:v>합격</x:v>
      </x:c>
      <x:c r="P57" s="1"/>
      <x:c r="Q57" s="1" t="n">
        <x:v>45</x:v>
      </x:c>
      <x:c r="R57" s="1" t="str">
        <x:v>N</x:v>
      </x:c>
      <x:c r="S57" s="1" t="n">
        <x:v>0</x:v>
      </x:c>
      <x:c r="T57" s="1" t="str">
        <x:v>합격</x:v>
      </x:c>
    </x:row>
    <x:row r="58" ht="22" customHeight="1">
      <x:c r="A58" s="1" t="str">
        <x:v>R00057</x:v>
      </x:c>
      <x:c r="B58" s="4" t="n">
        <x:v>46229.4341087963</x:v>
      </x:c>
      <x:c r="C58" s="1" t="str">
        <x:v>주간</x:v>
      </x:c>
      <x:c r="D58" s="1" t="str">
        <x:v>L2</x:v>
      </x:c>
      <x:c r="E58" s="1" t="str">
        <x:v>P2</x:v>
      </x:c>
      <x:c r="F58" s="1" t="str">
        <x:v>M04</x:v>
      </x:c>
      <x:c r="G58" s="1" t="str">
        <x:v>G03</x:v>
      </x:c>
      <x:c r="H58" s="5" t="n">
        <x:v>32.47</x:v>
      </x:c>
      <x:c r="I58" s="5" t="n">
        <x:v>5.77</x:v>
      </x:c>
      <x:c r="J58" s="5" t="n">
        <x:v>53.6</x:v>
      </x:c>
      <x:c r="K58" s="5" t="n">
        <x:v>38.1</x:v>
      </x:c>
      <x:c r="L58" s="5" t="n">
        <x:v>1.84</x:v>
      </x:c>
      <x:c r="M58" s="1" t="n">
        <x:v>1</x:v>
      </x:c>
      <x:c r="N58" s="6" t="n">
        <x:v>0.933</x:v>
      </x:c>
      <x:c r="O58" s="1" t="str">
        <x:v>합격</x:v>
      </x:c>
      <x:c r="P58" s="1"/>
      <x:c r="Q58" s="1" t="n">
        <x:v>46</x:v>
      </x:c>
      <x:c r="R58" s="1" t="str">
        <x:v>N</x:v>
      </x:c>
      <x:c r="S58" s="1" t="n">
        <x:v>0</x:v>
      </x:c>
      <x:c r="T58" s="1" t="str">
        <x:v>합격</x:v>
      </x:c>
    </x:row>
    <x:row r="59" ht="22" customHeight="1">
      <x:c r="A59" s="1" t="str">
        <x:v>R00058</x:v>
      </x:c>
      <x:c r="B59" s="4" t="n">
        <x:v>46230.98049768519</x:v>
      </x:c>
      <x:c r="C59" s="1" t="str">
        <x:v>야간</x:v>
      </x:c>
      <x:c r="D59" s="1" t="str">
        <x:v>L1</x:v>
      </x:c>
      <x:c r="E59" s="1" t="str">
        <x:v>P1</x:v>
      </x:c>
      <x:c r="F59" s="1" t="str">
        <x:v>M03</x:v>
      </x:c>
      <x:c r="G59" s="1" t="str">
        <x:v>G04</x:v>
      </x:c>
      <x:c r="H59" s="5" t="n">
        <x:v>25.82</x:v>
      </x:c>
      <x:c r="I59" s="5" t="n">
        <x:v>5.84</x:v>
      </x:c>
      <x:c r="J59" s="5" t="n">
        <x:v>58.7</x:v>
      </x:c>
      <x:c r="K59" s="5" t="n">
        <x:v>36.4</x:v>
      </x:c>
      <x:c r="L59" s="5" t="n">
        <x:v>2.69</x:v>
      </x:c>
      <x:c r="M59" s="1" t="n">
        <x:v>1</x:v>
      </x:c>
      <x:c r="N59" s="6" t="n">
        <x:v>0.878</x:v>
      </x:c>
      <x:c r="O59" s="1" t="str">
        <x:v>합격</x:v>
      </x:c>
      <x:c r="P59" s="1"/>
      <x:c r="Q59" s="1" t="n">
        <x:v>35</x:v>
      </x:c>
      <x:c r="R59" s="1" t="str">
        <x:v>N</x:v>
      </x:c>
      <x:c r="S59" s="1" t="n">
        <x:v>0</x:v>
      </x:c>
      <x:c r="T59" s="1" t="str">
        <x:v>합격</x:v>
      </x:c>
    </x:row>
    <x:row r="60" ht="22" customHeight="1">
      <x:c r="A60" s="1" t="str">
        <x:v>R00059</x:v>
      </x:c>
      <x:c r="B60" s="4" t="n">
        <x:v>46231.07347222222</x:v>
      </x:c>
      <x:c r="C60" s="1" t="str">
        <x:v>야간</x:v>
      </x:c>
      <x:c r="D60" s="1" t="str">
        <x:v>L2</x:v>
      </x:c>
      <x:c r="E60" s="1" t="str">
        <x:v>P2</x:v>
      </x:c>
      <x:c r="F60" s="1" t="str">
        <x:v>M02</x:v>
      </x:c>
      <x:c r="G60" s="1" t="str">
        <x:v>G05</x:v>
      </x:c>
      <x:c r="H60" s="5" t="n">
        <x:v>32.54</x:v>
      </x:c>
      <x:c r="I60" s="5" t="n">
        <x:v>5.95</x:v>
      </x:c>
      <x:c r="J60" s="5" t="n">
        <x:v>55.8</x:v>
      </x:c>
      <x:c r="K60" s="5" t="n">
        <x:v>40.6</x:v>
      </x:c>
      <x:c r="L60" s="5" t="n">
        <x:v>2.29</x:v>
      </x:c>
      <x:c r="M60" s="1" t="n">
        <x:v>0</x:v>
      </x:c>
      <x:c r="N60" s="6" t="n">
        <x:v>0.854</x:v>
      </x:c>
      <x:c r="O60" s="1" t="str">
        <x:v>합격</x:v>
      </x:c>
      <x:c r="P60" s="1"/>
      <x:c r="Q60" s="1" t="n">
        <x:v>46</x:v>
      </x:c>
      <x:c r="R60" s="1" t="str">
        <x:v>N</x:v>
      </x:c>
      <x:c r="S60" s="1" t="n">
        <x:v>0</x:v>
      </x:c>
      <x:c r="T60" s="1" t="str">
        <x:v>합격</x:v>
      </x:c>
    </x:row>
    <x:row r="61" ht="22" customHeight="1">
      <x:c r="A61" s="1" t="str">
        <x:v>R00060</x:v>
      </x:c>
      <x:c r="B61" s="4" t="n">
        <x:v>46232.026041666664</x:v>
      </x:c>
      <x:c r="C61" s="1" t="str">
        <x:v>야간</x:v>
      </x:c>
      <x:c r="D61" s="1" t="str">
        <x:v>L1</x:v>
      </x:c>
      <x:c r="E61" s="1" t="str">
        <x:v>P1</x:v>
      </x:c>
      <x:c r="F61" s="1" t="str">
        <x:v>M04</x:v>
      </x:c>
      <x:c r="G61" s="1" t="str">
        <x:v>G06</x:v>
      </x:c>
      <x:c r="H61" s="5" t="n">
        <x:v>32.6</x:v>
      </x:c>
      <x:c r="I61" s="5" t="n">
        <x:v>6</x:v>
      </x:c>
      <x:c r="J61" s="5" t="n">
        <x:v>50.6</x:v>
      </x:c>
      <x:c r="K61" s="5" t="n">
        <x:v>39.8</x:v>
      </x:c>
      <x:c r="L61" s="5" t="n">
        <x:v>1.75</x:v>
      </x:c>
      <x:c r="M61" s="1" t="n">
        <x:v>1</x:v>
      </x:c>
      <x:c r="N61" s="6" t="n">
        <x:v>0.897</x:v>
      </x:c>
      <x:c r="O61" s="1" t="str">
        <x:v>합격</x:v>
      </x:c>
      <x:c r="P61" s="1"/>
      <x:c r="Q61" s="1" t="n">
        <x:v>36</x:v>
      </x:c>
      <x:c r="R61" s="1" t="str">
        <x:v>N</x:v>
      </x:c>
      <x:c r="S61" s="1" t="n">
        <x:v>0</x:v>
      </x:c>
      <x:c r="T61" s="1" t="str">
        <x:v>합격</x:v>
      </x:c>
    </x:row>
    <x:row r="62" ht="22" customHeight="1">
      <x:c r="A62" s="1" t="str">
        <x:v>R00061</x:v>
      </x:c>
      <x:c r="B62" s="4" t="n">
        <x:v>46233.35736111111</x:v>
      </x:c>
      <x:c r="C62" s="1" t="str">
        <x:v>주간</x:v>
      </x:c>
      <x:c r="D62" s="1" t="str">
        <x:v>L1</x:v>
      </x:c>
      <x:c r="E62" s="1" t="str">
        <x:v>P1</x:v>
      </x:c>
      <x:c r="F62" s="1" t="str">
        <x:v>M01</x:v>
      </x:c>
      <x:c r="G62" s="1" t="str">
        <x:v>G01</x:v>
      </x:c>
      <x:c r="H62" s="5" t="n">
        <x:v>27.31</x:v>
      </x:c>
      <x:c r="I62" s="5" t="n">
        <x:v>5.61</x:v>
      </x:c>
      <x:c r="J62" s="5" t="n">
        <x:v>57.2</x:v>
      </x:c>
      <x:c r="K62" s="5" t="n">
        <x:v>36.6</x:v>
      </x:c>
      <x:c r="L62" s="5" t="n">
        <x:v>2.63</x:v>
      </x:c>
      <x:c r="M62" s="1" t="n">
        <x:v>1</x:v>
      </x:c>
      <x:c r="N62" s="6" t="n">
        <x:v>0.914</x:v>
      </x:c>
      <x:c r="O62" s="1" t="str">
        <x:v>합격</x:v>
      </x:c>
      <x:c r="P62" s="1"/>
      <x:c r="Q62" s="1" t="n">
        <x:v>35</x:v>
      </x:c>
      <x:c r="R62" s="1" t="str">
        <x:v>N</x:v>
      </x:c>
      <x:c r="S62" s="1" t="n">
        <x:v>0</x:v>
      </x:c>
      <x:c r="T62" s="1" t="str">
        <x:v>합격</x:v>
      </x:c>
    </x:row>
    <x:row r="63" ht="22" customHeight="1">
      <x:c r="A63" s="1" t="str">
        <x:v>R00062</x:v>
      </x:c>
      <x:c r="B63" s="4" t="n">
        <x:v>46234.87756944444</x:v>
      </x:c>
      <x:c r="C63" s="1" t="str">
        <x:v>야간</x:v>
      </x:c>
      <x:c r="D63" s="1" t="str">
        <x:v>L2</x:v>
      </x:c>
      <x:c r="E63" s="1" t="str">
        <x:v>P2</x:v>
      </x:c>
      <x:c r="F63" s="1" t="str">
        <x:v>M02</x:v>
      </x:c>
      <x:c r="G63" s="1" t="str">
        <x:v>G02</x:v>
      </x:c>
      <x:c r="H63" s="5" t="n">
        <x:v>32.76</x:v>
      </x:c>
      <x:c r="I63" s="5" t="n">
        <x:v>5.6</x:v>
      </x:c>
      <x:c r="J63" s="5" t="n">
        <x:v>57.8</x:v>
      </x:c>
      <x:c r="K63" s="5" t="n">
        <x:v>37.6</x:v>
      </x:c>
      <x:c r="L63" s="5" t="n">
        <x:v>1.32</x:v>
      </x:c>
      <x:c r="M63" s="1" t="n">
        <x:v>1</x:v>
      </x:c>
      <x:c r="N63" s="6" t="n">
        <x:v>0.901</x:v>
      </x:c>
      <x:c r="O63" s="1" t="str">
        <x:v>합격</x:v>
      </x:c>
      <x:c r="P63" s="1"/>
      <x:c r="Q63" s="1" t="n">
        <x:v>41</x:v>
      </x:c>
      <x:c r="R63" s="1" t="str">
        <x:v>N</x:v>
      </x:c>
      <x:c r="S63" s="1" t="n">
        <x:v>0</x:v>
      </x:c>
      <x:c r="T63" s="1" t="str">
        <x:v>합격</x:v>
      </x:c>
    </x:row>
    <x:row r="64" ht="22" customHeight="1">
      <x:c r="A64" s="1" t="str">
        <x:v>R00063</x:v>
      </x:c>
      <x:c r="B64" s="4" t="n">
        <x:v>46204.65636574074</x:v>
      </x:c>
      <x:c r="C64" s="1" t="str">
        <x:v>주간</x:v>
      </x:c>
      <x:c r="D64" s="1" t="str">
        <x:v>L2</x:v>
      </x:c>
      <x:c r="E64" s="1" t="str">
        <x:v>P2</x:v>
      </x:c>
      <x:c r="F64" s="1" t="str">
        <x:v>M04</x:v>
      </x:c>
      <x:c r="G64" s="1" t="str">
        <x:v>G03</x:v>
      </x:c>
      <x:c r="H64" s="5" t="n">
        <x:v>32.14</x:v>
      </x:c>
      <x:c r="I64" s="5" t="n">
        <x:v>5.86</x:v>
      </x:c>
      <x:c r="J64" s="5" t="n">
        <x:v>55</x:v>
      </x:c>
      <x:c r="K64" s="5" t="n">
        <x:v>35.5</x:v>
      </x:c>
      <x:c r="L64" s="5" t="n">
        <x:v>2.61</x:v>
      </x:c>
      <x:c r="M64" s="1" t="n">
        <x:v>1</x:v>
      </x:c>
      <x:c r="N64" s="6" t="n">
        <x:v>0.861</x:v>
      </x:c>
      <x:c r="O64" s="1" t="str">
        <x:v>합격</x:v>
      </x:c>
      <x:c r="P64" s="1"/>
      <x:c r="Q64" s="1" t="n">
        <x:v>47</x:v>
      </x:c>
      <x:c r="R64" s="1" t="str">
        <x:v>N</x:v>
      </x:c>
      <x:c r="S64" s="1" t="n">
        <x:v>0</x:v>
      </x:c>
      <x:c r="T64" s="1" t="str">
        <x:v>합격</x:v>
      </x:c>
    </x:row>
    <x:row r="65" ht="22" customHeight="1">
      <x:c r="A65" s="1" t="str">
        <x:v>R00064</x:v>
      </x:c>
      <x:c r="B65" s="4" t="n">
        <x:v>46205.47131944444</x:v>
      </x:c>
      <x:c r="C65" s="1" t="str">
        <x:v>주간</x:v>
      </x:c>
      <x:c r="D65" s="1" t="str">
        <x:v>L2</x:v>
      </x:c>
      <x:c r="E65" s="1" t="str">
        <x:v>P2</x:v>
      </x:c>
      <x:c r="F65" s="1" t="str">
        <x:v>M02</x:v>
      </x:c>
      <x:c r="G65" s="1" t="str">
        <x:v>G04</x:v>
      </x:c>
      <x:c r="H65" s="5" t="n">
        <x:v>31.86</x:v>
      </x:c>
      <x:c r="I65" s="5" t="n">
        <x:v>5.91</x:v>
      </x:c>
      <x:c r="J65" s="5" t="n">
        <x:v>48.9</x:v>
      </x:c>
      <x:c r="K65" s="5" t="n">
        <x:v>36.3</x:v>
      </x:c>
      <x:c r="L65" s="5" t="n">
        <x:v>2.44</x:v>
      </x:c>
      <x:c r="M65" s="1" t="n">
        <x:v>1</x:v>
      </x:c>
      <x:c r="N65" s="6" t="n">
        <x:v>0.966</x:v>
      </x:c>
      <x:c r="O65" s="1" t="str">
        <x:v>합격</x:v>
      </x:c>
      <x:c r="P65" s="1"/>
      <x:c r="Q65" s="1" t="n">
        <x:v>36</x:v>
      </x:c>
      <x:c r="R65" s="1" t="str">
        <x:v>N</x:v>
      </x:c>
      <x:c r="S65" s="1" t="n">
        <x:v>0</x:v>
      </x:c>
      <x:c r="T65" s="1" t="str">
        <x:v>합격</x:v>
      </x:c>
    </x:row>
    <x:row r="66" ht="22" customHeight="1">
      <x:c r="A66" s="1" t="str">
        <x:v>R00065</x:v>
      </x:c>
      <x:c r="B66" s="4" t="n">
        <x:v>46206.38480324074</x:v>
      </x:c>
      <x:c r="C66" s="1" t="str">
        <x:v>주간</x:v>
      </x:c>
      <x:c r="D66" s="1" t="str">
        <x:v>L2</x:v>
      </x:c>
      <x:c r="E66" s="1" t="str">
        <x:v>P2</x:v>
      </x:c>
      <x:c r="F66" s="1" t="str">
        <x:v>M02</x:v>
      </x:c>
      <x:c r="G66" s="1" t="str">
        <x:v>G05</x:v>
      </x:c>
      <x:c r="H66" s="5" t="n">
        <x:v>32.38</x:v>
      </x:c>
      <x:c r="I66" s="5" t="n">
        <x:v>5.87</x:v>
      </x:c>
      <x:c r="J66" s="5" t="n">
        <x:v>53.2</x:v>
      </x:c>
      <x:c r="K66" s="5" t="n">
        <x:v>37.5</x:v>
      </x:c>
      <x:c r="L66" s="5" t="n">
        <x:v>1.97</x:v>
      </x:c>
      <x:c r="M66" s="1" t="n">
        <x:v>0</x:v>
      </x:c>
      <x:c r="N66" s="6" t="n">
        <x:v>0.859</x:v>
      </x:c>
      <x:c r="O66" s="1" t="str">
        <x:v>합격</x:v>
      </x:c>
      <x:c r="P66" s="1"/>
      <x:c r="Q66" s="1" t="n">
        <x:v>40</x:v>
      </x:c>
      <x:c r="R66" s="1" t="str">
        <x:v>N</x:v>
      </x:c>
      <x:c r="S66" s="1" t="n">
        <x:v>0</x:v>
      </x:c>
      <x:c r="T66" s="1" t="str">
        <x:v>합격</x:v>
      </x:c>
    </x:row>
    <x:row r="67" ht="22" customHeight="1">
      <x:c r="A67" s="1" t="str">
        <x:v>R00066</x:v>
      </x:c>
      <x:c r="B67" s="4" t="n">
        <x:v>46207.45688657407</x:v>
      </x:c>
      <x:c r="C67" s="1" t="str">
        <x:v>주간</x:v>
      </x:c>
      <x:c r="D67" s="1" t="str">
        <x:v>L1</x:v>
      </x:c>
      <x:c r="E67" s="1" t="str">
        <x:v>P1</x:v>
      </x:c>
      <x:c r="F67" s="1" t="str">
        <x:v>M01</x:v>
      </x:c>
      <x:c r="G67" s="1" t="str">
        <x:v>G06</x:v>
      </x:c>
      <x:c r="H67" s="5" t="n">
        <x:v>29.56</x:v>
      </x:c>
      <x:c r="I67" s="5" t="n">
        <x:v>5.64</x:v>
      </x:c>
      <x:c r="J67" s="5" t="n">
        <x:v>53.2</x:v>
      </x:c>
      <x:c r="K67" s="5" t="n">
        <x:v>35.3</x:v>
      </x:c>
      <x:c r="L67" s="5" t="n">
        <x:v>2.44</x:v>
      </x:c>
      <x:c r="M67" s="1" t="n">
        <x:v>1</x:v>
      </x:c>
      <x:c r="N67" s="6" t="n">
        <x:v>0.957</x:v>
      </x:c>
      <x:c r="O67" s="1" t="str">
        <x:v>합격</x:v>
      </x:c>
      <x:c r="P67" s="1"/>
      <x:c r="Q67" s="1" t="n">
        <x:v>40</x:v>
      </x:c>
      <x:c r="R67" s="1" t="str">
        <x:v>N</x:v>
      </x:c>
      <x:c r="S67" s="1" t="n">
        <x:v>0</x:v>
      </x:c>
      <x:c r="T67" s="1" t="str">
        <x:v>합격</x:v>
      </x:c>
    </x:row>
    <x:row r="68" ht="22" customHeight="1">
      <x:c r="A68" s="1" t="str">
        <x:v>R00067</x:v>
      </x:c>
      <x:c r="B68" s="4" t="n">
        <x:v>46208.520219907405</x:v>
      </x:c>
      <x:c r="C68" s="1" t="str">
        <x:v>주간</x:v>
      </x:c>
      <x:c r="D68" s="1" t="str">
        <x:v>L2</x:v>
      </x:c>
      <x:c r="E68" s="1" t="str">
        <x:v>P2</x:v>
      </x:c>
      <x:c r="F68" s="1" t="str">
        <x:v>M04</x:v>
      </x:c>
      <x:c r="G68" s="1" t="str">
        <x:v>G01</x:v>
      </x:c>
      <x:c r="H68" s="5" t="n">
        <x:v>32.65</x:v>
      </x:c>
      <x:c r="I68" s="5" t="n">
        <x:v>5.8</x:v>
      </x:c>
      <x:c r="J68" s="5" t="n">
        <x:v>48.5</x:v>
      </x:c>
      <x:c r="K68" s="5" t="n">
        <x:v>41.7</x:v>
      </x:c>
      <x:c r="L68" s="5" t="n">
        <x:v>2.69</x:v>
      </x:c>
      <x:c r="M68" s="1" t="n">
        <x:v>0</x:v>
      </x:c>
      <x:c r="N68" s="6" t="n">
        <x:v>0.91</x:v>
      </x:c>
      <x:c r="O68" s="1" t="str">
        <x:v>합격</x:v>
      </x:c>
      <x:c r="P68" s="1"/>
      <x:c r="Q68" s="1" t="n">
        <x:v>35</x:v>
      </x:c>
      <x:c r="R68" s="1" t="str">
        <x:v>N</x:v>
      </x:c>
      <x:c r="S68" s="1" t="n">
        <x:v>0</x:v>
      </x:c>
      <x:c r="T68" s="1" t="str">
        <x:v>합격</x:v>
      </x:c>
    </x:row>
    <x:row r="69" ht="22" customHeight="1">
      <x:c r="A69" s="1" t="str">
        <x:v>R00068</x:v>
      </x:c>
      <x:c r="B69" s="4" t="n">
        <x:v>46209.924467592595</x:v>
      </x:c>
      <x:c r="C69" s="1" t="str">
        <x:v>야간</x:v>
      </x:c>
      <x:c r="D69" s="1" t="str">
        <x:v>L1</x:v>
      </x:c>
      <x:c r="E69" s="1" t="str">
        <x:v>P1</x:v>
      </x:c>
      <x:c r="F69" s="1" t="str">
        <x:v>M03</x:v>
      </x:c>
      <x:c r="G69" s="1" t="str">
        <x:v>G02</x:v>
      </x:c>
      <x:c r="H69" s="5" t="n">
        <x:v>25.97</x:v>
      </x:c>
      <x:c r="I69" s="5" t="n">
        <x:v>5.79</x:v>
      </x:c>
      <x:c r="J69" s="5" t="n">
        <x:v>57.4</x:v>
      </x:c>
      <x:c r="K69" s="5" t="n">
        <x:v>38.8</x:v>
      </x:c>
      <x:c r="L69" s="5" t="n">
        <x:v>2.59</x:v>
      </x:c>
      <x:c r="M69" s="1" t="n">
        <x:v>1</x:v>
      </x:c>
      <x:c r="N69" s="6" t="n">
        <x:v>0.879</x:v>
      </x:c>
      <x:c r="O69" s="1" t="str">
        <x:v>합격</x:v>
      </x:c>
      <x:c r="P69" s="1"/>
      <x:c r="Q69" s="1" t="n">
        <x:v>39</x:v>
      </x:c>
      <x:c r="R69" s="1" t="str">
        <x:v>N</x:v>
      </x:c>
      <x:c r="S69" s="1" t="n">
        <x:v>0</x:v>
      </x:c>
      <x:c r="T69" s="1" t="str">
        <x:v>합격</x:v>
      </x:c>
    </x:row>
    <x:row r="70" ht="22" customHeight="1">
      <x:c r="A70" s="1" t="str">
        <x:v>R00069</x:v>
      </x:c>
      <x:c r="B70" s="4" t="n">
        <x:v>46210.06862268518</x:v>
      </x:c>
      <x:c r="C70" s="1" t="str">
        <x:v>야간</x:v>
      </x:c>
      <x:c r="D70" s="1" t="str">
        <x:v>L2</x:v>
      </x:c>
      <x:c r="E70" s="1" t="str">
        <x:v>P2</x:v>
      </x:c>
      <x:c r="F70" s="1" t="str">
        <x:v>M02</x:v>
      </x:c>
      <x:c r="G70" s="1" t="str">
        <x:v>G03</x:v>
      </x:c>
      <x:c r="H70" s="5" t="n">
        <x:v>27.65</x:v>
      </x:c>
      <x:c r="I70" s="5" t="n">
        <x:v>5.85</x:v>
      </x:c>
      <x:c r="J70" s="5" t="n">
        <x:v>47.9</x:v>
      </x:c>
      <x:c r="K70" s="5" t="n">
        <x:v>37.2</x:v>
      </x:c>
      <x:c r="L70" s="5" t="n">
        <x:v>2.11</x:v>
      </x:c>
      <x:c r="M70" s="1" t="n">
        <x:v>1</x:v>
      </x:c>
      <x:c r="N70" s="6" t="n">
        <x:v>0.957</x:v>
      </x:c>
      <x:c r="O70" s="1" t="str">
        <x:v>합격</x:v>
      </x:c>
      <x:c r="P70" s="1"/>
      <x:c r="Q70" s="1" t="n">
        <x:v>39</x:v>
      </x:c>
      <x:c r="R70" s="1" t="str">
        <x:v>N</x:v>
      </x:c>
      <x:c r="S70" s="1" t="n">
        <x:v>0</x:v>
      </x:c>
      <x:c r="T70" s="1" t="str">
        <x:v>합격</x:v>
      </x:c>
    </x:row>
    <x:row r="71" ht="22" customHeight="1">
      <x:c r="A71" s="1" t="str">
        <x:v>R00070</x:v>
      </x:c>
      <x:c r="B71" s="4" t="n">
        <x:v>46211.56253472222</x:v>
      </x:c>
      <x:c r="C71" s="1" t="str">
        <x:v>주간</x:v>
      </x:c>
      <x:c r="D71" s="1" t="str">
        <x:v>L2</x:v>
      </x:c>
      <x:c r="E71" s="1" t="str">
        <x:v>P2</x:v>
      </x:c>
      <x:c r="F71" s="1" t="str">
        <x:v>M04</x:v>
      </x:c>
      <x:c r="G71" s="1" t="str">
        <x:v>G04</x:v>
      </x:c>
      <x:c r="H71" s="5" t="n">
        <x:v>29.66</x:v>
      </x:c>
      <x:c r="I71" s="5" t="n">
        <x:v>5.7</x:v>
      </x:c>
      <x:c r="J71" s="5" t="n">
        <x:v>56.7</x:v>
      </x:c>
      <x:c r="K71" s="5" t="n">
        <x:v>39.4</x:v>
      </x:c>
      <x:c r="L71" s="5" t="n">
        <x:v>1.83</x:v>
      </x:c>
      <x:c r="M71" s="1" t="n">
        <x:v>1</x:v>
      </x:c>
      <x:c r="N71" s="6" t="n">
        <x:v>0.933</x:v>
      </x:c>
      <x:c r="O71" s="1" t="str">
        <x:v>합격</x:v>
      </x:c>
      <x:c r="P71" s="1"/>
      <x:c r="Q71" s="1" t="n">
        <x:v>47</x:v>
      </x:c>
      <x:c r="R71" s="1" t="str">
        <x:v>N</x:v>
      </x:c>
      <x:c r="S71" s="1" t="n">
        <x:v>0</x:v>
      </x:c>
      <x:c r="T71" s="1" t="str">
        <x:v>합격</x:v>
      </x:c>
    </x:row>
    <x:row r="72" ht="22" customHeight="1">
      <x:c r="A72" s="1" t="str">
        <x:v>R00071</x:v>
      </x:c>
      <x:c r="B72" s="4" t="n">
        <x:v>46212.94091435185</x:v>
      </x:c>
      <x:c r="C72" s="1" t="str">
        <x:v>야간</x:v>
      </x:c>
      <x:c r="D72" s="1" t="str">
        <x:v>L1</x:v>
      </x:c>
      <x:c r="E72" s="1" t="str">
        <x:v>P1</x:v>
      </x:c>
      <x:c r="F72" s="1" t="str">
        <x:v>M04</x:v>
      </x:c>
      <x:c r="G72" s="1" t="str">
        <x:v>G05</x:v>
      </x:c>
      <x:c r="H72" s="5" t="n">
        <x:v>31.06</x:v>
      </x:c>
      <x:c r="I72" s="5" t="n">
        <x:v>5.73</x:v>
      </x:c>
      <x:c r="J72" s="5" t="n">
        <x:v>47.2</x:v>
      </x:c>
      <x:c r="K72" s="5" t="n">
        <x:v>36.1</x:v>
      </x:c>
      <x:c r="L72" s="5" t="n">
        <x:v>2.41</x:v>
      </x:c>
      <x:c r="M72" s="1" t="n">
        <x:v>0</x:v>
      </x:c>
      <x:c r="N72" s="6" t="n">
        <x:v>0.927</x:v>
      </x:c>
      <x:c r="O72" s="1" t="str">
        <x:v>합격</x:v>
      </x:c>
      <x:c r="P72" s="1"/>
      <x:c r="Q72" s="1" t="n">
        <x:v>42</x:v>
      </x:c>
      <x:c r="R72" s="1" t="str">
        <x:v>N</x:v>
      </x:c>
      <x:c r="S72" s="1" t="n">
        <x:v>0</x:v>
      </x:c>
      <x:c r="T72" s="1" t="str">
        <x:v>합격</x:v>
      </x:c>
    </x:row>
    <x:row r="73" ht="22" customHeight="1">
      <x:c r="A73" s="1" t="str">
        <x:v>R00072</x:v>
      </x:c>
      <x:c r="B73" s="4" t="n">
        <x:v>46213.89946759259</x:v>
      </x:c>
      <x:c r="C73" s="1" t="str">
        <x:v>야간</x:v>
      </x:c>
      <x:c r="D73" s="1" t="str">
        <x:v>L1</x:v>
      </x:c>
      <x:c r="E73" s="1" t="str">
        <x:v>P1</x:v>
      </x:c>
      <x:c r="F73" s="1" t="str">
        <x:v>M03</x:v>
      </x:c>
      <x:c r="G73" s="1" t="str">
        <x:v>G06</x:v>
      </x:c>
      <x:c r="H73" s="5" t="n">
        <x:v>31.67</x:v>
      </x:c>
      <x:c r="I73" s="5" t="n">
        <x:v>5.69</x:v>
      </x:c>
      <x:c r="J73" s="5" t="n">
        <x:v>55.2</x:v>
      </x:c>
      <x:c r="K73" s="5" t="n">
        <x:v>40.9</x:v>
      </x:c>
      <x:c r="L73" s="5" t="n">
        <x:v>1.73</x:v>
      </x:c>
      <x:c r="M73" s="1" t="n">
        <x:v>1</x:v>
      </x:c>
      <x:c r="N73" s="6" t="n">
        <x:v>0.958</x:v>
      </x:c>
      <x:c r="O73" s="1" t="str">
        <x:v>합격</x:v>
      </x:c>
      <x:c r="P73" s="1"/>
      <x:c r="Q73" s="1" t="n">
        <x:v>47</x:v>
      </x:c>
      <x:c r="R73" s="1" t="str">
        <x:v>N</x:v>
      </x:c>
      <x:c r="S73" s="1" t="n">
        <x:v>0</x:v>
      </x:c>
      <x:c r="T73" s="1" t="str">
        <x:v>합격</x:v>
      </x:c>
    </x:row>
    <x:row r="74" ht="22" customHeight="1">
      <x:c r="A74" s="1" t="str">
        <x:v>R00073</x:v>
      </x:c>
      <x:c r="B74" s="4" t="n">
        <x:v>46214.94173611111</x:v>
      </x:c>
      <x:c r="C74" s="1" t="str">
        <x:v>야간</x:v>
      </x:c>
      <x:c r="D74" s="1" t="str">
        <x:v>L2</x:v>
      </x:c>
      <x:c r="E74" s="1" t="str">
        <x:v>P2</x:v>
      </x:c>
      <x:c r="F74" s="1" t="str">
        <x:v>M02</x:v>
      </x:c>
      <x:c r="G74" s="1" t="str">
        <x:v>G01</x:v>
      </x:c>
      <x:c r="H74" s="5" t="n">
        <x:v>29.35</x:v>
      </x:c>
      <x:c r="I74" s="5" t="n">
        <x:v>5.93</x:v>
      </x:c>
      <x:c r="J74" s="5" t="n">
        <x:v>55</x:v>
      </x:c>
      <x:c r="K74" s="5" t="n">
        <x:v>35.4</x:v>
      </x:c>
      <x:c r="L74" s="5" t="n">
        <x:v>2.27</x:v>
      </x:c>
      <x:c r="M74" s="1" t="n">
        <x:v>0</x:v>
      </x:c>
      <x:c r="N74" s="6" t="n">
        <x:v>0.996</x:v>
      </x:c>
      <x:c r="O74" s="1" t="str">
        <x:v>합격</x:v>
      </x:c>
      <x:c r="P74" s="1"/>
      <x:c r="Q74" s="1" t="n">
        <x:v>45</x:v>
      </x:c>
      <x:c r="R74" s="1" t="str">
        <x:v>N</x:v>
      </x:c>
      <x:c r="S74" s="1" t="n">
        <x:v>0</x:v>
      </x:c>
      <x:c r="T74" s="1" t="str">
        <x:v>합격</x:v>
      </x:c>
    </x:row>
    <x:row r="75" ht="22" customHeight="1">
      <x:c r="A75" s="1" t="str">
        <x:v>R00074</x:v>
      </x:c>
      <x:c r="B75" s="4" t="n">
        <x:v>46215.11820601852</x:v>
      </x:c>
      <x:c r="C75" s="1" t="str">
        <x:v>야간</x:v>
      </x:c>
      <x:c r="D75" s="1" t="str">
        <x:v>L2</x:v>
      </x:c>
      <x:c r="E75" s="1" t="str">
        <x:v>P2</x:v>
      </x:c>
      <x:c r="F75" s="1" t="str">
        <x:v>M01</x:v>
      </x:c>
      <x:c r="G75" s="1" t="str">
        <x:v>G02</x:v>
      </x:c>
      <x:c r="H75" s="5" t="n">
        <x:v>29.2</x:v>
      </x:c>
      <x:c r="I75" s="5" t="n">
        <x:v>5.92</x:v>
      </x:c>
      <x:c r="J75" s="5" t="n">
        <x:v>54.3</x:v>
      </x:c>
      <x:c r="K75" s="5" t="n">
        <x:v>36.8</x:v>
      </x:c>
      <x:c r="L75" s="5" t="n">
        <x:v>2.54</x:v>
      </x:c>
      <x:c r="M75" s="1" t="n">
        <x:v>1</x:v>
      </x:c>
      <x:c r="N75" s="6" t="n">
        <x:v>1.018</x:v>
      </x:c>
      <x:c r="O75" s="1" t="str">
        <x:v>합격</x:v>
      </x:c>
      <x:c r="P75" s="1"/>
      <x:c r="Q75" s="1" t="n">
        <x:v>42</x:v>
      </x:c>
      <x:c r="R75" s="1" t="str">
        <x:v>N</x:v>
      </x:c>
      <x:c r="S75" s="1" t="n">
        <x:v>0</x:v>
      </x:c>
      <x:c r="T75" s="1" t="str">
        <x:v>합격</x:v>
      </x:c>
    </x:row>
    <x:row r="76" ht="22" customHeight="1">
      <x:c r="A76" s="1" t="str">
        <x:v>R00075</x:v>
      </x:c>
      <x:c r="B76" s="4" t="n">
        <x:v>46216.55747685185</x:v>
      </x:c>
      <x:c r="C76" s="1" t="str">
        <x:v>주간</x:v>
      </x:c>
      <x:c r="D76" s="1" t="str">
        <x:v>L1</x:v>
      </x:c>
      <x:c r="E76" s="1" t="str">
        <x:v>P1</x:v>
      </x:c>
      <x:c r="F76" s="1" t="str">
        <x:v>M01</x:v>
      </x:c>
      <x:c r="G76" s="1" t="str">
        <x:v>G03</x:v>
      </x:c>
      <x:c r="H76" s="5" t="n">
        <x:v>29.35</x:v>
      </x:c>
      <x:c r="I76" s="5" t="n">
        <x:v>5.99</x:v>
      </x:c>
      <x:c r="J76" s="5" t="n">
        <x:v>57.9</x:v>
      </x:c>
      <x:c r="K76" s="5" t="n">
        <x:v>41.6</x:v>
      </x:c>
      <x:c r="L76" s="5" t="n">
        <x:v>1.57</x:v>
      </x:c>
      <x:c r="M76" s="1" t="n">
        <x:v>0</x:v>
      </x:c>
      <x:c r="N76" s="6" t="n">
        <x:v>1</x:v>
      </x:c>
      <x:c r="O76" s="1" t="str">
        <x:v>합격</x:v>
      </x:c>
      <x:c r="P76" s="1"/>
      <x:c r="Q76" s="1" t="n">
        <x:v>48</x:v>
      </x:c>
      <x:c r="R76" s="1" t="str">
        <x:v>N</x:v>
      </x:c>
      <x:c r="S76" s="1" t="n">
        <x:v>0</x:v>
      </x:c>
      <x:c r="T76" s="1" t="str">
        <x:v>합격</x:v>
      </x:c>
    </x:row>
    <x:row r="77" ht="22" customHeight="1">
      <x:c r="A77" s="1" t="str">
        <x:v>R00076</x:v>
      </x:c>
      <x:c r="B77" s="4" t="n">
        <x:v>46217.88196759259</x:v>
      </x:c>
      <x:c r="C77" s="1" t="str">
        <x:v>야간</x:v>
      </x:c>
      <x:c r="D77" s="1" t="str">
        <x:v>L2</x:v>
      </x:c>
      <x:c r="E77" s="1" t="str">
        <x:v>P2</x:v>
      </x:c>
      <x:c r="F77" s="1" t="str">
        <x:v>M01</x:v>
      </x:c>
      <x:c r="G77" s="1" t="str">
        <x:v>G04</x:v>
      </x:c>
      <x:c r="H77" s="5" t="n">
        <x:v>29.29</x:v>
      </x:c>
      <x:c r="I77" s="5" t="n">
        <x:v>5.71</x:v>
      </x:c>
      <x:c r="J77" s="5" t="n">
        <x:v>49.8</x:v>
      </x:c>
      <x:c r="K77" s="5" t="n">
        <x:v>41.1</x:v>
      </x:c>
      <x:c r="L77" s="5" t="n">
        <x:v>1.33</x:v>
      </x:c>
      <x:c r="M77" s="1" t="n">
        <x:v>0</x:v>
      </x:c>
      <x:c r="N77" s="6" t="n">
        <x:v>1.045</x:v>
      </x:c>
      <x:c r="O77" s="1" t="str">
        <x:v>합격</x:v>
      </x:c>
      <x:c r="P77" s="1"/>
      <x:c r="Q77" s="1" t="n">
        <x:v>44</x:v>
      </x:c>
      <x:c r="R77" s="1" t="str">
        <x:v>N</x:v>
      </x:c>
      <x:c r="S77" s="1" t="n">
        <x:v>0</x:v>
      </x:c>
      <x:c r="T77" s="1" t="str">
        <x:v>합격</x:v>
      </x:c>
    </x:row>
    <x:row r="78" ht="22" customHeight="1">
      <x:c r="A78" s="1" t="str">
        <x:v>R00077</x:v>
      </x:c>
      <x:c r="B78" s="4" t="n">
        <x:v>46218.4228125</x:v>
      </x:c>
      <x:c r="C78" s="1" t="str">
        <x:v>주간</x:v>
      </x:c>
      <x:c r="D78" s="1" t="str">
        <x:v>L1</x:v>
      </x:c>
      <x:c r="E78" s="1" t="str">
        <x:v>P1</x:v>
      </x:c>
      <x:c r="F78" s="1" t="str">
        <x:v>M03</x:v>
      </x:c>
      <x:c r="G78" s="1" t="str">
        <x:v>G05</x:v>
      </x:c>
      <x:c r="H78" s="5" t="n">
        <x:v>28.42</x:v>
      </x:c>
      <x:c r="I78" s="5" t="n">
        <x:v>5.98</x:v>
      </x:c>
      <x:c r="J78" s="5" t="n">
        <x:v>51.2</x:v>
      </x:c>
      <x:c r="K78" s="5" t="n">
        <x:v>40.8</x:v>
      </x:c>
      <x:c r="L78" s="5" t="n">
        <x:v>2.19</x:v>
      </x:c>
      <x:c r="M78" s="1" t="n">
        <x:v>0</x:v>
      </x:c>
      <x:c r="N78" s="6" t="n">
        <x:v>1.035</x:v>
      </x:c>
      <x:c r="O78" s="1" t="str">
        <x:v>합격</x:v>
      </x:c>
      <x:c r="P78" s="1"/>
      <x:c r="Q78" s="1" t="n">
        <x:v>39</x:v>
      </x:c>
      <x:c r="R78" s="1" t="str">
        <x:v>N</x:v>
      </x:c>
      <x:c r="S78" s="1" t="n">
        <x:v>0</x:v>
      </x:c>
      <x:c r="T78" s="1" t="str">
        <x:v>합격</x:v>
      </x:c>
    </x:row>
    <x:row r="79" ht="22" customHeight="1">
      <x:c r="A79" s="1" t="str">
        <x:v>R00078</x:v>
      </x:c>
      <x:c r="B79" s="4" t="n">
        <x:v>46219.44849537037</x:v>
      </x:c>
      <x:c r="C79" s="1" t="str">
        <x:v>주간</x:v>
      </x:c>
      <x:c r="D79" s="1" t="str">
        <x:v>L2</x:v>
      </x:c>
      <x:c r="E79" s="1" t="str">
        <x:v>P2</x:v>
      </x:c>
      <x:c r="F79" s="1" t="str">
        <x:v>M02</x:v>
      </x:c>
      <x:c r="G79" s="1" t="str">
        <x:v>G06</x:v>
      </x:c>
      <x:c r="H79" s="5" t="n">
        <x:v>31.21</x:v>
      </x:c>
      <x:c r="I79" s="5" t="n">
        <x:v>5.62</x:v>
      </x:c>
      <x:c r="J79" s="5" t="n">
        <x:v>53.7</x:v>
      </x:c>
      <x:c r="K79" s="5" t="n">
        <x:v>37.8</x:v>
      </x:c>
      <x:c r="L79" s="5" t="n">
        <x:v>1.7</x:v>
      </x:c>
      <x:c r="M79" s="1" t="n">
        <x:v>1</x:v>
      </x:c>
      <x:c r="N79" s="6" t="n">
        <x:v>1.038</x:v>
      </x:c>
      <x:c r="O79" s="1" t="str">
        <x:v>합격</x:v>
      </x:c>
      <x:c r="P79" s="1"/>
      <x:c r="Q79" s="1" t="n">
        <x:v>43</x:v>
      </x:c>
      <x:c r="R79" s="1" t="str">
        <x:v>N</x:v>
      </x:c>
      <x:c r="S79" s="1" t="n">
        <x:v>0</x:v>
      </x:c>
      <x:c r="T79" s="1" t="str">
        <x:v>합격</x:v>
      </x:c>
    </x:row>
    <x:row r="80" ht="22" customHeight="1">
      <x:c r="A80" s="1" t="str">
        <x:v>R00079</x:v>
      </x:c>
      <x:c r="B80" s="4" t="n">
        <x:v>46220.138078703705</x:v>
      </x:c>
      <x:c r="C80" s="1" t="str">
        <x:v>야간</x:v>
      </x:c>
      <x:c r="D80" s="1" t="str">
        <x:v>L1</x:v>
      </x:c>
      <x:c r="E80" s="1" t="str">
        <x:v>P1</x:v>
      </x:c>
      <x:c r="F80" s="1" t="str">
        <x:v>M04</x:v>
      </x:c>
      <x:c r="G80" s="1" t="str">
        <x:v>G01</x:v>
      </x:c>
      <x:c r="H80" s="5" t="n">
        <x:v>31.11</x:v>
      </x:c>
      <x:c r="I80" s="5" t="n">
        <x:v>5.62</x:v>
      </x:c>
      <x:c r="J80" s="5" t="n">
        <x:v>53.6</x:v>
      </x:c>
      <x:c r="K80" s="5" t="n">
        <x:v>36.1</x:v>
      </x:c>
      <x:c r="L80" s="5" t="n">
        <x:v>2.7</x:v>
      </x:c>
      <x:c r="M80" s="1" t="n">
        <x:v>0</x:v>
      </x:c>
      <x:c r="N80" s="6" t="n">
        <x:v>0.954</x:v>
      </x:c>
      <x:c r="O80" s="1" t="str">
        <x:v>합격</x:v>
      </x:c>
      <x:c r="P80" s="1"/>
      <x:c r="Q80" s="1" t="n">
        <x:v>49</x:v>
      </x:c>
      <x:c r="R80" s="1" t="str">
        <x:v>N</x:v>
      </x:c>
      <x:c r="S80" s="1" t="n">
        <x:v>0</x:v>
      </x:c>
      <x:c r="T80" s="1" t="str">
        <x:v>합격</x:v>
      </x:c>
    </x:row>
    <x:row r="81" ht="22" customHeight="1">
      <x:c r="A81" s="1" t="str">
        <x:v>R00080</x:v>
      </x:c>
      <x:c r="B81" s="4" t="n">
        <x:v>46221.54256944444</x:v>
      </x:c>
      <x:c r="C81" s="1" t="str">
        <x:v>주간</x:v>
      </x:c>
      <x:c r="D81" s="1" t="str">
        <x:v>L1</x:v>
      </x:c>
      <x:c r="E81" s="1" t="str">
        <x:v>P1</x:v>
      </x:c>
      <x:c r="F81" s="1" t="str">
        <x:v>M01</x:v>
      </x:c>
      <x:c r="G81" s="1" t="str">
        <x:v>G02</x:v>
      </x:c>
      <x:c r="H81" s="5" t="n">
        <x:v>28.64</x:v>
      </x:c>
      <x:c r="I81" s="5" t="n">
        <x:v>5.76</x:v>
      </x:c>
      <x:c r="J81" s="5" t="n">
        <x:v>58.4</x:v>
      </x:c>
      <x:c r="K81" s="5" t="n">
        <x:v>36.4</x:v>
      </x:c>
      <x:c r="L81" s="5" t="n">
        <x:v>2.33</x:v>
      </x:c>
      <x:c r="M81" s="1" t="n">
        <x:v>1</x:v>
      </x:c>
      <x:c r="N81" s="6" t="n">
        <x:v>0.928</x:v>
      </x:c>
      <x:c r="O81" s="1" t="str">
        <x:v>합격</x:v>
      </x:c>
      <x:c r="P81" s="1"/>
      <x:c r="Q81" s="1" t="n">
        <x:v>39</x:v>
      </x:c>
      <x:c r="R81" s="1" t="str">
        <x:v>N</x:v>
      </x:c>
      <x:c r="S81" s="1" t="n">
        <x:v>0</x:v>
      </x:c>
      <x:c r="T81" s="1" t="str">
        <x:v>합격</x:v>
      </x:c>
    </x:row>
    <x:row r="82" ht="22" customHeight="1">
      <x:c r="A82" s="1" t="str">
        <x:v>R00081</x:v>
      </x:c>
      <x:c r="B82" s="4" t="n">
        <x:v>46222.859456018516</x:v>
      </x:c>
      <x:c r="C82" s="1" t="str">
        <x:v>야간</x:v>
      </x:c>
      <x:c r="D82" s="1" t="str">
        <x:v>L2</x:v>
      </x:c>
      <x:c r="E82" s="1" t="str">
        <x:v>P2</x:v>
      </x:c>
      <x:c r="F82" s="1" t="str">
        <x:v>M01</x:v>
      </x:c>
      <x:c r="G82" s="1" t="str">
        <x:v>G03</x:v>
      </x:c>
      <x:c r="H82" s="5" t="n">
        <x:v>27.51</x:v>
      </x:c>
      <x:c r="I82" s="5" t="n">
        <x:v>5.67</x:v>
      </x:c>
      <x:c r="J82" s="5" t="n">
        <x:v>54.6</x:v>
      </x:c>
      <x:c r="K82" s="5" t="n">
        <x:v>38</x:v>
      </x:c>
      <x:c r="L82" s="5" t="n">
        <x:v>1.7</x:v>
      </x:c>
      <x:c r="M82" s="1" t="n">
        <x:v>1</x:v>
      </x:c>
      <x:c r="N82" s="6" t="n">
        <x:v>1.022</x:v>
      </x:c>
      <x:c r="O82" s="1" t="str">
        <x:v>합격</x:v>
      </x:c>
      <x:c r="P82" s="1"/>
      <x:c r="Q82" s="1" t="n">
        <x:v>45</x:v>
      </x:c>
      <x:c r="R82" s="1" t="str">
        <x:v>N</x:v>
      </x:c>
      <x:c r="S82" s="1" t="n">
        <x:v>0</x:v>
      </x:c>
      <x:c r="T82" s="1" t="str">
        <x:v>합격</x:v>
      </x:c>
    </x:row>
    <x:row r="83" ht="22" customHeight="1">
      <x:c r="A83" s="1" t="str">
        <x:v>R00082</x:v>
      </x:c>
      <x:c r="B83" s="4" t="n">
        <x:v>46223.97730324074</x:v>
      </x:c>
      <x:c r="C83" s="1" t="str">
        <x:v>야간</x:v>
      </x:c>
      <x:c r="D83" s="1" t="str">
        <x:v>L1</x:v>
      </x:c>
      <x:c r="E83" s="1" t="str">
        <x:v>P1</x:v>
      </x:c>
      <x:c r="F83" s="1" t="str">
        <x:v>M04</x:v>
      </x:c>
      <x:c r="G83" s="1" t="str">
        <x:v>G04</x:v>
      </x:c>
      <x:c r="H83" s="5" t="n">
        <x:v>29.82</x:v>
      </x:c>
      <x:c r="I83" s="5" t="n">
        <x:v>5.72</x:v>
      </x:c>
      <x:c r="J83" s="5" t="n">
        <x:v>51.4</x:v>
      </x:c>
      <x:c r="K83" s="5" t="n">
        <x:v>38.5</x:v>
      </x:c>
      <x:c r="L83" s="5" t="n">
        <x:v>1.62</x:v>
      </x:c>
      <x:c r="M83" s="1" t="n">
        <x:v>1</x:v>
      </x:c>
      <x:c r="N83" s="6" t="n">
        <x:v>0.851</x:v>
      </x:c>
      <x:c r="O83" s="1" t="str">
        <x:v>합격</x:v>
      </x:c>
      <x:c r="P83" s="1"/>
      <x:c r="Q83" s="1" t="n">
        <x:v>43</x:v>
      </x:c>
      <x:c r="R83" s="1" t="str">
        <x:v>N</x:v>
      </x:c>
      <x:c r="S83" s="1" t="n">
        <x:v>0</x:v>
      </x:c>
      <x:c r="T83" s="1" t="str">
        <x:v>합격</x:v>
      </x:c>
    </x:row>
    <x:row r="84" ht="22" customHeight="1">
      <x:c r="A84" s="1" t="str">
        <x:v>R00083</x:v>
      </x:c>
      <x:c r="B84" s="4" t="n">
        <x:v>46224.44625</x:v>
      </x:c>
      <x:c r="C84" s="1" t="str">
        <x:v>주간</x:v>
      </x:c>
      <x:c r="D84" s="1" t="str">
        <x:v>L1</x:v>
      </x:c>
      <x:c r="E84" s="1" t="str">
        <x:v>P1</x:v>
      </x:c>
      <x:c r="F84" s="1" t="str">
        <x:v>M03</x:v>
      </x:c>
      <x:c r="G84" s="1" t="str">
        <x:v>G05</x:v>
      </x:c>
      <x:c r="H84" s="5" t="n">
        <x:v>32.45</x:v>
      </x:c>
      <x:c r="I84" s="5" t="n">
        <x:v>5.76</x:v>
      </x:c>
      <x:c r="J84" s="5" t="n">
        <x:v>58.3</x:v>
      </x:c>
      <x:c r="K84" s="5" t="n">
        <x:v>41.5</x:v>
      </x:c>
      <x:c r="L84" s="5" t="n">
        <x:v>2.32</x:v>
      </x:c>
      <x:c r="M84" s="1" t="n">
        <x:v>1</x:v>
      </x:c>
      <x:c r="N84" s="6" t="n">
        <x:v>1.047</x:v>
      </x:c>
      <x:c r="O84" s="1" t="str">
        <x:v>합격</x:v>
      </x:c>
      <x:c r="P84" s="1"/>
      <x:c r="Q84" s="1" t="n">
        <x:v>38</x:v>
      </x:c>
      <x:c r="R84" s="1" t="str">
        <x:v>N</x:v>
      </x:c>
      <x:c r="S84" s="1" t="n">
        <x:v>0</x:v>
      </x:c>
      <x:c r="T84" s="1" t="str">
        <x:v>합격</x:v>
      </x:c>
    </x:row>
    <x:row r="85" ht="22" customHeight="1">
      <x:c r="A85" s="1" t="str">
        <x:v>R00084</x:v>
      </x:c>
      <x:c r="B85" s="4" t="n">
        <x:v>46225.15456018518</x:v>
      </x:c>
      <x:c r="C85" s="1" t="str">
        <x:v>야간</x:v>
      </x:c>
      <x:c r="D85" s="1" t="str">
        <x:v>L1</x:v>
      </x:c>
      <x:c r="E85" s="1" t="str">
        <x:v>P1</x:v>
      </x:c>
      <x:c r="F85" s="1" t="str">
        <x:v>M04</x:v>
      </x:c>
      <x:c r="G85" s="1" t="str">
        <x:v>G06</x:v>
      </x:c>
      <x:c r="H85" s="5" t="n">
        <x:v>29.73</x:v>
      </x:c>
      <x:c r="I85" s="5" t="n">
        <x:v>5.93</x:v>
      </x:c>
      <x:c r="J85" s="5" t="n">
        <x:v>52.8</x:v>
      </x:c>
      <x:c r="K85" s="5" t="n">
        <x:v>40.6</x:v>
      </x:c>
      <x:c r="L85" s="5" t="n">
        <x:v>1.38</x:v>
      </x:c>
      <x:c r="M85" s="1" t="n">
        <x:v>1</x:v>
      </x:c>
      <x:c r="N85" s="6" t="n">
        <x:v>0.882</x:v>
      </x:c>
      <x:c r="O85" s="1" t="str">
        <x:v>합격</x:v>
      </x:c>
      <x:c r="P85" s="1"/>
      <x:c r="Q85" s="1" t="n">
        <x:v>39</x:v>
      </x:c>
      <x:c r="R85" s="1" t="str">
        <x:v>N</x:v>
      </x:c>
      <x:c r="S85" s="1" t="n">
        <x:v>0</x:v>
      </x:c>
      <x:c r="T85" s="1" t="str">
        <x:v>합격</x:v>
      </x:c>
    </x:row>
    <x:row r="86" ht="22" customHeight="1">
      <x:c r="A86" s="1" t="str">
        <x:v>R00085</x:v>
      </x:c>
      <x:c r="B86" s="4" t="n">
        <x:v>46226.367893518516</x:v>
      </x:c>
      <x:c r="C86" s="1" t="str">
        <x:v>주간</x:v>
      </x:c>
      <x:c r="D86" s="1" t="str">
        <x:v>L1</x:v>
      </x:c>
      <x:c r="E86" s="1" t="str">
        <x:v>P1</x:v>
      </x:c>
      <x:c r="F86" s="1" t="str">
        <x:v>M01</x:v>
      </x:c>
      <x:c r="G86" s="1" t="str">
        <x:v>G01</x:v>
      </x:c>
      <x:c r="H86" s="5" t="n">
        <x:v>31.76</x:v>
      </x:c>
      <x:c r="I86" s="5" t="n">
        <x:v>5.8</x:v>
      </x:c>
      <x:c r="J86" s="5" t="n">
        <x:v>50.8</x:v>
      </x:c>
      <x:c r="K86" s="5" t="n">
        <x:v>37.4</x:v>
      </x:c>
      <x:c r="L86" s="5" t="n">
        <x:v>2.06</x:v>
      </x:c>
      <x:c r="M86" s="1" t="n">
        <x:v>0</x:v>
      </x:c>
      <x:c r="N86" s="6" t="n">
        <x:v>0.891</x:v>
      </x:c>
      <x:c r="O86" s="1" t="str">
        <x:v>합격</x:v>
      </x:c>
      <x:c r="P86" s="1"/>
      <x:c r="Q86" s="1" t="n">
        <x:v>42</x:v>
      </x:c>
      <x:c r="R86" s="1" t="str">
        <x:v>N</x:v>
      </x:c>
      <x:c r="S86" s="1" t="n">
        <x:v>0</x:v>
      </x:c>
      <x:c r="T86" s="1" t="str">
        <x:v>합격</x:v>
      </x:c>
    </x:row>
    <x:row r="87" ht="22" customHeight="1">
      <x:c r="A87" s="1" t="str">
        <x:v>R00086</x:v>
      </x:c>
      <x:c r="B87" s="4" t="n">
        <x:v>46227.078194444446</x:v>
      </x:c>
      <x:c r="C87" s="1" t="str">
        <x:v>야간</x:v>
      </x:c>
      <x:c r="D87" s="1" t="str">
        <x:v>L1</x:v>
      </x:c>
      <x:c r="E87" s="1" t="str">
        <x:v>P1</x:v>
      </x:c>
      <x:c r="F87" s="1" t="str">
        <x:v>M04</x:v>
      </x:c>
      <x:c r="G87" s="1" t="str">
        <x:v>G02</x:v>
      </x:c>
      <x:c r="H87" s="5" t="n">
        <x:v>28.51</x:v>
      </x:c>
      <x:c r="I87" s="5" t="n">
        <x:v>5.98</x:v>
      </x:c>
      <x:c r="J87" s="5" t="n">
        <x:v>53.6</x:v>
      </x:c>
      <x:c r="K87" s="5" t="n">
        <x:v>41</x:v>
      </x:c>
      <x:c r="L87" s="5" t="n">
        <x:v>1.98</x:v>
      </x:c>
      <x:c r="M87" s="1" t="n">
        <x:v>1</x:v>
      </x:c>
      <x:c r="N87" s="6" t="n">
        <x:v>1.007</x:v>
      </x:c>
      <x:c r="O87" s="1" t="str">
        <x:v>합격</x:v>
      </x:c>
      <x:c r="P87" s="1"/>
      <x:c r="Q87" s="1" t="n">
        <x:v>43</x:v>
      </x:c>
      <x:c r="R87" s="1" t="str">
        <x:v>N</x:v>
      </x:c>
      <x:c r="S87" s="1" t="n">
        <x:v>0</x:v>
      </x:c>
      <x:c r="T87" s="1" t="str">
        <x:v>합격</x:v>
      </x:c>
    </x:row>
    <x:row r="88" ht="22" customHeight="1">
      <x:c r="A88" s="1" t="str">
        <x:v>R00087</x:v>
      </x:c>
      <x:c r="B88" s="4" t="n">
        <x:v>46228.59208333334</x:v>
      </x:c>
      <x:c r="C88" s="1" t="str">
        <x:v>주간</x:v>
      </x:c>
      <x:c r="D88" s="1" t="str">
        <x:v>L2</x:v>
      </x:c>
      <x:c r="E88" s="1" t="str">
        <x:v>P2</x:v>
      </x:c>
      <x:c r="F88" s="1" t="str">
        <x:v>M04</x:v>
      </x:c>
      <x:c r="G88" s="1" t="str">
        <x:v>G03</x:v>
      </x:c>
      <x:c r="H88" s="5" t="n">
        <x:v>27.6</x:v>
      </x:c>
      <x:c r="I88" s="5" t="n">
        <x:v>5.64</x:v>
      </x:c>
      <x:c r="J88" s="5" t="n">
        <x:v>48</x:v>
      </x:c>
      <x:c r="K88" s="5" t="n">
        <x:v>38.8</x:v>
      </x:c>
      <x:c r="L88" s="5" t="n">
        <x:v>1.8</x:v>
      </x:c>
      <x:c r="M88" s="1" t="n">
        <x:v>1</x:v>
      </x:c>
      <x:c r="N88" s="6" t="n">
        <x:v>0.95</x:v>
      </x:c>
      <x:c r="O88" s="1" t="str">
        <x:v>합격</x:v>
      </x:c>
      <x:c r="P88" s="1"/>
      <x:c r="Q88" s="1" t="n">
        <x:v>43</x:v>
      </x:c>
      <x:c r="R88" s="1" t="str">
        <x:v>N</x:v>
      </x:c>
      <x:c r="S88" s="1" t="n">
        <x:v>0</x:v>
      </x:c>
      <x:c r="T88" s="1" t="str">
        <x:v>합격</x:v>
      </x:c>
    </x:row>
    <x:row r="89" ht="22" customHeight="1">
      <x:c r="A89" s="1" t="str">
        <x:v>R00088</x:v>
      </x:c>
      <x:c r="B89" s="4" t="n">
        <x:v>46229.63068287037</x:v>
      </x:c>
      <x:c r="C89" s="1" t="str">
        <x:v>주간</x:v>
      </x:c>
      <x:c r="D89" s="1" t="str">
        <x:v>L2</x:v>
      </x:c>
      <x:c r="E89" s="1" t="str">
        <x:v>P2</x:v>
      </x:c>
      <x:c r="F89" s="1" t="str">
        <x:v>M02</x:v>
      </x:c>
      <x:c r="G89" s="1" t="str">
        <x:v>G04</x:v>
      </x:c>
      <x:c r="H89" s="5" t="n">
        <x:v>31.79</x:v>
      </x:c>
      <x:c r="I89" s="5" t="n">
        <x:v>5.95</x:v>
      </x:c>
      <x:c r="J89" s="5" t="n">
        <x:v>48.1</x:v>
      </x:c>
      <x:c r="K89" s="5" t="n">
        <x:v>38.4</x:v>
      </x:c>
      <x:c r="L89" s="5" t="n">
        <x:v>2.4</x:v>
      </x:c>
      <x:c r="M89" s="1" t="n">
        <x:v>1</x:v>
      </x:c>
      <x:c r="N89" s="6" t="n">
        <x:v>0.992</x:v>
      </x:c>
      <x:c r="O89" s="1" t="str">
        <x:v>합격</x:v>
      </x:c>
      <x:c r="P89" s="1"/>
      <x:c r="Q89" s="1" t="n">
        <x:v>46</x:v>
      </x:c>
      <x:c r="R89" s="1" t="str">
        <x:v>N</x:v>
      </x:c>
      <x:c r="S89" s="1" t="n">
        <x:v>0</x:v>
      </x:c>
      <x:c r="T89" s="1" t="str">
        <x:v>합격</x:v>
      </x:c>
    </x:row>
    <x:row r="90" ht="22" customHeight="1">
      <x:c r="A90" s="1" t="str">
        <x:v>R00089</x:v>
      </x:c>
      <x:c r="B90" s="4" t="n">
        <x:v>46230.587696759256</x:v>
      </x:c>
      <x:c r="C90" s="1" t="str">
        <x:v>주간</x:v>
      </x:c>
      <x:c r="D90" s="1" t="str">
        <x:v>L1</x:v>
      </x:c>
      <x:c r="E90" s="1" t="str">
        <x:v>P1</x:v>
      </x:c>
      <x:c r="F90" s="1" t="str">
        <x:v>M02</x:v>
      </x:c>
      <x:c r="G90" s="1" t="str">
        <x:v>G05</x:v>
      </x:c>
      <x:c r="H90" s="5" t="n">
        <x:v>33.36</x:v>
      </x:c>
      <x:c r="I90" s="5" t="n">
        <x:v>5.82</x:v>
      </x:c>
      <x:c r="J90" s="5" t="n">
        <x:v>58.4</x:v>
      </x:c>
      <x:c r="K90" s="5" t="n">
        <x:v>40</x:v>
      </x:c>
      <x:c r="L90" s="5" t="n">
        <x:v>2.65</x:v>
      </x:c>
      <x:c r="M90" s="1" t="n">
        <x:v>1</x:v>
      </x:c>
      <x:c r="N90" s="6" t="n">
        <x:v>1.001</x:v>
      </x:c>
      <x:c r="O90" s="1" t="str">
        <x:v>불합격</x:v>
      </x:c>
      <x:c r="P90" s="1" t="str">
        <x:v>치수불량</x:v>
      </x:c>
      <x:c r="Q90" s="1" t="n">
        <x:v>42</x:v>
      </x:c>
      <x:c r="R90" s="1" t="str">
        <x:v>Y</x:v>
      </x:c>
      <x:c r="S90" s="1" t="n">
        <x:v>8</x:v>
      </x:c>
      <x:c r="T90" s="1" t="str">
        <x:v>재작업후합격</x:v>
      </x:c>
    </x:row>
    <x:row r="91" ht="22" customHeight="1">
      <x:c r="A91" s="1" t="str">
        <x:v>R00090</x:v>
      </x:c>
      <x:c r="B91" s="4" t="n">
        <x:v>46231.43079861111</x:v>
      </x:c>
      <x:c r="C91" s="1" t="str">
        <x:v>주간</x:v>
      </x:c>
      <x:c r="D91" s="1" t="str">
        <x:v>L1</x:v>
      </x:c>
      <x:c r="E91" s="1" t="str">
        <x:v>P1</x:v>
      </x:c>
      <x:c r="F91" s="1" t="str">
        <x:v>M01</x:v>
      </x:c>
      <x:c r="G91" s="1" t="str">
        <x:v>G06</x:v>
      </x:c>
      <x:c r="H91" s="5" t="n">
        <x:v>28.13</x:v>
      </x:c>
      <x:c r="I91" s="5" t="n">
        <x:v>5.96</x:v>
      </x:c>
      <x:c r="J91" s="5" t="n">
        <x:v>54</x:v>
      </x:c>
      <x:c r="K91" s="5" t="n">
        <x:v>39.1</x:v>
      </x:c>
      <x:c r="L91" s="5" t="n">
        <x:v>2.46</x:v>
      </x:c>
      <x:c r="M91" s="1" t="n">
        <x:v>0</x:v>
      </x:c>
      <x:c r="N91" s="6" t="n">
        <x:v>1.009</x:v>
      </x:c>
      <x:c r="O91" s="1" t="str">
        <x:v>합격</x:v>
      </x:c>
      <x:c r="P91" s="1"/>
      <x:c r="Q91" s="1" t="n">
        <x:v>38</x:v>
      </x:c>
      <x:c r="R91" s="1" t="str">
        <x:v>N</x:v>
      </x:c>
      <x:c r="S91" s="1" t="n">
        <x:v>0</x:v>
      </x:c>
      <x:c r="T91" s="1" t="str">
        <x:v>합격</x:v>
      </x:c>
    </x:row>
    <x:row r="92" ht="22" customHeight="1">
      <x:c r="A92" s="1" t="str">
        <x:v>R00091</x:v>
      </x:c>
      <x:c r="B92" s="4" t="n">
        <x:v>46232.12268518518</x:v>
      </x:c>
      <x:c r="C92" s="1" t="str">
        <x:v>야간</x:v>
      </x:c>
      <x:c r="D92" s="1" t="str">
        <x:v>L2</x:v>
      </x:c>
      <x:c r="E92" s="1" t="str">
        <x:v>P2</x:v>
      </x:c>
      <x:c r="F92" s="1" t="str">
        <x:v>M01</x:v>
      </x:c>
      <x:c r="G92" s="1" t="str">
        <x:v>G01</x:v>
      </x:c>
      <x:c r="H92" s="5" t="n">
        <x:v>28.19</x:v>
      </x:c>
      <x:c r="I92" s="5" t="n">
        <x:v>5.71</x:v>
      </x:c>
      <x:c r="J92" s="5" t="n">
        <x:v>51.9</x:v>
      </x:c>
      <x:c r="K92" s="5" t="n">
        <x:v>37.3</x:v>
      </x:c>
      <x:c r="L92" s="5" t="n">
        <x:v>1.81</x:v>
      </x:c>
      <x:c r="M92" s="1" t="n">
        <x:v>0</x:v>
      </x:c>
      <x:c r="N92" s="6" t="n">
        <x:v>0.926</x:v>
      </x:c>
      <x:c r="O92" s="1" t="str">
        <x:v>합격</x:v>
      </x:c>
      <x:c r="P92" s="1"/>
      <x:c r="Q92" s="1" t="n">
        <x:v>44</x:v>
      </x:c>
      <x:c r="R92" s="1" t="str">
        <x:v>N</x:v>
      </x:c>
      <x:c r="S92" s="1" t="n">
        <x:v>0</x:v>
      </x:c>
      <x:c r="T92" s="1" t="str">
        <x:v>합격</x:v>
      </x:c>
    </x:row>
    <x:row r="93" ht="22" customHeight="1">
      <x:c r="A93" s="1" t="str">
        <x:v>R00092</x:v>
      </x:c>
      <x:c r="B93" s="4" t="n">
        <x:v>46233.95638888889</x:v>
      </x:c>
      <x:c r="C93" s="1" t="str">
        <x:v>야간</x:v>
      </x:c>
      <x:c r="D93" s="1" t="str">
        <x:v>L1</x:v>
      </x:c>
      <x:c r="E93" s="1" t="str">
        <x:v>P1</x:v>
      </x:c>
      <x:c r="F93" s="1" t="str">
        <x:v>M03</x:v>
      </x:c>
      <x:c r="G93" s="1" t="str">
        <x:v>G02</x:v>
      </x:c>
      <x:c r="H93" s="5" t="n">
        <x:v>27.23</x:v>
      </x:c>
      <x:c r="I93" s="5" t="n">
        <x:v>5.63</x:v>
      </x:c>
      <x:c r="J93" s="5" t="n">
        <x:v>51</x:v>
      </x:c>
      <x:c r="K93" s="5" t="n">
        <x:v>39.5</x:v>
      </x:c>
      <x:c r="L93" s="5" t="n">
        <x:v>1.97</x:v>
      </x:c>
      <x:c r="M93" s="1" t="n">
        <x:v>1</x:v>
      </x:c>
      <x:c r="N93" s="6" t="n">
        <x:v>0.992</x:v>
      </x:c>
      <x:c r="O93" s="1" t="str">
        <x:v>불합격</x:v>
      </x:c>
      <x:c r="P93" s="1" t="str">
        <x:v>체결불량</x:v>
      </x:c>
      <x:c r="Q93" s="1" t="n">
        <x:v>43</x:v>
      </x:c>
      <x:c r="R93" s="1" t="str">
        <x:v>Y</x:v>
      </x:c>
      <x:c r="S93" s="1" t="n">
        <x:v>7</x:v>
      </x:c>
      <x:c r="T93" s="1" t="str">
        <x:v>재작업후합격</x:v>
      </x:c>
    </x:row>
    <x:row r="94" ht="22" customHeight="1">
      <x:c r="A94" s="1" t="str">
        <x:v>R00093</x:v>
      </x:c>
      <x:c r="B94" s="4" t="n">
        <x:v>46234.93174768519</x:v>
      </x:c>
      <x:c r="C94" s="1" t="str">
        <x:v>야간</x:v>
      </x:c>
      <x:c r="D94" s="1" t="str">
        <x:v>L1</x:v>
      </x:c>
      <x:c r="E94" s="1" t="str">
        <x:v>P1</x:v>
      </x:c>
      <x:c r="F94" s="1" t="str">
        <x:v>M03</x:v>
      </x:c>
      <x:c r="G94" s="1" t="str">
        <x:v>G03</x:v>
      </x:c>
      <x:c r="H94" s="5" t="n">
        <x:v>33.79</x:v>
      </x:c>
      <x:c r="I94" s="5" t="n">
        <x:v>5.82</x:v>
      </x:c>
      <x:c r="J94" s="5" t="n">
        <x:v>55</x:v>
      </x:c>
      <x:c r="K94" s="5" t="n">
        <x:v>36.2</x:v>
      </x:c>
      <x:c r="L94" s="5" t="n">
        <x:v>1.56</x:v>
      </x:c>
      <x:c r="M94" s="1" t="n">
        <x:v>1</x:v>
      </x:c>
      <x:c r="N94" s="6" t="n">
        <x:v>1.043</x:v>
      </x:c>
      <x:c r="O94" s="1" t="str">
        <x:v>합격</x:v>
      </x:c>
      <x:c r="P94" s="1"/>
      <x:c r="Q94" s="1" t="n">
        <x:v>48</x:v>
      </x:c>
      <x:c r="R94" s="1" t="str">
        <x:v>N</x:v>
      </x:c>
      <x:c r="S94" s="1" t="n">
        <x:v>0</x:v>
      </x:c>
      <x:c r="T94" s="1" t="str">
        <x:v>합격</x:v>
      </x:c>
    </x:row>
    <x:row r="95" ht="22" customHeight="1">
      <x:c r="A95" s="1" t="str">
        <x:v>R00094</x:v>
      </x:c>
      <x:c r="B95" s="4" t="n">
        <x:v>46204.61827546296</x:v>
      </x:c>
      <x:c r="C95" s="1" t="str">
        <x:v>주간</x:v>
      </x:c>
      <x:c r="D95" s="1" t="str">
        <x:v>L1</x:v>
      </x:c>
      <x:c r="E95" s="1" t="str">
        <x:v>P1</x:v>
      </x:c>
      <x:c r="F95" s="1" t="str">
        <x:v>M01</x:v>
      </x:c>
      <x:c r="G95" s="1" t="str">
        <x:v>G04</x:v>
      </x:c>
      <x:c r="H95" s="5" t="n">
        <x:v>28.51</x:v>
      </x:c>
      <x:c r="I95" s="5" t="n">
        <x:v>5.97</x:v>
      </x:c>
      <x:c r="J95" s="5" t="n">
        <x:v>58.8</x:v>
      </x:c>
      <x:c r="K95" s="5" t="n">
        <x:v>41.9</x:v>
      </x:c>
      <x:c r="L95" s="5" t="n">
        <x:v>2.57</x:v>
      </x:c>
      <x:c r="M95" s="1" t="n">
        <x:v>0</x:v>
      </x:c>
      <x:c r="N95" s="6" t="n">
        <x:v>1.04</x:v>
      </x:c>
      <x:c r="O95" s="1" t="str">
        <x:v>합격</x:v>
      </x:c>
      <x:c r="P95" s="1"/>
      <x:c r="Q95" s="1" t="n">
        <x:v>43</x:v>
      </x:c>
      <x:c r="R95" s="1" t="str">
        <x:v>N</x:v>
      </x:c>
      <x:c r="S95" s="1" t="n">
        <x:v>0</x:v>
      </x:c>
      <x:c r="T95" s="1" t="str">
        <x:v>합격</x:v>
      </x:c>
    </x:row>
    <x:row r="96" ht="22" customHeight="1">
      <x:c r="A96" s="1" t="str">
        <x:v>R00095</x:v>
      </x:c>
      <x:c r="B96" s="4" t="n">
        <x:v>46205.09238425926</x:v>
      </x:c>
      <x:c r="C96" s="1" t="str">
        <x:v>야간</x:v>
      </x:c>
      <x:c r="D96" s="1" t="str">
        <x:v>L2</x:v>
      </x:c>
      <x:c r="E96" s="1" t="str">
        <x:v>P2</x:v>
      </x:c>
      <x:c r="F96" s="1" t="str">
        <x:v>M01</x:v>
      </x:c>
      <x:c r="G96" s="1" t="str">
        <x:v>G05</x:v>
      </x:c>
      <x:c r="H96" s="5" t="n">
        <x:v>32.7</x:v>
      </x:c>
      <x:c r="I96" s="5" t="n">
        <x:v>5.8</x:v>
      </x:c>
      <x:c r="J96" s="5" t="n">
        <x:v>58.5</x:v>
      </x:c>
      <x:c r="K96" s="5" t="n">
        <x:v>40.6</x:v>
      </x:c>
      <x:c r="L96" s="5" t="n">
        <x:v>2.11</x:v>
      </x:c>
      <x:c r="M96" s="1" t="n">
        <x:v>1</x:v>
      </x:c>
      <x:c r="N96" s="6" t="n">
        <x:v>0.999</x:v>
      </x:c>
      <x:c r="O96" s="1" t="str">
        <x:v>합격</x:v>
      </x:c>
      <x:c r="P96" s="1"/>
      <x:c r="Q96" s="1" t="n">
        <x:v>46</x:v>
      </x:c>
      <x:c r="R96" s="1" t="str">
        <x:v>N</x:v>
      </x:c>
      <x:c r="S96" s="1" t="n">
        <x:v>0</x:v>
      </x:c>
      <x:c r="T96" s="1" t="str">
        <x:v>합격</x:v>
      </x:c>
    </x:row>
    <x:row r="97" ht="22" customHeight="1">
      <x:c r="A97" s="1" t="str">
        <x:v>R00096</x:v>
      </x:c>
      <x:c r="B97" s="4" t="n">
        <x:v>46206.11524305555</x:v>
      </x:c>
      <x:c r="C97" s="1" t="str">
        <x:v>야간</x:v>
      </x:c>
      <x:c r="D97" s="1" t="str">
        <x:v>L1</x:v>
      </x:c>
      <x:c r="E97" s="1" t="str">
        <x:v>P1</x:v>
      </x:c>
      <x:c r="F97" s="1" t="str">
        <x:v>M03</x:v>
      </x:c>
      <x:c r="G97" s="1" t="str">
        <x:v>G06</x:v>
      </x:c>
      <x:c r="H97" s="5" t="n">
        <x:v>25.93</x:v>
      </x:c>
      <x:c r="I97" s="5" t="n">
        <x:v>5.79</x:v>
      </x:c>
      <x:c r="J97" s="5" t="n">
        <x:v>49.6</x:v>
      </x:c>
      <x:c r="K97" s="5" t="n">
        <x:v>37.4</x:v>
      </x:c>
      <x:c r="L97" s="5" t="n">
        <x:v>1.43</x:v>
      </x:c>
      <x:c r="M97" s="1" t="n">
        <x:v>1</x:v>
      </x:c>
      <x:c r="N97" s="6" t="n">
        <x:v>0.931</x:v>
      </x:c>
      <x:c r="O97" s="1" t="str">
        <x:v>합격</x:v>
      </x:c>
      <x:c r="P97" s="1"/>
      <x:c r="Q97" s="1" t="n">
        <x:v>45</x:v>
      </x:c>
      <x:c r="R97" s="1" t="str">
        <x:v>N</x:v>
      </x:c>
      <x:c r="S97" s="1" t="n">
        <x:v>0</x:v>
      </x:c>
      <x:c r="T97" s="1" t="str">
        <x:v>합격</x:v>
      </x:c>
    </x:row>
    <x:row r="98" ht="22" customHeight="1">
      <x:c r="A98" s="1" t="str">
        <x:v>R00097</x:v>
      </x:c>
      <x:c r="B98" s="4" t="n">
        <x:v>46207.38581018519</x:v>
      </x:c>
      <x:c r="C98" s="1" t="str">
        <x:v>주간</x:v>
      </x:c>
      <x:c r="D98" s="1" t="str">
        <x:v>L2</x:v>
      </x:c>
      <x:c r="E98" s="1" t="str">
        <x:v>P2</x:v>
      </x:c>
      <x:c r="F98" s="1" t="str">
        <x:v>M03</x:v>
      </x:c>
      <x:c r="G98" s="1" t="str">
        <x:v>G01</x:v>
      </x:c>
      <x:c r="H98" s="5" t="n">
        <x:v>34.06</x:v>
      </x:c>
      <x:c r="I98" s="5" t="n">
        <x:v>5.77</x:v>
      </x:c>
      <x:c r="J98" s="5" t="n">
        <x:v>49.3</x:v>
      </x:c>
      <x:c r="K98" s="5" t="n">
        <x:v>42</x:v>
      </x:c>
      <x:c r="L98" s="5" t="n">
        <x:v>1.75</x:v>
      </x:c>
      <x:c r="M98" s="1" t="n">
        <x:v>0</x:v>
      </x:c>
      <x:c r="N98" s="6" t="n">
        <x:v>0.951</x:v>
      </x:c>
      <x:c r="O98" s="1" t="str">
        <x:v>불합격</x:v>
      </x:c>
      <x:c r="P98" s="1" t="str">
        <x:v>치수불량</x:v>
      </x:c>
      <x:c r="Q98" s="1" t="n">
        <x:v>41</x:v>
      </x:c>
      <x:c r="R98" s="1" t="str">
        <x:v>Y</x:v>
      </x:c>
      <x:c r="S98" s="1" t="n">
        <x:v>9</x:v>
      </x:c>
      <x:c r="T98" s="1" t="str">
        <x:v>재작업후합격</x:v>
      </x:c>
    </x:row>
    <x:row r="99" ht="22" customHeight="1">
      <x:c r="A99" s="1" t="str">
        <x:v>R00098</x:v>
      </x:c>
      <x:c r="B99" s="4" t="n">
        <x:v>46208.605729166666</x:v>
      </x:c>
      <x:c r="C99" s="1" t="str">
        <x:v>주간</x:v>
      </x:c>
      <x:c r="D99" s="1" t="str">
        <x:v>L2</x:v>
      </x:c>
      <x:c r="E99" s="1" t="str">
        <x:v>P2</x:v>
      </x:c>
      <x:c r="F99" s="1" t="str">
        <x:v>M02</x:v>
      </x:c>
      <x:c r="G99" s="1" t="str">
        <x:v>G02</x:v>
      </x:c>
      <x:c r="H99" s="5" t="n">
        <x:v>29.58</x:v>
      </x:c>
      <x:c r="I99" s="5" t="n">
        <x:v>5.61</x:v>
      </x:c>
      <x:c r="J99" s="5" t="n">
        <x:v>55.5</x:v>
      </x:c>
      <x:c r="K99" s="5" t="n">
        <x:v>41.2</x:v>
      </x:c>
      <x:c r="L99" s="5" t="n">
        <x:v>2.21</x:v>
      </x:c>
      <x:c r="M99" s="1" t="n">
        <x:v>1</x:v>
      </x:c>
      <x:c r="N99" s="6" t="n">
        <x:v>0.933</x:v>
      </x:c>
      <x:c r="O99" s="1" t="str">
        <x:v>합격</x:v>
      </x:c>
      <x:c r="P99" s="1"/>
      <x:c r="Q99" s="1" t="n">
        <x:v>45</x:v>
      </x:c>
      <x:c r="R99" s="1" t="str">
        <x:v>N</x:v>
      </x:c>
      <x:c r="S99" s="1" t="n">
        <x:v>0</x:v>
      </x:c>
      <x:c r="T99" s="1" t="str">
        <x:v>합격</x:v>
      </x:c>
    </x:row>
    <x:row r="100" ht="22" customHeight="1">
      <x:c r="A100" s="1" t="str">
        <x:v>R00099</x:v>
      </x:c>
      <x:c r="B100" s="4" t="n">
        <x:v>46209.37049768519</x:v>
      </x:c>
      <x:c r="C100" s="1" t="str">
        <x:v>주간</x:v>
      </x:c>
      <x:c r="D100" s="1" t="str">
        <x:v>L2</x:v>
      </x:c>
      <x:c r="E100" s="1" t="str">
        <x:v>P2</x:v>
      </x:c>
      <x:c r="F100" s="1" t="str">
        <x:v>M04</x:v>
      </x:c>
      <x:c r="G100" s="1" t="str">
        <x:v>G03</x:v>
      </x:c>
      <x:c r="H100" s="5" t="n">
        <x:v>30.13</x:v>
      </x:c>
      <x:c r="I100" s="5" t="n">
        <x:v>5.62</x:v>
      </x:c>
      <x:c r="J100" s="5" t="n">
        <x:v>49.6</x:v>
      </x:c>
      <x:c r="K100" s="5" t="n">
        <x:v>41.2</x:v>
      </x:c>
      <x:c r="L100" s="5" t="n">
        <x:v>1.69</x:v>
      </x:c>
      <x:c r="M100" s="1" t="n">
        <x:v>1</x:v>
      </x:c>
      <x:c r="N100" s="6" t="n">
        <x:v>0.858</x:v>
      </x:c>
      <x:c r="O100" s="1" t="str">
        <x:v>합격</x:v>
      </x:c>
      <x:c r="P100" s="1"/>
      <x:c r="Q100" s="1" t="n">
        <x:v>37</x:v>
      </x:c>
      <x:c r="R100" s="1" t="str">
        <x:v>N</x:v>
      </x:c>
      <x:c r="S100" s="1" t="n">
        <x:v>0</x:v>
      </x:c>
      <x:c r="T100" s="1" t="str">
        <x:v>합격</x:v>
      </x:c>
    </x:row>
    <x:row r="101" ht="22" customHeight="1">
      <x:c r="A101" s="1" t="str">
        <x:v>R00100</x:v>
      </x:c>
      <x:c r="B101" s="4" t="n">
        <x:v>46210.95984953704</x:v>
      </x:c>
      <x:c r="C101" s="1" t="str">
        <x:v>야간</x:v>
      </x:c>
      <x:c r="D101" s="1" t="str">
        <x:v>L2</x:v>
      </x:c>
      <x:c r="E101" s="1" t="str">
        <x:v>P2</x:v>
      </x:c>
      <x:c r="F101" s="1" t="str">
        <x:v>M03</x:v>
      </x:c>
      <x:c r="G101" s="1" t="str">
        <x:v>G04</x:v>
      </x:c>
      <x:c r="H101" s="5" t="n">
        <x:v>27.4</x:v>
      </x:c>
      <x:c r="I101" s="5" t="n">
        <x:v>5.99</x:v>
      </x:c>
      <x:c r="J101" s="5" t="n">
        <x:v>49.8</x:v>
      </x:c>
      <x:c r="K101" s="5" t="n">
        <x:v>35.5</x:v>
      </x:c>
      <x:c r="L101" s="5" t="n">
        <x:v>2.29</x:v>
      </x:c>
      <x:c r="M101" s="1" t="n">
        <x:v>1</x:v>
      </x:c>
      <x:c r="N101" s="6" t="n">
        <x:v>1.049</x:v>
      </x:c>
      <x:c r="O101" s="1" t="str">
        <x:v>불합격</x:v>
      </x:c>
      <x:c r="P101" s="1" t="str">
        <x:v>외관불량</x:v>
      </x:c>
      <x:c r="Q101" s="1" t="n">
        <x:v>43</x:v>
      </x:c>
      <x:c r="R101" s="1" t="str">
        <x:v>Y</x:v>
      </x:c>
      <x:c r="S101" s="1" t="n">
        <x:v>9</x:v>
      </x:c>
      <x:c r="T101" s="1" t="str">
        <x:v>재작업후합격</x:v>
      </x:c>
    </x:row>
    <x:row r="102" ht="22" customHeight="1">
      <x:c r="A102" s="1" t="str">
        <x:v>R00101</x:v>
      </x:c>
      <x:c r="B102" s="4" t="n">
        <x:v>46211.9765162037</x:v>
      </x:c>
      <x:c r="C102" s="1" t="str">
        <x:v>야간</x:v>
      </x:c>
      <x:c r="D102" s="1" t="str">
        <x:v>L2</x:v>
      </x:c>
      <x:c r="E102" s="1" t="str">
        <x:v>P2</x:v>
      </x:c>
      <x:c r="F102" s="1" t="str">
        <x:v>M01</x:v>
      </x:c>
      <x:c r="G102" s="1" t="str">
        <x:v>G05</x:v>
      </x:c>
      <x:c r="H102" s="5" t="n">
        <x:v>32.37</x:v>
      </x:c>
      <x:c r="I102" s="5" t="n">
        <x:v>5.93</x:v>
      </x:c>
      <x:c r="J102" s="5" t="n">
        <x:v>52.2</x:v>
      </x:c>
      <x:c r="K102" s="5" t="n">
        <x:v>41.9</x:v>
      </x:c>
      <x:c r="L102" s="5" t="n">
        <x:v>2.47</x:v>
      </x:c>
      <x:c r="M102" s="1" t="n">
        <x:v>0</x:v>
      </x:c>
      <x:c r="N102" s="6" t="n">
        <x:v>0.911</x:v>
      </x:c>
      <x:c r="O102" s="1" t="str">
        <x:v>불합격</x:v>
      </x:c>
      <x:c r="P102" s="1" t="str">
        <x:v>외관불량</x:v>
      </x:c>
      <x:c r="Q102" s="1" t="n">
        <x:v>37</x:v>
      </x:c>
      <x:c r="R102" s="1" t="str">
        <x:v>Y</x:v>
      </x:c>
      <x:c r="S102" s="1" t="n">
        <x:v>9</x:v>
      </x:c>
      <x:c r="T102" s="1" t="str">
        <x:v>재작업후합격</x:v>
      </x:c>
    </x:row>
    <x:row r="103" ht="22" customHeight="1">
      <x:c r="A103" s="1" t="str">
        <x:v>R00102</x:v>
      </x:c>
      <x:c r="B103" s="4" t="n">
        <x:v>46212.85938657408</x:v>
      </x:c>
      <x:c r="C103" s="1" t="str">
        <x:v>야간</x:v>
      </x:c>
      <x:c r="D103" s="1" t="str">
        <x:v>L1</x:v>
      </x:c>
      <x:c r="E103" s="1" t="str">
        <x:v>P1</x:v>
      </x:c>
      <x:c r="F103" s="1" t="str">
        <x:v>M04</x:v>
      </x:c>
      <x:c r="G103" s="1" t="str">
        <x:v>G06</x:v>
      </x:c>
      <x:c r="H103" s="5" t="n">
        <x:v>28.81</x:v>
      </x:c>
      <x:c r="I103" s="5" t="n">
        <x:v>5.81</x:v>
      </x:c>
      <x:c r="J103" s="5" t="n">
        <x:v>49.4</x:v>
      </x:c>
      <x:c r="K103" s="5" t="n">
        <x:v>39.9</x:v>
      </x:c>
      <x:c r="L103" s="5" t="n">
        <x:v>2.2</x:v>
      </x:c>
      <x:c r="M103" s="1" t="n">
        <x:v>0</x:v>
      </x:c>
      <x:c r="N103" s="6" t="n">
        <x:v>1.028</x:v>
      </x:c>
      <x:c r="O103" s="1" t="str">
        <x:v>합격</x:v>
      </x:c>
      <x:c r="P103" s="1"/>
      <x:c r="Q103" s="1" t="n">
        <x:v>35</x:v>
      </x:c>
      <x:c r="R103" s="1" t="str">
        <x:v>N</x:v>
      </x:c>
      <x:c r="S103" s="1" t="n">
        <x:v>0</x:v>
      </x:c>
      <x:c r="T103" s="1" t="str">
        <x:v>합격</x:v>
      </x:c>
    </x:row>
    <x:row r="104" ht="22" customHeight="1">
      <x:c r="A104" s="1" t="str">
        <x:v>R00103</x:v>
      </x:c>
      <x:c r="B104" s="4" t="n">
        <x:v>46213.92412037037</x:v>
      </x:c>
      <x:c r="C104" s="1" t="str">
        <x:v>야간</x:v>
      </x:c>
      <x:c r="D104" s="1" t="str">
        <x:v>L1</x:v>
      </x:c>
      <x:c r="E104" s="1" t="str">
        <x:v>P1</x:v>
      </x:c>
      <x:c r="F104" s="1" t="str">
        <x:v>M04</x:v>
      </x:c>
      <x:c r="G104" s="1" t="str">
        <x:v>G01</x:v>
      </x:c>
      <x:c r="H104" s="5" t="n">
        <x:v>32.67</x:v>
      </x:c>
      <x:c r="I104" s="5" t="n">
        <x:v>5.64</x:v>
      </x:c>
      <x:c r="J104" s="5" t="n">
        <x:v>53.4</x:v>
      </x:c>
      <x:c r="K104" s="5" t="n">
        <x:v>40.2</x:v>
      </x:c>
      <x:c r="L104" s="5" t="n">
        <x:v>1.67</x:v>
      </x:c>
      <x:c r="M104" s="1" t="n">
        <x:v>1</x:v>
      </x:c>
      <x:c r="N104" s="6" t="n">
        <x:v>0.866</x:v>
      </x:c>
      <x:c r="O104" s="1" t="str">
        <x:v>합격</x:v>
      </x:c>
      <x:c r="P104" s="1"/>
      <x:c r="Q104" s="1" t="n">
        <x:v>37</x:v>
      </x:c>
      <x:c r="R104" s="1" t="str">
        <x:v>N</x:v>
      </x:c>
      <x:c r="S104" s="1" t="n">
        <x:v>0</x:v>
      </x:c>
      <x:c r="T104" s="1" t="str">
        <x:v>합격</x:v>
      </x:c>
    </x:row>
    <x:row r="105" ht="22" customHeight="1">
      <x:c r="A105" s="1" t="str">
        <x:v>R00104</x:v>
      </x:c>
      <x:c r="B105" s="4" t="n">
        <x:v>46214.652604166666</x:v>
      </x:c>
      <x:c r="C105" s="1" t="str">
        <x:v>주간</x:v>
      </x:c>
      <x:c r="D105" s="1" t="str">
        <x:v>L1</x:v>
      </x:c>
      <x:c r="E105" s="1" t="str">
        <x:v>P1</x:v>
      </x:c>
      <x:c r="F105" s="1" t="str">
        <x:v>M03</x:v>
      </x:c>
      <x:c r="G105" s="1" t="str">
        <x:v>G02</x:v>
      </x:c>
      <x:c r="H105" s="5" t="n">
        <x:v>31.4</x:v>
      </x:c>
      <x:c r="I105" s="5" t="n">
        <x:v>5.73</x:v>
      </x:c>
      <x:c r="J105" s="5" t="n">
        <x:v>57.8</x:v>
      </x:c>
      <x:c r="K105" s="5" t="n">
        <x:v>39</x:v>
      </x:c>
      <x:c r="L105" s="5" t="n">
        <x:v>2.05</x:v>
      </x:c>
      <x:c r="M105" s="1" t="n">
        <x:v>1</x:v>
      </x:c>
      <x:c r="N105" s="6" t="n">
        <x:v>1.012</x:v>
      </x:c>
      <x:c r="O105" s="1" t="str">
        <x:v>합격</x:v>
      </x:c>
      <x:c r="P105" s="1"/>
      <x:c r="Q105" s="1" t="n">
        <x:v>48</x:v>
      </x:c>
      <x:c r="R105" s="1" t="str">
        <x:v>N</x:v>
      </x:c>
      <x:c r="S105" s="1" t="n">
        <x:v>0</x:v>
      </x:c>
      <x:c r="T105" s="1" t="str">
        <x:v>합격</x:v>
      </x:c>
    </x:row>
    <x:row r="106" ht="22" customHeight="1">
      <x:c r="A106" s="1" t="str">
        <x:v>R00105</x:v>
      </x:c>
      <x:c r="B106" s="4" t="n">
        <x:v>46215.10109953704</x:v>
      </x:c>
      <x:c r="C106" s="1" t="str">
        <x:v>야간</x:v>
      </x:c>
      <x:c r="D106" s="1" t="str">
        <x:v>L2</x:v>
      </x:c>
      <x:c r="E106" s="1" t="str">
        <x:v>P2</x:v>
      </x:c>
      <x:c r="F106" s="1" t="str">
        <x:v>M02</x:v>
      </x:c>
      <x:c r="G106" s="1" t="str">
        <x:v>G03</x:v>
      </x:c>
      <x:c r="H106" s="5" t="n">
        <x:v>32.4</x:v>
      </x:c>
      <x:c r="I106" s="5" t="n">
        <x:v>5.89</x:v>
      </x:c>
      <x:c r="J106" s="5" t="n">
        <x:v>50.4</x:v>
      </x:c>
      <x:c r="K106" s="5" t="n">
        <x:v>40.6</x:v>
      </x:c>
      <x:c r="L106" s="5" t="n">
        <x:v>2.43</x:v>
      </x:c>
      <x:c r="M106" s="1" t="n">
        <x:v>0</x:v>
      </x:c>
      <x:c r="N106" s="6" t="n">
        <x:v>0.88</x:v>
      </x:c>
      <x:c r="O106" s="1" t="str">
        <x:v>합격</x:v>
      </x:c>
      <x:c r="P106" s="1"/>
      <x:c r="Q106" s="1" t="n">
        <x:v>47</x:v>
      </x:c>
      <x:c r="R106" s="1" t="str">
        <x:v>N</x:v>
      </x:c>
      <x:c r="S106" s="1" t="n">
        <x:v>0</x:v>
      </x:c>
      <x:c r="T106" s="1" t="str">
        <x:v>합격</x:v>
      </x:c>
    </x:row>
    <x:row r="107" ht="22" customHeight="1">
      <x:c r="A107" s="1" t="str">
        <x:v>R00106</x:v>
      </x:c>
      <x:c r="B107" s="4" t="n">
        <x:v>46216.14021990741</x:v>
      </x:c>
      <x:c r="C107" s="1" t="str">
        <x:v>야간</x:v>
      </x:c>
      <x:c r="D107" s="1" t="str">
        <x:v>L2</x:v>
      </x:c>
      <x:c r="E107" s="1" t="str">
        <x:v>P2</x:v>
      </x:c>
      <x:c r="F107" s="1" t="str">
        <x:v>M02</x:v>
      </x:c>
      <x:c r="G107" s="1" t="str">
        <x:v>G04</x:v>
      </x:c>
      <x:c r="H107" s="5" t="n">
        <x:v>30.34</x:v>
      </x:c>
      <x:c r="I107" s="5" t="n">
        <x:v>5.6</x:v>
      </x:c>
      <x:c r="J107" s="5" t="n">
        <x:v>56.5</x:v>
      </x:c>
      <x:c r="K107" s="5" t="n">
        <x:v>40.2</x:v>
      </x:c>
      <x:c r="L107" s="5" t="n">
        <x:v>2.04</x:v>
      </x:c>
      <x:c r="M107" s="1" t="n">
        <x:v>0</x:v>
      </x:c>
      <x:c r="N107" s="6" t="n">
        <x:v>0.857</x:v>
      </x:c>
      <x:c r="O107" s="1" t="str">
        <x:v>합격</x:v>
      </x:c>
      <x:c r="P107" s="1"/>
      <x:c r="Q107" s="1" t="n">
        <x:v>43</x:v>
      </x:c>
      <x:c r="R107" s="1" t="str">
        <x:v>N</x:v>
      </x:c>
      <x:c r="S107" s="1" t="n">
        <x:v>0</x:v>
      </x:c>
      <x:c r="T107" s="1" t="str">
        <x:v>합격</x:v>
      </x:c>
    </x:row>
    <x:row r="108" ht="22" customHeight="1">
      <x:c r="A108" s="1" t="str">
        <x:v>R00107</x:v>
      </x:c>
      <x:c r="B108" s="4" t="n">
        <x:v>46217.60659722222</x:v>
      </x:c>
      <x:c r="C108" s="1" t="str">
        <x:v>주간</x:v>
      </x:c>
      <x:c r="D108" s="1" t="str">
        <x:v>L2</x:v>
      </x:c>
      <x:c r="E108" s="1" t="str">
        <x:v>P2</x:v>
      </x:c>
      <x:c r="F108" s="1" t="str">
        <x:v>M02</x:v>
      </x:c>
      <x:c r="G108" s="1" t="str">
        <x:v>G05</x:v>
      </x:c>
      <x:c r="H108" s="5" t="n">
        <x:v>30.98</x:v>
      </x:c>
      <x:c r="I108" s="5" t="n">
        <x:v>5.85</x:v>
      </x:c>
      <x:c r="J108" s="5" t="n">
        <x:v>53.5</x:v>
      </x:c>
      <x:c r="K108" s="5" t="n">
        <x:v>35.8</x:v>
      </x:c>
      <x:c r="L108" s="5" t="n">
        <x:v>2.2</x:v>
      </x:c>
      <x:c r="M108" s="1" t="n">
        <x:v>0</x:v>
      </x:c>
      <x:c r="N108" s="6" t="n">
        <x:v>0.907</x:v>
      </x:c>
      <x:c r="O108" s="1" t="str">
        <x:v>합격</x:v>
      </x:c>
      <x:c r="P108" s="1"/>
      <x:c r="Q108" s="1" t="n">
        <x:v>37</x:v>
      </x:c>
      <x:c r="R108" s="1" t="str">
        <x:v>N</x:v>
      </x:c>
      <x:c r="S108" s="1" t="n">
        <x:v>0</x:v>
      </x:c>
      <x:c r="T108" s="1" t="str">
        <x:v>합격</x:v>
      </x:c>
    </x:row>
    <x:row r="109" ht="22" customHeight="1">
      <x:c r="A109" s="1" t="str">
        <x:v>R00108</x:v>
      </x:c>
      <x:c r="B109" s="4" t="n">
        <x:v>46218.35763888889</x:v>
      </x:c>
      <x:c r="C109" s="1" t="str">
        <x:v>주간</x:v>
      </x:c>
      <x:c r="D109" s="1" t="str">
        <x:v>L1</x:v>
      </x:c>
      <x:c r="E109" s="1" t="str">
        <x:v>P1</x:v>
      </x:c>
      <x:c r="F109" s="1" t="str">
        <x:v>M01</x:v>
      </x:c>
      <x:c r="G109" s="1" t="str">
        <x:v>G06</x:v>
      </x:c>
      <x:c r="H109" s="5" t="n">
        <x:v>27.37</x:v>
      </x:c>
      <x:c r="I109" s="5" t="n">
        <x:v>5.64</x:v>
      </x:c>
      <x:c r="J109" s="5" t="n">
        <x:v>55.2</x:v>
      </x:c>
      <x:c r="K109" s="5" t="n">
        <x:v>39.9</x:v>
      </x:c>
      <x:c r="L109" s="5" t="n">
        <x:v>1.34</x:v>
      </x:c>
      <x:c r="M109" s="1" t="n">
        <x:v>1</x:v>
      </x:c>
      <x:c r="N109" s="6" t="n">
        <x:v>0.933</x:v>
      </x:c>
      <x:c r="O109" s="1" t="str">
        <x:v>합격</x:v>
      </x:c>
      <x:c r="P109" s="1"/>
      <x:c r="Q109" s="1" t="n">
        <x:v>45</x:v>
      </x:c>
      <x:c r="R109" s="1" t="str">
        <x:v>N</x:v>
      </x:c>
      <x:c r="S109" s="1" t="n">
        <x:v>0</x:v>
      </x:c>
      <x:c r="T109" s="1" t="str">
        <x:v>합격</x:v>
      </x:c>
    </x:row>
    <x:row r="110" ht="22" customHeight="1">
      <x:c r="A110" s="1" t="str">
        <x:v>R00109</x:v>
      </x:c>
      <x:c r="B110" s="4" t="n">
        <x:v>46219.06763888889</x:v>
      </x:c>
      <x:c r="C110" s="1" t="str">
        <x:v>야간</x:v>
      </x:c>
      <x:c r="D110" s="1" t="str">
        <x:v>L1</x:v>
      </x:c>
      <x:c r="E110" s="1" t="str">
        <x:v>P1</x:v>
      </x:c>
      <x:c r="F110" s="1" t="str">
        <x:v>M04</x:v>
      </x:c>
      <x:c r="G110" s="1" t="str">
        <x:v>G01</x:v>
      </x:c>
      <x:c r="H110" s="5" t="n">
        <x:v>28.15</x:v>
      </x:c>
      <x:c r="I110" s="5" t="n">
        <x:v>5.69</x:v>
      </x:c>
      <x:c r="J110" s="5" t="n">
        <x:v>50.8</x:v>
      </x:c>
      <x:c r="K110" s="5" t="n">
        <x:v>37</x:v>
      </x:c>
      <x:c r="L110" s="5" t="n">
        <x:v>2.29</x:v>
      </x:c>
      <x:c r="M110" s="1" t="n">
        <x:v>0</x:v>
      </x:c>
      <x:c r="N110" s="6" t="n">
        <x:v>1.029</x:v>
      </x:c>
      <x:c r="O110" s="1" t="str">
        <x:v>합격</x:v>
      </x:c>
      <x:c r="P110" s="1"/>
      <x:c r="Q110" s="1" t="n">
        <x:v>46</x:v>
      </x:c>
      <x:c r="R110" s="1" t="str">
        <x:v>N</x:v>
      </x:c>
      <x:c r="S110" s="1" t="n">
        <x:v>0</x:v>
      </x:c>
      <x:c r="T110" s="1" t="str">
        <x:v>합격</x:v>
      </x:c>
    </x:row>
    <x:row r="111" ht="22" customHeight="1">
      <x:c r="A111" s="1" t="str">
        <x:v>R00110</x:v>
      </x:c>
      <x:c r="B111" s="4" t="n">
        <x:v>46220.426203703704</x:v>
      </x:c>
      <x:c r="C111" s="1" t="str">
        <x:v>주간</x:v>
      </x:c>
      <x:c r="D111" s="1" t="str">
        <x:v>L1</x:v>
      </x:c>
      <x:c r="E111" s="1" t="str">
        <x:v>P1</x:v>
      </x:c>
      <x:c r="F111" s="1" t="str">
        <x:v>M01</x:v>
      </x:c>
      <x:c r="G111" s="1" t="str">
        <x:v>G02</x:v>
      </x:c>
      <x:c r="H111" s="5" t="n">
        <x:v>31.67</x:v>
      </x:c>
      <x:c r="I111" s="5" t="n">
        <x:v>5.79</x:v>
      </x:c>
      <x:c r="J111" s="5" t="n">
        <x:v>52.3</x:v>
      </x:c>
      <x:c r="K111" s="5" t="n">
        <x:v>40</x:v>
      </x:c>
      <x:c r="L111" s="5" t="n">
        <x:v>1.53</x:v>
      </x:c>
      <x:c r="M111" s="1" t="n">
        <x:v>1</x:v>
      </x:c>
      <x:c r="N111" s="6" t="n">
        <x:v>0.862</x:v>
      </x:c>
      <x:c r="O111" s="1" t="str">
        <x:v>합격</x:v>
      </x:c>
      <x:c r="P111" s="1"/>
      <x:c r="Q111" s="1" t="n">
        <x:v>45</x:v>
      </x:c>
      <x:c r="R111" s="1" t="str">
        <x:v>N</x:v>
      </x:c>
      <x:c r="S111" s="1" t="n">
        <x:v>0</x:v>
      </x:c>
      <x:c r="T111" s="1" t="str">
        <x:v>합격</x:v>
      </x:c>
    </x:row>
    <x:row r="112" ht="22" customHeight="1">
      <x:c r="A112" s="1" t="str">
        <x:v>R00111</x:v>
      </x:c>
      <x:c r="B112" s="4" t="n">
        <x:v>46221.37196759259</x:v>
      </x:c>
      <x:c r="C112" s="1" t="str">
        <x:v>주간</x:v>
      </x:c>
      <x:c r="D112" s="1" t="str">
        <x:v>L1</x:v>
      </x:c>
      <x:c r="E112" s="1" t="str">
        <x:v>P1</x:v>
      </x:c>
      <x:c r="F112" s="1" t="str">
        <x:v>M01</x:v>
      </x:c>
      <x:c r="G112" s="1" t="str">
        <x:v>G03</x:v>
      </x:c>
      <x:c r="H112" s="5" t="n">
        <x:v>28.56</x:v>
      </x:c>
      <x:c r="I112" s="5" t="n">
        <x:v>5.85</x:v>
      </x:c>
      <x:c r="J112" s="5" t="n">
        <x:v>54.7</x:v>
      </x:c>
      <x:c r="K112" s="5" t="n">
        <x:v>37.2</x:v>
      </x:c>
      <x:c r="L112" s="5" t="n">
        <x:v>2.37</x:v>
      </x:c>
      <x:c r="M112" s="1" t="n">
        <x:v>1</x:v>
      </x:c>
      <x:c r="N112" s="6" t="n">
        <x:v>1.025</x:v>
      </x:c>
      <x:c r="O112" s="1" t="str">
        <x:v>합격</x:v>
      </x:c>
      <x:c r="P112" s="1"/>
      <x:c r="Q112" s="1" t="n">
        <x:v>45</x:v>
      </x:c>
      <x:c r="R112" s="1" t="str">
        <x:v>N</x:v>
      </x:c>
      <x:c r="S112" s="1" t="n">
        <x:v>0</x:v>
      </x:c>
      <x:c r="T112" s="1" t="str">
        <x:v>합격</x:v>
      </x:c>
    </x:row>
    <x:row r="113" ht="22" customHeight="1">
      <x:c r="A113" s="1" t="str">
        <x:v>R00112</x:v>
      </x:c>
      <x:c r="B113" s="4" t="n">
        <x:v>46222.938414351855</x:v>
      </x:c>
      <x:c r="C113" s="1" t="str">
        <x:v>야간</x:v>
      </x:c>
      <x:c r="D113" s="1" t="str">
        <x:v>L2</x:v>
      </x:c>
      <x:c r="E113" s="1" t="str">
        <x:v>P2</x:v>
      </x:c>
      <x:c r="F113" s="1" t="str">
        <x:v>M02</x:v>
      </x:c>
      <x:c r="G113" s="1" t="str">
        <x:v>G04</x:v>
      </x:c>
      <x:c r="H113" s="5" t="n">
        <x:v>30.05</x:v>
      </x:c>
      <x:c r="I113" s="5" t="n">
        <x:v>5.77</x:v>
      </x:c>
      <x:c r="J113" s="5" t="n">
        <x:v>48.5</x:v>
      </x:c>
      <x:c r="K113" s="5" t="n">
        <x:v>37</x:v>
      </x:c>
      <x:c r="L113" s="5" t="n">
        <x:v>2.25</x:v>
      </x:c>
      <x:c r="M113" s="1" t="n">
        <x:v>1</x:v>
      </x:c>
      <x:c r="N113" s="6" t="n">
        <x:v>0.864</x:v>
      </x:c>
      <x:c r="O113" s="1" t="str">
        <x:v>합격</x:v>
      </x:c>
      <x:c r="P113" s="1"/>
      <x:c r="Q113" s="1" t="n">
        <x:v>48</x:v>
      </x:c>
      <x:c r="R113" s="1" t="str">
        <x:v>N</x:v>
      </x:c>
      <x:c r="S113" s="1" t="n">
        <x:v>0</x:v>
      </x:c>
      <x:c r="T113" s="1" t="str">
        <x:v>합격</x:v>
      </x:c>
    </x:row>
    <x:row r="114" ht="22" customHeight="1">
      <x:c r="A114" s="1" t="str">
        <x:v>R00113</x:v>
      </x:c>
      <x:c r="B114" s="4" t="n">
        <x:v>46223.98070601852</x:v>
      </x:c>
      <x:c r="C114" s="1" t="str">
        <x:v>야간</x:v>
      </x:c>
      <x:c r="D114" s="1" t="str">
        <x:v>L2</x:v>
      </x:c>
      <x:c r="E114" s="1" t="str">
        <x:v>P2</x:v>
      </x:c>
      <x:c r="F114" s="1" t="str">
        <x:v>M02</x:v>
      </x:c>
      <x:c r="G114" s="1" t="str">
        <x:v>G05</x:v>
      </x:c>
      <x:c r="H114" s="5" t="n">
        <x:v>31.51</x:v>
      </x:c>
      <x:c r="I114" s="5" t="n">
        <x:v>5.64</x:v>
      </x:c>
      <x:c r="J114" s="5" t="n">
        <x:v>52.8</x:v>
      </x:c>
      <x:c r="K114" s="5" t="n">
        <x:v>40.2</x:v>
      </x:c>
      <x:c r="L114" s="5" t="n">
        <x:v>1.82</x:v>
      </x:c>
      <x:c r="M114" s="1" t="n">
        <x:v>1</x:v>
      </x:c>
      <x:c r="N114" s="6" t="n">
        <x:v>0.875</x:v>
      </x:c>
      <x:c r="O114" s="1" t="str">
        <x:v>합격</x:v>
      </x:c>
      <x:c r="P114" s="1"/>
      <x:c r="Q114" s="1" t="n">
        <x:v>44</x:v>
      </x:c>
      <x:c r="R114" s="1" t="str">
        <x:v>N</x:v>
      </x:c>
      <x:c r="S114" s="1" t="n">
        <x:v>0</x:v>
      </x:c>
      <x:c r="T114" s="1" t="str">
        <x:v>합격</x:v>
      </x:c>
    </x:row>
    <x:row r="115" ht="22" customHeight="1">
      <x:c r="A115" s="1" t="str">
        <x:v>R00114</x:v>
      </x:c>
      <x:c r="B115" s="4" t="n">
        <x:v>46224.62400462963</x:v>
      </x:c>
      <x:c r="C115" s="1" t="str">
        <x:v>주간</x:v>
      </x:c>
      <x:c r="D115" s="1" t="str">
        <x:v>L1</x:v>
      </x:c>
      <x:c r="E115" s="1" t="str">
        <x:v>P1</x:v>
      </x:c>
      <x:c r="F115" s="1" t="str">
        <x:v>M03</x:v>
      </x:c>
      <x:c r="G115" s="1" t="str">
        <x:v>G06</x:v>
      </x:c>
      <x:c r="H115" s="5" t="n">
        <x:v>29.33</x:v>
      </x:c>
      <x:c r="I115" s="5" t="n">
        <x:v>5.91</x:v>
      </x:c>
      <x:c r="J115" s="5" t="n">
        <x:v>54.1</x:v>
      </x:c>
      <x:c r="K115" s="5" t="n">
        <x:v>38.3</x:v>
      </x:c>
      <x:c r="L115" s="5" t="n">
        <x:v>2.45</x:v>
      </x:c>
      <x:c r="M115" s="1" t="n">
        <x:v>1</x:v>
      </x:c>
      <x:c r="N115" s="6" t="n">
        <x:v>0.935</x:v>
      </x:c>
      <x:c r="O115" s="1" t="str">
        <x:v>합격</x:v>
      </x:c>
      <x:c r="P115" s="1"/>
      <x:c r="Q115" s="1" t="n">
        <x:v>38</x:v>
      </x:c>
      <x:c r="R115" s="1" t="str">
        <x:v>N</x:v>
      </x:c>
      <x:c r="S115" s="1" t="n">
        <x:v>0</x:v>
      </x:c>
      <x:c r="T115" s="1" t="str">
        <x:v>합격</x:v>
      </x:c>
    </x:row>
    <x:row r="116" ht="22" customHeight="1">
      <x:c r="A116" s="1" t="str">
        <x:v>R00115</x:v>
      </x:c>
      <x:c r="B116" s="4" t="n">
        <x:v>46225.58409722222</x:v>
      </x:c>
      <x:c r="C116" s="1" t="str">
        <x:v>주간</x:v>
      </x:c>
      <x:c r="D116" s="1" t="str">
        <x:v>L1</x:v>
      </x:c>
      <x:c r="E116" s="1" t="str">
        <x:v>P1</x:v>
      </x:c>
      <x:c r="F116" s="1" t="str">
        <x:v>M03</x:v>
      </x:c>
      <x:c r="G116" s="1" t="str">
        <x:v>G01</x:v>
      </x:c>
      <x:c r="H116" s="5" t="n">
        <x:v>32.07</x:v>
      </x:c>
      <x:c r="I116" s="5" t="n">
        <x:v>5.85</x:v>
      </x:c>
      <x:c r="J116" s="5" t="n">
        <x:v>48.5</x:v>
      </x:c>
      <x:c r="K116" s="5" t="n">
        <x:v>37.4</x:v>
      </x:c>
      <x:c r="L116" s="5" t="n">
        <x:v>1.73</x:v>
      </x:c>
      <x:c r="M116" s="1" t="n">
        <x:v>1</x:v>
      </x:c>
      <x:c r="N116" s="6" t="n">
        <x:v>1.01</x:v>
      </x:c>
      <x:c r="O116" s="1" t="str">
        <x:v>합격</x:v>
      </x:c>
      <x:c r="P116" s="1"/>
      <x:c r="Q116" s="1" t="n">
        <x:v>41</x:v>
      </x:c>
      <x:c r="R116" s="1" t="str">
        <x:v>N</x:v>
      </x:c>
      <x:c r="S116" s="1" t="n">
        <x:v>0</x:v>
      </x:c>
      <x:c r="T116" s="1" t="str">
        <x:v>합격</x:v>
      </x:c>
    </x:row>
    <x:row r="117" ht="22" customHeight="1">
      <x:c r="A117" s="1" t="str">
        <x:v>R00116</x:v>
      </x:c>
      <x:c r="B117" s="4" t="n">
        <x:v>46226.59699074074</x:v>
      </x:c>
      <x:c r="C117" s="1" t="str">
        <x:v>주간</x:v>
      </x:c>
      <x:c r="D117" s="1" t="str">
        <x:v>L1</x:v>
      </x:c>
      <x:c r="E117" s="1" t="str">
        <x:v>P1</x:v>
      </x:c>
      <x:c r="F117" s="1" t="str">
        <x:v>M01</x:v>
      </x:c>
      <x:c r="G117" s="1" t="str">
        <x:v>G02</x:v>
      </x:c>
      <x:c r="H117" s="5" t="n">
        <x:v>32.75</x:v>
      </x:c>
      <x:c r="I117" s="5" t="n">
        <x:v>5.66</x:v>
      </x:c>
      <x:c r="J117" s="5" t="n">
        <x:v>50.4</x:v>
      </x:c>
      <x:c r="K117" s="5" t="n">
        <x:v>40</x:v>
      </x:c>
      <x:c r="L117" s="5" t="n">
        <x:v>2.69</x:v>
      </x:c>
      <x:c r="M117" s="1" t="n">
        <x:v>1</x:v>
      </x:c>
      <x:c r="N117" s="6" t="n">
        <x:v>0.99</x:v>
      </x:c>
      <x:c r="O117" s="1" t="str">
        <x:v>합격</x:v>
      </x:c>
      <x:c r="P117" s="1"/>
      <x:c r="Q117" s="1" t="n">
        <x:v>37</x:v>
      </x:c>
      <x:c r="R117" s="1" t="str">
        <x:v>N</x:v>
      </x:c>
      <x:c r="S117" s="1" t="n">
        <x:v>0</x:v>
      </x:c>
      <x:c r="T117" s="1" t="str">
        <x:v>합격</x:v>
      </x:c>
    </x:row>
    <x:row r="118" ht="22" customHeight="1">
      <x:c r="A118" s="1" t="str">
        <x:v>R00117</x:v>
      </x:c>
      <x:c r="B118" s="4" t="n">
        <x:v>46227.855474537035</x:v>
      </x:c>
      <x:c r="C118" s="1" t="str">
        <x:v>야간</x:v>
      </x:c>
      <x:c r="D118" s="1" t="str">
        <x:v>L1</x:v>
      </x:c>
      <x:c r="E118" s="1" t="str">
        <x:v>P1</x:v>
      </x:c>
      <x:c r="F118" s="1" t="str">
        <x:v>M04</x:v>
      </x:c>
      <x:c r="G118" s="1" t="str">
        <x:v>G03</x:v>
      </x:c>
      <x:c r="H118" s="5" t="n">
        <x:v>31.24</x:v>
      </x:c>
      <x:c r="I118" s="5" t="n">
        <x:v>6</x:v>
      </x:c>
      <x:c r="J118" s="5" t="n">
        <x:v>47.8</x:v>
      </x:c>
      <x:c r="K118" s="5" t="n">
        <x:v>38.5</x:v>
      </x:c>
      <x:c r="L118" s="5" t="n">
        <x:v>1.39</x:v>
      </x:c>
      <x:c r="M118" s="1" t="n">
        <x:v>1</x:v>
      </x:c>
      <x:c r="N118" s="6" t="n">
        <x:v>0.855</x:v>
      </x:c>
      <x:c r="O118" s="1" t="str">
        <x:v>합격</x:v>
      </x:c>
      <x:c r="P118" s="1"/>
      <x:c r="Q118" s="1" t="n">
        <x:v>38</x:v>
      </x:c>
      <x:c r="R118" s="1" t="str">
        <x:v>N</x:v>
      </x:c>
      <x:c r="S118" s="1" t="n">
        <x:v>0</x:v>
      </x:c>
      <x:c r="T118" s="1" t="str">
        <x:v>합격</x:v>
      </x:c>
    </x:row>
    <x:row r="119" ht="22" customHeight="1">
      <x:c r="A119" s="1" t="str">
        <x:v>R00118</x:v>
      </x:c>
      <x:c r="B119" s="4" t="n">
        <x:v>46228.656793981485</x:v>
      </x:c>
      <x:c r="C119" s="1" t="str">
        <x:v>주간</x:v>
      </x:c>
      <x:c r="D119" s="1" t="str">
        <x:v>L1</x:v>
      </x:c>
      <x:c r="E119" s="1" t="str">
        <x:v>P1</x:v>
      </x:c>
      <x:c r="F119" s="1" t="str">
        <x:v>M03</x:v>
      </x:c>
      <x:c r="G119" s="1" t="str">
        <x:v>G04</x:v>
      </x:c>
      <x:c r="H119" s="5" t="n">
        <x:v>28.6</x:v>
      </x:c>
      <x:c r="I119" s="5" t="n">
        <x:v>5.69</x:v>
      </x:c>
      <x:c r="J119" s="5" t="n">
        <x:v>53.9</x:v>
      </x:c>
      <x:c r="K119" s="5" t="n">
        <x:v>37.4</x:v>
      </x:c>
      <x:c r="L119" s="5" t="n">
        <x:v>1.98</x:v>
      </x:c>
      <x:c r="M119" s="1" t="n">
        <x:v>1</x:v>
      </x:c>
      <x:c r="N119" s="6" t="n">
        <x:v>0.922</x:v>
      </x:c>
      <x:c r="O119" s="1" t="str">
        <x:v>합격</x:v>
      </x:c>
      <x:c r="P119" s="1"/>
      <x:c r="Q119" s="1" t="n">
        <x:v>40</x:v>
      </x:c>
      <x:c r="R119" s="1" t="str">
        <x:v>N</x:v>
      </x:c>
      <x:c r="S119" s="1" t="n">
        <x:v>0</x:v>
      </x:c>
      <x:c r="T119" s="1" t="str">
        <x:v>합격</x:v>
      </x:c>
    </x:row>
    <x:row r="120" ht="22" customHeight="1">
      <x:c r="A120" s="1" t="str">
        <x:v>R00119</x:v>
      </x:c>
      <x:c r="B120" s="4" t="n">
        <x:v>46229.1300462963</x:v>
      </x:c>
      <x:c r="C120" s="1" t="str">
        <x:v>야간</x:v>
      </x:c>
      <x:c r="D120" s="1" t="str">
        <x:v>L2</x:v>
      </x:c>
      <x:c r="E120" s="1" t="str">
        <x:v>P2</x:v>
      </x:c>
      <x:c r="F120" s="1" t="str">
        <x:v>M03</x:v>
      </x:c>
      <x:c r="G120" s="1" t="str">
        <x:v>G05</x:v>
      </x:c>
      <x:c r="H120" s="5" t="n">
        <x:v>28.18</x:v>
      </x:c>
      <x:c r="I120" s="5" t="n">
        <x:v>5.83</x:v>
      </x:c>
      <x:c r="J120" s="5" t="n">
        <x:v>53.7</x:v>
      </x:c>
      <x:c r="K120" s="5" t="n">
        <x:v>40.8</x:v>
      </x:c>
      <x:c r="L120" s="5" t="n">
        <x:v>1.96</x:v>
      </x:c>
      <x:c r="M120" s="1" t="n">
        <x:v>1</x:v>
      </x:c>
      <x:c r="N120" s="6" t="n">
        <x:v>1.024</x:v>
      </x:c>
      <x:c r="O120" s="1" t="str">
        <x:v>불합격</x:v>
      </x:c>
      <x:c r="P120" s="1" t="str">
        <x:v>치수불량</x:v>
      </x:c>
      <x:c r="Q120" s="1" t="n">
        <x:v>44</x:v>
      </x:c>
      <x:c r="R120" s="1" t="str">
        <x:v>Y</x:v>
      </x:c>
      <x:c r="S120" s="1" t="n">
        <x:v>9</x:v>
      </x:c>
      <x:c r="T120" s="1" t="str">
        <x:v>재작업후합격</x:v>
      </x:c>
    </x:row>
    <x:row r="121" ht="22" customHeight="1">
      <x:c r="A121" s="1" t="str">
        <x:v>R00120</x:v>
      </x:c>
      <x:c r="B121" s="4" t="n">
        <x:v>46230.88232638889</x:v>
      </x:c>
      <x:c r="C121" s="1" t="str">
        <x:v>야간</x:v>
      </x:c>
      <x:c r="D121" s="1" t="str">
        <x:v>L1</x:v>
      </x:c>
      <x:c r="E121" s="1" t="str">
        <x:v>P1</x:v>
      </x:c>
      <x:c r="F121" s="1" t="str">
        <x:v>M03</x:v>
      </x:c>
      <x:c r="G121" s="1" t="str">
        <x:v>G06</x:v>
      </x:c>
      <x:c r="H121" s="5" t="n">
        <x:v>32.07</x:v>
      </x:c>
      <x:c r="I121" s="5" t="n">
        <x:v>5.84</x:v>
      </x:c>
      <x:c r="J121" s="5" t="n">
        <x:v>53.7</x:v>
      </x:c>
      <x:c r="K121" s="5" t="n">
        <x:v>35.3</x:v>
      </x:c>
      <x:c r="L121" s="5" t="n">
        <x:v>2.03</x:v>
      </x:c>
      <x:c r="M121" s="1" t="n">
        <x:v>1</x:v>
      </x:c>
      <x:c r="N121" s="6" t="n">
        <x:v>0.875</x:v>
      </x:c>
      <x:c r="O121" s="1" t="str">
        <x:v>합격</x:v>
      </x:c>
      <x:c r="P121" s="1"/>
      <x:c r="Q121" s="1" t="n">
        <x:v>46</x:v>
      </x:c>
      <x:c r="R121" s="1" t="str">
        <x:v>N</x:v>
      </x:c>
      <x:c r="S121" s="1" t="n">
        <x:v>0</x:v>
      </x:c>
      <x:c r="T121" s="1" t="str">
        <x:v>합격</x:v>
      </x:c>
    </x:row>
    <x:row r="122" ht="22" customHeight="1">
      <x:c r="A122" s="1" t="str">
        <x:v>R00121</x:v>
      </x:c>
      <x:c r="B122" s="4" t="n">
        <x:v>46231.85138888889</x:v>
      </x:c>
      <x:c r="C122" s="1" t="str">
        <x:v>야간</x:v>
      </x:c>
      <x:c r="D122" s="1" t="str">
        <x:v>L1</x:v>
      </x:c>
      <x:c r="E122" s="1" t="str">
        <x:v>P1</x:v>
      </x:c>
      <x:c r="F122" s="1" t="str">
        <x:v>M04</x:v>
      </x:c>
      <x:c r="G122" s="1" t="str">
        <x:v>G01</x:v>
      </x:c>
      <x:c r="H122" s="5" t="n">
        <x:v>30.19</x:v>
      </x:c>
      <x:c r="I122" s="5" t="n">
        <x:v>5.78</x:v>
      </x:c>
      <x:c r="J122" s="5" t="n">
        <x:v>54.2</x:v>
      </x:c>
      <x:c r="K122" s="5" t="n">
        <x:v>35.1</x:v>
      </x:c>
      <x:c r="L122" s="5" t="n">
        <x:v>2.4</x:v>
      </x:c>
      <x:c r="M122" s="1" t="n">
        <x:v>1</x:v>
      </x:c>
      <x:c r="N122" s="6" t="n">
        <x:v>0.861</x:v>
      </x:c>
      <x:c r="O122" s="1" t="str">
        <x:v>합격</x:v>
      </x:c>
      <x:c r="P122" s="1"/>
      <x:c r="Q122" s="1" t="n">
        <x:v>46</x:v>
      </x:c>
      <x:c r="R122" s="1" t="str">
        <x:v>N</x:v>
      </x:c>
      <x:c r="S122" s="1" t="n">
        <x:v>0</x:v>
      </x:c>
      <x:c r="T122" s="1" t="str">
        <x:v>합격</x:v>
      </x:c>
    </x:row>
    <x:row r="123" ht="22" customHeight="1">
      <x:c r="A123" s="1" t="str">
        <x:v>R00122</x:v>
      </x:c>
      <x:c r="B123" s="4" t="n">
        <x:v>46232.52291666667</x:v>
      </x:c>
      <x:c r="C123" s="1" t="str">
        <x:v>주간</x:v>
      </x:c>
      <x:c r="D123" s="1" t="str">
        <x:v>L2</x:v>
      </x:c>
      <x:c r="E123" s="1" t="str">
        <x:v>P2</x:v>
      </x:c>
      <x:c r="F123" s="1" t="str">
        <x:v>M02</x:v>
      </x:c>
      <x:c r="G123" s="1" t="str">
        <x:v>G02</x:v>
      </x:c>
      <x:c r="H123" s="5" t="n">
        <x:v>28.79</x:v>
      </x:c>
      <x:c r="I123" s="5" t="n">
        <x:v>5.76</x:v>
      </x:c>
      <x:c r="J123" s="5" t="n">
        <x:v>49.4</x:v>
      </x:c>
      <x:c r="K123" s="5" t="n">
        <x:v>41.3</x:v>
      </x:c>
      <x:c r="L123" s="5" t="n">
        <x:v>1.58</x:v>
      </x:c>
      <x:c r="M123" s="1" t="n">
        <x:v>1</x:v>
      </x:c>
      <x:c r="N123" s="6" t="n">
        <x:v>0.975</x:v>
      </x:c>
      <x:c r="O123" s="1" t="str">
        <x:v>합격</x:v>
      </x:c>
      <x:c r="P123" s="1"/>
      <x:c r="Q123" s="1" t="n">
        <x:v>44</x:v>
      </x:c>
      <x:c r="R123" s="1" t="str">
        <x:v>N</x:v>
      </x:c>
      <x:c r="S123" s="1" t="n">
        <x:v>0</x:v>
      </x:c>
      <x:c r="T123" s="1" t="str">
        <x:v>합격</x:v>
      </x:c>
    </x:row>
    <x:row r="124" ht="22" customHeight="1">
      <x:c r="A124" s="1" t="str">
        <x:v>R00123</x:v>
      </x:c>
      <x:c r="B124" s="4" t="n">
        <x:v>46233.45925925926</x:v>
      </x:c>
      <x:c r="C124" s="1" t="str">
        <x:v>주간</x:v>
      </x:c>
      <x:c r="D124" s="1" t="str">
        <x:v>L1</x:v>
      </x:c>
      <x:c r="E124" s="1" t="str">
        <x:v>P1</x:v>
      </x:c>
      <x:c r="F124" s="1" t="str">
        <x:v>M03</x:v>
      </x:c>
      <x:c r="G124" s="1" t="str">
        <x:v>G03</x:v>
      </x:c>
      <x:c r="H124" s="5" t="n">
        <x:v>28.68</x:v>
      </x:c>
      <x:c r="I124" s="5" t="n">
        <x:v>5.62</x:v>
      </x:c>
      <x:c r="J124" s="5" t="n">
        <x:v>49.2</x:v>
      </x:c>
      <x:c r="K124" s="5" t="n">
        <x:v>38.4</x:v>
      </x:c>
      <x:c r="L124" s="5" t="n">
        <x:v>1.44</x:v>
      </x:c>
      <x:c r="M124" s="1" t="n">
        <x:v>0</x:v>
      </x:c>
      <x:c r="N124" s="6" t="n">
        <x:v>0.99</x:v>
      </x:c>
      <x:c r="O124" s="1" t="str">
        <x:v>합격</x:v>
      </x:c>
      <x:c r="P124" s="1"/>
      <x:c r="Q124" s="1" t="n">
        <x:v>39</x:v>
      </x:c>
      <x:c r="R124" s="1" t="str">
        <x:v>N</x:v>
      </x:c>
      <x:c r="S124" s="1" t="n">
        <x:v>0</x:v>
      </x:c>
      <x:c r="T124" s="1" t="str">
        <x:v>합격</x:v>
      </x:c>
    </x:row>
    <x:row r="125" ht="22" customHeight="1">
      <x:c r="A125" s="1" t="str">
        <x:v>R00124</x:v>
      </x:c>
      <x:c r="B125" s="4" t="n">
        <x:v>46234.6575</x:v>
      </x:c>
      <x:c r="C125" s="1" t="str">
        <x:v>주간</x:v>
      </x:c>
      <x:c r="D125" s="1" t="str">
        <x:v>L2</x:v>
      </x:c>
      <x:c r="E125" s="1" t="str">
        <x:v>P2</x:v>
      </x:c>
      <x:c r="F125" s="1" t="str">
        <x:v>M02</x:v>
      </x:c>
      <x:c r="G125" s="1" t="str">
        <x:v>G04</x:v>
      </x:c>
      <x:c r="H125" s="5" t="n">
        <x:v>27.54</x:v>
      </x:c>
      <x:c r="I125" s="5" t="n">
        <x:v>5.77</x:v>
      </x:c>
      <x:c r="J125" s="5" t="n">
        <x:v>51</x:v>
      </x:c>
      <x:c r="K125" s="5" t="n">
        <x:v>40.4</x:v>
      </x:c>
      <x:c r="L125" s="5" t="n">
        <x:v>2.04</x:v>
      </x:c>
      <x:c r="M125" s="1" t="n">
        <x:v>0</x:v>
      </x:c>
      <x:c r="N125" s="6" t="n">
        <x:v>1.027</x:v>
      </x:c>
      <x:c r="O125" s="1" t="str">
        <x:v>합격</x:v>
      </x:c>
      <x:c r="P125" s="1"/>
      <x:c r="Q125" s="1" t="n">
        <x:v>42</x:v>
      </x:c>
      <x:c r="R125" s="1" t="str">
        <x:v>N</x:v>
      </x:c>
      <x:c r="S125" s="1" t="n">
        <x:v>0</x:v>
      </x:c>
      <x:c r="T125" s="1" t="str">
        <x:v>합격</x:v>
      </x:c>
    </x:row>
    <x:row r="126" ht="22" customHeight="1">
      <x:c r="A126" s="1" t="str">
        <x:v>R00125</x:v>
      </x:c>
      <x:c r="B126" s="4" t="n">
        <x:v>46204.91494212963</x:v>
      </x:c>
      <x:c r="C126" s="1" t="str">
        <x:v>야간</x:v>
      </x:c>
      <x:c r="D126" s="1" t="str">
        <x:v>L2</x:v>
      </x:c>
      <x:c r="E126" s="1" t="str">
        <x:v>P2</x:v>
      </x:c>
      <x:c r="F126" s="1" t="str">
        <x:v>M02</x:v>
      </x:c>
      <x:c r="G126" s="1" t="str">
        <x:v>G05</x:v>
      </x:c>
      <x:c r="H126" s="5" t="n">
        <x:v>31.3</x:v>
      </x:c>
      <x:c r="I126" s="5" t="n">
        <x:v>5.81</x:v>
      </x:c>
      <x:c r="J126" s="5" t="n">
        <x:v>51.9</x:v>
      </x:c>
      <x:c r="K126" s="5" t="n">
        <x:v>39.4</x:v>
      </x:c>
      <x:c r="L126" s="5" t="n">
        <x:v>2.64</x:v>
      </x:c>
      <x:c r="M126" s="1" t="n">
        <x:v>0</x:v>
      </x:c>
      <x:c r="N126" s="6" t="n">
        <x:v>0.993</x:v>
      </x:c>
      <x:c r="O126" s="1" t="str">
        <x:v>합격</x:v>
      </x:c>
      <x:c r="P126" s="1"/>
      <x:c r="Q126" s="1" t="n">
        <x:v>39</x:v>
      </x:c>
      <x:c r="R126" s="1" t="str">
        <x:v>N</x:v>
      </x:c>
      <x:c r="S126" s="1" t="n">
        <x:v>0</x:v>
      </x:c>
      <x:c r="T126" s="1" t="str">
        <x:v>합격</x:v>
      </x:c>
    </x:row>
    <x:row r="127" ht="22" customHeight="1">
      <x:c r="A127" s="1" t="str">
        <x:v>R00126</x:v>
      </x:c>
      <x:c r="B127" s="4" t="n">
        <x:v>46205.3421875</x:v>
      </x:c>
      <x:c r="C127" s="1" t="str">
        <x:v>주간</x:v>
      </x:c>
      <x:c r="D127" s="1" t="str">
        <x:v>L2</x:v>
      </x:c>
      <x:c r="E127" s="1" t="str">
        <x:v>P2</x:v>
      </x:c>
      <x:c r="F127" s="1" t="str">
        <x:v>M02</x:v>
      </x:c>
      <x:c r="G127" s="1" t="str">
        <x:v>G06</x:v>
      </x:c>
      <x:c r="H127" s="5" t="n">
        <x:v>27.63</x:v>
      </x:c>
      <x:c r="I127" s="5" t="n">
        <x:v>5.67</x:v>
      </x:c>
      <x:c r="J127" s="5" t="n">
        <x:v>58.3</x:v>
      </x:c>
      <x:c r="K127" s="5" t="n">
        <x:v>40.3</x:v>
      </x:c>
      <x:c r="L127" s="5" t="n">
        <x:v>1.41</x:v>
      </x:c>
      <x:c r="M127" s="1" t="n">
        <x:v>0</x:v>
      </x:c>
      <x:c r="N127" s="6" t="n">
        <x:v>0.967</x:v>
      </x:c>
      <x:c r="O127" s="1" t="str">
        <x:v>합격</x:v>
      </x:c>
      <x:c r="P127" s="1"/>
      <x:c r="Q127" s="1" t="n">
        <x:v>40</x:v>
      </x:c>
      <x:c r="R127" s="1" t="str">
        <x:v>N</x:v>
      </x:c>
      <x:c r="S127" s="1" t="n">
        <x:v>0</x:v>
      </x:c>
      <x:c r="T127" s="1" t="str">
        <x:v>합격</x:v>
      </x:c>
    </x:row>
    <x:row r="128" ht="22" customHeight="1">
      <x:c r="A128" s="1" t="str">
        <x:v>R00127</x:v>
      </x:c>
      <x:c r="B128" s="4" t="n">
        <x:v>46206.919652777775</x:v>
      </x:c>
      <x:c r="C128" s="1" t="str">
        <x:v>야간</x:v>
      </x:c>
      <x:c r="D128" s="1" t="str">
        <x:v>L2</x:v>
      </x:c>
      <x:c r="E128" s="1" t="str">
        <x:v>P2</x:v>
      </x:c>
      <x:c r="F128" s="1" t="str">
        <x:v>M01</x:v>
      </x:c>
      <x:c r="G128" s="1" t="str">
        <x:v>G01</x:v>
      </x:c>
      <x:c r="H128" s="5" t="n">
        <x:v>28.73</x:v>
      </x:c>
      <x:c r="I128" s="5" t="n">
        <x:v>5.99</x:v>
      </x:c>
      <x:c r="J128" s="5" t="n">
        <x:v>57.2</x:v>
      </x:c>
      <x:c r="K128" s="5" t="n">
        <x:v>37.5</x:v>
      </x:c>
      <x:c r="L128" s="5" t="n">
        <x:v>2.6</x:v>
      </x:c>
      <x:c r="M128" s="1" t="n">
        <x:v>0</x:v>
      </x:c>
      <x:c r="N128" s="6" t="n">
        <x:v>0.995</x:v>
      </x:c>
      <x:c r="O128" s="1" t="str">
        <x:v>합격</x:v>
      </x:c>
      <x:c r="P128" s="1"/>
      <x:c r="Q128" s="1" t="n">
        <x:v>45</x:v>
      </x:c>
      <x:c r="R128" s="1" t="str">
        <x:v>N</x:v>
      </x:c>
      <x:c r="S128" s="1" t="n">
        <x:v>0</x:v>
      </x:c>
      <x:c r="T128" s="1" t="str">
        <x:v>합격</x:v>
      </x:c>
    </x:row>
    <x:row r="129" ht="22" customHeight="1">
      <x:c r="A129" s="1" t="str">
        <x:v>R00128</x:v>
      </x:c>
      <x:c r="B129" s="4" t="n">
        <x:v>46207.942719907405</x:v>
      </x:c>
      <x:c r="C129" s="1" t="str">
        <x:v>야간</x:v>
      </x:c>
      <x:c r="D129" s="1" t="str">
        <x:v>L1</x:v>
      </x:c>
      <x:c r="E129" s="1" t="str">
        <x:v>P1</x:v>
      </x:c>
      <x:c r="F129" s="1" t="str">
        <x:v>M03</x:v>
      </x:c>
      <x:c r="G129" s="1" t="str">
        <x:v>G02</x:v>
      </x:c>
      <x:c r="H129" s="5" t="n">
        <x:v>30.92</x:v>
      </x:c>
      <x:c r="I129" s="5" t="n">
        <x:v>5.91</x:v>
      </x:c>
      <x:c r="J129" s="5" t="n">
        <x:v>53.4</x:v>
      </x:c>
      <x:c r="K129" s="5" t="n">
        <x:v>39.6</x:v>
      </x:c>
      <x:c r="L129" s="5" t="n">
        <x:v>1.35</x:v>
      </x:c>
      <x:c r="M129" s="1" t="n">
        <x:v>1</x:v>
      </x:c>
      <x:c r="N129" s="6" t="n">
        <x:v>0.936</x:v>
      </x:c>
      <x:c r="O129" s="1" t="str">
        <x:v>합격</x:v>
      </x:c>
      <x:c r="P129" s="1"/>
      <x:c r="Q129" s="1" t="n">
        <x:v>38</x:v>
      </x:c>
      <x:c r="R129" s="1" t="str">
        <x:v>N</x:v>
      </x:c>
      <x:c r="S129" s="1" t="n">
        <x:v>0</x:v>
      </x:c>
      <x:c r="T129" s="1" t="str">
        <x:v>합격</x:v>
      </x:c>
    </x:row>
    <x:row r="130" ht="22" customHeight="1">
      <x:c r="A130" s="1" t="str">
        <x:v>R00129</x:v>
      </x:c>
      <x:c r="B130" s="4" t="n">
        <x:v>46208.92707175926</x:v>
      </x:c>
      <x:c r="C130" s="1" t="str">
        <x:v>야간</x:v>
      </x:c>
      <x:c r="D130" s="1" t="str">
        <x:v>L2</x:v>
      </x:c>
      <x:c r="E130" s="1" t="str">
        <x:v>P2</x:v>
      </x:c>
      <x:c r="F130" s="1" t="str">
        <x:v>M02</x:v>
      </x:c>
      <x:c r="G130" s="1" t="str">
        <x:v>G03</x:v>
      </x:c>
      <x:c r="H130" s="5" t="n">
        <x:v>29.89</x:v>
      </x:c>
      <x:c r="I130" s="5" t="n">
        <x:v>5.79</x:v>
      </x:c>
      <x:c r="J130" s="5" t="n">
        <x:v>54.2</x:v>
      </x:c>
      <x:c r="K130" s="5" t="n">
        <x:v>35.3</x:v>
      </x:c>
      <x:c r="L130" s="5" t="n">
        <x:v>1.47</x:v>
      </x:c>
      <x:c r="M130" s="1" t="n">
        <x:v>1</x:v>
      </x:c>
      <x:c r="N130" s="6" t="n">
        <x:v>0.883</x:v>
      </x:c>
      <x:c r="O130" s="1" t="str">
        <x:v>합격</x:v>
      </x:c>
      <x:c r="P130" s="1"/>
      <x:c r="Q130" s="1" t="n">
        <x:v>36</x:v>
      </x:c>
      <x:c r="R130" s="1" t="str">
        <x:v>N</x:v>
      </x:c>
      <x:c r="S130" s="1" t="n">
        <x:v>0</x:v>
      </x:c>
      <x:c r="T130" s="1" t="str">
        <x:v>합격</x:v>
      </x:c>
    </x:row>
    <x:row r="131" ht="22" customHeight="1">
      <x:c r="A131" s="1" t="str">
        <x:v>R00130</x:v>
      </x:c>
      <x:c r="B131" s="4" t="n">
        <x:v>46209.03986111111</x:v>
      </x:c>
      <x:c r="C131" s="1" t="str">
        <x:v>야간</x:v>
      </x:c>
      <x:c r="D131" s="1" t="str">
        <x:v>L1</x:v>
      </x:c>
      <x:c r="E131" s="1" t="str">
        <x:v>P1</x:v>
      </x:c>
      <x:c r="F131" s="1" t="str">
        <x:v>M04</x:v>
      </x:c>
      <x:c r="G131" s="1" t="str">
        <x:v>G04</x:v>
      </x:c>
      <x:c r="H131" s="5" t="n">
        <x:v>27.37</x:v>
      </x:c>
      <x:c r="I131" s="5" t="n">
        <x:v>5.94</x:v>
      </x:c>
      <x:c r="J131" s="5" t="n">
        <x:v>53.1</x:v>
      </x:c>
      <x:c r="K131" s="5" t="n">
        <x:v>37.4</x:v>
      </x:c>
      <x:c r="L131" s="5" t="n">
        <x:v>1.51</x:v>
      </x:c>
      <x:c r="M131" s="1" t="n">
        <x:v>1</x:v>
      </x:c>
      <x:c r="N131" s="6" t="n">
        <x:v>1.037</x:v>
      </x:c>
      <x:c r="O131" s="1" t="str">
        <x:v>합격</x:v>
      </x:c>
      <x:c r="P131" s="1"/>
      <x:c r="Q131" s="1" t="n">
        <x:v>36</x:v>
      </x:c>
      <x:c r="R131" s="1" t="str">
        <x:v>N</x:v>
      </x:c>
      <x:c r="S131" s="1" t="n">
        <x:v>0</x:v>
      </x:c>
      <x:c r="T131" s="1" t="str">
        <x:v>합격</x:v>
      </x:c>
    </x:row>
    <x:row r="132" ht="22" customHeight="1">
      <x:c r="A132" s="1" t="str">
        <x:v>R00131</x:v>
      </x:c>
      <x:c r="B132" s="4" t="n">
        <x:v>46210.452361111114</x:v>
      </x:c>
      <x:c r="C132" s="1" t="str">
        <x:v>주간</x:v>
      </x:c>
      <x:c r="D132" s="1" t="str">
        <x:v>L1</x:v>
      </x:c>
      <x:c r="E132" s="1" t="str">
        <x:v>P1</x:v>
      </x:c>
      <x:c r="F132" s="1" t="str">
        <x:v>M01</x:v>
      </x:c>
      <x:c r="G132" s="1" t="str">
        <x:v>G05</x:v>
      </x:c>
      <x:c r="H132" s="5" t="n">
        <x:v>29.76</x:v>
      </x:c>
      <x:c r="I132" s="5" t="n">
        <x:v>5.98</x:v>
      </x:c>
      <x:c r="J132" s="5" t="n">
        <x:v>57</x:v>
      </x:c>
      <x:c r="K132" s="5" t="n">
        <x:v>39.5</x:v>
      </x:c>
      <x:c r="L132" s="5" t="n">
        <x:v>1.61</x:v>
      </x:c>
      <x:c r="M132" s="1" t="n">
        <x:v>0</x:v>
      </x:c>
      <x:c r="N132" s="6" t="n">
        <x:v>0.879</x:v>
      </x:c>
      <x:c r="O132" s="1" t="str">
        <x:v>합격</x:v>
      </x:c>
      <x:c r="P132" s="1"/>
      <x:c r="Q132" s="1" t="n">
        <x:v>39</x:v>
      </x:c>
      <x:c r="R132" s="1" t="str">
        <x:v>N</x:v>
      </x:c>
      <x:c r="S132" s="1" t="n">
        <x:v>0</x:v>
      </x:c>
      <x:c r="T132" s="1" t="str">
        <x:v>합격</x:v>
      </x:c>
    </x:row>
    <x:row r="133" ht="22" customHeight="1">
      <x:c r="A133" s="1" t="str">
        <x:v>R00132</x:v>
      </x:c>
      <x:c r="B133" s="4" t="n">
        <x:v>46211.61530092593</x:v>
      </x:c>
      <x:c r="C133" s="1" t="str">
        <x:v>주간</x:v>
      </x:c>
      <x:c r="D133" s="1" t="str">
        <x:v>L2</x:v>
      </x:c>
      <x:c r="E133" s="1" t="str">
        <x:v>P2</x:v>
      </x:c>
      <x:c r="F133" s="1" t="str">
        <x:v>M04</x:v>
      </x:c>
      <x:c r="G133" s="1" t="str">
        <x:v>G06</x:v>
      </x:c>
      <x:c r="H133" s="5" t="n">
        <x:v>31.65</x:v>
      </x:c>
      <x:c r="I133" s="5" t="n">
        <x:v>5.69</x:v>
      </x:c>
      <x:c r="J133" s="5" t="n">
        <x:v>56.3</x:v>
      </x:c>
      <x:c r="K133" s="5" t="n">
        <x:v>41.8</x:v>
      </x:c>
      <x:c r="L133" s="5" t="n">
        <x:v>2.7</x:v>
      </x:c>
      <x:c r="M133" s="1" t="n">
        <x:v>0</x:v>
      </x:c>
      <x:c r="N133" s="6" t="n">
        <x:v>0.884</x:v>
      </x:c>
      <x:c r="O133" s="1" t="str">
        <x:v>합격</x:v>
      </x:c>
      <x:c r="P133" s="1"/>
      <x:c r="Q133" s="1" t="n">
        <x:v>47</x:v>
      </x:c>
      <x:c r="R133" s="1" t="str">
        <x:v>N</x:v>
      </x:c>
      <x:c r="S133" s="1" t="n">
        <x:v>0</x:v>
      </x:c>
      <x:c r="T133" s="1" t="str">
        <x:v>합격</x:v>
      </x:c>
    </x:row>
    <x:row r="134" ht="22" customHeight="1">
      <x:c r="A134" s="1" t="str">
        <x:v>R00133</x:v>
      </x:c>
      <x:c r="B134" s="4" t="n">
        <x:v>46212.44913194444</x:v>
      </x:c>
      <x:c r="C134" s="1" t="str">
        <x:v>주간</x:v>
      </x:c>
      <x:c r="D134" s="1" t="str">
        <x:v>L1</x:v>
      </x:c>
      <x:c r="E134" s="1" t="str">
        <x:v>P1</x:v>
      </x:c>
      <x:c r="F134" s="1" t="str">
        <x:v>M03</x:v>
      </x:c>
      <x:c r="G134" s="1" t="str">
        <x:v>G01</x:v>
      </x:c>
      <x:c r="H134" s="5" t="n">
        <x:v>32.3</x:v>
      </x:c>
      <x:c r="I134" s="5" t="n">
        <x:v>5.75</x:v>
      </x:c>
      <x:c r="J134" s="5" t="n">
        <x:v>53.2</x:v>
      </x:c>
      <x:c r="K134" s="5" t="n">
        <x:v>39</x:v>
      </x:c>
      <x:c r="L134" s="5" t="n">
        <x:v>1.48</x:v>
      </x:c>
      <x:c r="M134" s="1" t="n">
        <x:v>1</x:v>
      </x:c>
      <x:c r="N134" s="6" t="n">
        <x:v>0.932</x:v>
      </x:c>
      <x:c r="O134" s="1" t="str">
        <x:v>합격</x:v>
      </x:c>
      <x:c r="P134" s="1"/>
      <x:c r="Q134" s="1" t="n">
        <x:v>41</x:v>
      </x:c>
      <x:c r="R134" s="1" t="str">
        <x:v>N</x:v>
      </x:c>
      <x:c r="S134" s="1" t="n">
        <x:v>0</x:v>
      </x:c>
      <x:c r="T134" s="1" t="str">
        <x:v>합격</x:v>
      </x:c>
    </x:row>
    <x:row r="135" ht="22" customHeight="1">
      <x:c r="A135" s="1" t="str">
        <x:v>R00134</x:v>
      </x:c>
      <x:c r="B135" s="4" t="n">
        <x:v>46213.89158564815</x:v>
      </x:c>
      <x:c r="C135" s="1" t="str">
        <x:v>야간</x:v>
      </x:c>
      <x:c r="D135" s="1" t="str">
        <x:v>L2</x:v>
      </x:c>
      <x:c r="E135" s="1" t="str">
        <x:v>P2</x:v>
      </x:c>
      <x:c r="F135" s="1" t="str">
        <x:v>M02</x:v>
      </x:c>
      <x:c r="G135" s="1" t="str">
        <x:v>G02</x:v>
      </x:c>
      <x:c r="H135" s="5" t="n">
        <x:v>27.99</x:v>
      </x:c>
      <x:c r="I135" s="5" t="n">
        <x:v>5.71</x:v>
      </x:c>
      <x:c r="J135" s="5" t="n">
        <x:v>50.8</x:v>
      </x:c>
      <x:c r="K135" s="5" t="n">
        <x:v>35.1</x:v>
      </x:c>
      <x:c r="L135" s="5" t="n">
        <x:v>1.41</x:v>
      </x:c>
      <x:c r="M135" s="1" t="n">
        <x:v>1</x:v>
      </x:c>
      <x:c r="N135" s="6" t="n">
        <x:v>0.978</x:v>
      </x:c>
      <x:c r="O135" s="1" t="str">
        <x:v>합격</x:v>
      </x:c>
      <x:c r="P135" s="1"/>
      <x:c r="Q135" s="1" t="n">
        <x:v>44</x:v>
      </x:c>
      <x:c r="R135" s="1" t="str">
        <x:v>N</x:v>
      </x:c>
      <x:c r="S135" s="1" t="n">
        <x:v>0</x:v>
      </x:c>
      <x:c r="T135" s="1" t="str">
        <x:v>합격</x:v>
      </x:c>
    </x:row>
    <x:row r="136" ht="22" customHeight="1">
      <x:c r="A136" s="1" t="str">
        <x:v>R00135</x:v>
      </x:c>
      <x:c r="B136" s="4" t="n">
        <x:v>46214.87232638889</x:v>
      </x:c>
      <x:c r="C136" s="1" t="str">
        <x:v>야간</x:v>
      </x:c>
      <x:c r="D136" s="1" t="str">
        <x:v>L1</x:v>
      </x:c>
      <x:c r="E136" s="1" t="str">
        <x:v>P1</x:v>
      </x:c>
      <x:c r="F136" s="1" t="str">
        <x:v>M04</x:v>
      </x:c>
      <x:c r="G136" s="1" t="str">
        <x:v>G03</x:v>
      </x:c>
      <x:c r="H136" s="5" t="n">
        <x:v>31.35</x:v>
      </x:c>
      <x:c r="I136" s="5" t="n">
        <x:v>5.92</x:v>
      </x:c>
      <x:c r="J136" s="5" t="n">
        <x:v>52.6</x:v>
      </x:c>
      <x:c r="K136" s="5" t="n">
        <x:v>38.8</x:v>
      </x:c>
      <x:c r="L136" s="5" t="n">
        <x:v>2.43</x:v>
      </x:c>
      <x:c r="M136" s="1" t="n">
        <x:v>1</x:v>
      </x:c>
      <x:c r="N136" s="6" t="n">
        <x:v>1.025</x:v>
      </x:c>
      <x:c r="O136" s="1" t="str">
        <x:v>합격</x:v>
      </x:c>
      <x:c r="P136" s="1"/>
      <x:c r="Q136" s="1" t="n">
        <x:v>47</x:v>
      </x:c>
      <x:c r="R136" s="1" t="str">
        <x:v>N</x:v>
      </x:c>
      <x:c r="S136" s="1" t="n">
        <x:v>0</x:v>
      </x:c>
      <x:c r="T136" s="1" t="str">
        <x:v>합격</x:v>
      </x:c>
    </x:row>
    <x:row r="137" ht="22" customHeight="1">
      <x:c r="A137" s="1" t="str">
        <x:v>R00136</x:v>
      </x:c>
      <x:c r="B137" s="4" t="n">
        <x:v>46215.00267361111</x:v>
      </x:c>
      <x:c r="C137" s="1" t="str">
        <x:v>야간</x:v>
      </x:c>
      <x:c r="D137" s="1" t="str">
        <x:v>L1</x:v>
      </x:c>
      <x:c r="E137" s="1" t="str">
        <x:v>P1</x:v>
      </x:c>
      <x:c r="F137" s="1" t="str">
        <x:v>M04</x:v>
      </x:c>
      <x:c r="G137" s="1" t="str">
        <x:v>G04</x:v>
      </x:c>
      <x:c r="H137" s="5" t="n">
        <x:v>28.24</x:v>
      </x:c>
      <x:c r="I137" s="5" t="n">
        <x:v>5.86</x:v>
      </x:c>
      <x:c r="J137" s="5" t="n">
        <x:v>58.1</x:v>
      </x:c>
      <x:c r="K137" s="5" t="n">
        <x:v>40.1</x:v>
      </x:c>
      <x:c r="L137" s="5" t="n">
        <x:v>1.64</x:v>
      </x:c>
      <x:c r="M137" s="1" t="n">
        <x:v>0</x:v>
      </x:c>
      <x:c r="N137" s="6" t="n">
        <x:v>0.94</x:v>
      </x:c>
      <x:c r="O137" s="1" t="str">
        <x:v>합격</x:v>
      </x:c>
      <x:c r="P137" s="1"/>
      <x:c r="Q137" s="1" t="n">
        <x:v>42</x:v>
      </x:c>
      <x:c r="R137" s="1" t="str">
        <x:v>N</x:v>
      </x:c>
      <x:c r="S137" s="1" t="n">
        <x:v>0</x:v>
      </x:c>
      <x:c r="T137" s="1" t="str">
        <x:v>합격</x:v>
      </x:c>
    </x:row>
    <x:row r="138" ht="22" customHeight="1">
      <x:c r="A138" s="1" t="str">
        <x:v>R00137</x:v>
      </x:c>
      <x:c r="B138" s="4" t="n">
        <x:v>46216.43314814815</x:v>
      </x:c>
      <x:c r="C138" s="1" t="str">
        <x:v>주간</x:v>
      </x:c>
      <x:c r="D138" s="1" t="str">
        <x:v>L2</x:v>
      </x:c>
      <x:c r="E138" s="1" t="str">
        <x:v>P2</x:v>
      </x:c>
      <x:c r="F138" s="1" t="str">
        <x:v>M02</x:v>
      </x:c>
      <x:c r="G138" s="1" t="str">
        <x:v>G05</x:v>
      </x:c>
      <x:c r="H138" s="5" t="n">
        <x:v>31.44</x:v>
      </x:c>
      <x:c r="I138" s="5" t="n">
        <x:v>5.71</x:v>
      </x:c>
      <x:c r="J138" s="5" t="n">
        <x:v>55.5</x:v>
      </x:c>
      <x:c r="K138" s="5" t="n">
        <x:v>36.2</x:v>
      </x:c>
      <x:c r="L138" s="5" t="n">
        <x:v>1.93</x:v>
      </x:c>
      <x:c r="M138" s="1" t="n">
        <x:v>1</x:v>
      </x:c>
      <x:c r="N138" s="6" t="n">
        <x:v>0.994</x:v>
      </x:c>
      <x:c r="O138" s="1" t="str">
        <x:v>합격</x:v>
      </x:c>
      <x:c r="P138" s="1"/>
      <x:c r="Q138" s="1" t="n">
        <x:v>44</x:v>
      </x:c>
      <x:c r="R138" s="1" t="str">
        <x:v>N</x:v>
      </x:c>
      <x:c r="S138" s="1" t="n">
        <x:v>0</x:v>
      </x:c>
      <x:c r="T138" s="1" t="str">
        <x:v>합격</x:v>
      </x:c>
    </x:row>
    <x:row r="139" ht="22" customHeight="1">
      <x:c r="A139" s="1" t="str">
        <x:v>R00138</x:v>
      </x:c>
      <x:c r="B139" s="4" t="n">
        <x:v>46217.52290509259</x:v>
      </x:c>
      <x:c r="C139" s="1" t="str">
        <x:v>주간</x:v>
      </x:c>
      <x:c r="D139" s="1" t="str">
        <x:v>L2</x:v>
      </x:c>
      <x:c r="E139" s="1" t="str">
        <x:v>P2</x:v>
      </x:c>
      <x:c r="F139" s="1" t="str">
        <x:v>M04</x:v>
      </x:c>
      <x:c r="G139" s="1" t="str">
        <x:v>G06</x:v>
      </x:c>
      <x:c r="H139" s="5" t="n">
        <x:v>30.83</x:v>
      </x:c>
      <x:c r="I139" s="5" t="n">
        <x:v>5.74</x:v>
      </x:c>
      <x:c r="J139" s="5" t="n">
        <x:v>53.7</x:v>
      </x:c>
      <x:c r="K139" s="5" t="n">
        <x:v>37</x:v>
      </x:c>
      <x:c r="L139" s="5" t="n">
        <x:v>1.59</x:v>
      </x:c>
      <x:c r="M139" s="1" t="n">
        <x:v>1</x:v>
      </x:c>
      <x:c r="N139" s="6" t="n">
        <x:v>0.989</x:v>
      </x:c>
      <x:c r="O139" s="1" t="str">
        <x:v>합격</x:v>
      </x:c>
      <x:c r="P139" s="1"/>
      <x:c r="Q139" s="1" t="n">
        <x:v>40</x:v>
      </x:c>
      <x:c r="R139" s="1" t="str">
        <x:v>N</x:v>
      </x:c>
      <x:c r="S139" s="1" t="n">
        <x:v>0</x:v>
      </x:c>
      <x:c r="T139" s="1" t="str">
        <x:v>합격</x:v>
      </x:c>
    </x:row>
    <x:row r="140" ht="22" customHeight="1">
      <x:c r="A140" s="1" t="str">
        <x:v>R00139</x:v>
      </x:c>
      <x:c r="B140" s="4" t="n">
        <x:v>46218.39549768518</x:v>
      </x:c>
      <x:c r="C140" s="1" t="str">
        <x:v>주간</x:v>
      </x:c>
      <x:c r="D140" s="1" t="str">
        <x:v>L2</x:v>
      </x:c>
      <x:c r="E140" s="1" t="str">
        <x:v>P2</x:v>
      </x:c>
      <x:c r="F140" s="1" t="str">
        <x:v>M02</x:v>
      </x:c>
      <x:c r="G140" s="1" t="str">
        <x:v>G01</x:v>
      </x:c>
      <x:c r="H140" s="5" t="n">
        <x:v>29.97</x:v>
      </x:c>
      <x:c r="I140" s="5" t="n">
        <x:v>5.84</x:v>
      </x:c>
      <x:c r="J140" s="5" t="n">
        <x:v>58.1</x:v>
      </x:c>
      <x:c r="K140" s="5" t="n">
        <x:v>40.3</x:v>
      </x:c>
      <x:c r="L140" s="5" t="n">
        <x:v>2.45</x:v>
      </x:c>
      <x:c r="M140" s="1" t="n">
        <x:v>0</x:v>
      </x:c>
      <x:c r="N140" s="6" t="n">
        <x:v>0.883</x:v>
      </x:c>
      <x:c r="O140" s="1" t="str">
        <x:v>합격</x:v>
      </x:c>
      <x:c r="P140" s="1"/>
      <x:c r="Q140" s="1" t="n">
        <x:v>47</x:v>
      </x:c>
      <x:c r="R140" s="1" t="str">
        <x:v>N</x:v>
      </x:c>
      <x:c r="S140" s="1" t="n">
        <x:v>0</x:v>
      </x:c>
      <x:c r="T140" s="1" t="str">
        <x:v>합격</x:v>
      </x:c>
    </x:row>
    <x:row r="141" ht="22" customHeight="1">
      <x:c r="A141" s="1" t="str">
        <x:v>R00140</x:v>
      </x:c>
      <x:c r="B141" s="4" t="n">
        <x:v>46219.91862268518</x:v>
      </x:c>
      <x:c r="C141" s="1" t="str">
        <x:v>야간</x:v>
      </x:c>
      <x:c r="D141" s="1" t="str">
        <x:v>L2</x:v>
      </x:c>
      <x:c r="E141" s="1" t="str">
        <x:v>P2</x:v>
      </x:c>
      <x:c r="F141" s="1" t="str">
        <x:v>M02</x:v>
      </x:c>
      <x:c r="G141" s="1" t="str">
        <x:v>G02</x:v>
      </x:c>
      <x:c r="H141" s="5" t="n">
        <x:v>30.66</x:v>
      </x:c>
      <x:c r="I141" s="5" t="n">
        <x:v>5.77</x:v>
      </x:c>
      <x:c r="J141" s="5" t="n">
        <x:v>59</x:v>
      </x:c>
      <x:c r="K141" s="5" t="n">
        <x:v>35</x:v>
      </x:c>
      <x:c r="L141" s="5"/>
      <x:c r="M141" s="1" t="n">
        <x:v>1</x:v>
      </x:c>
      <x:c r="N141" s="6" t="n">
        <x:v>0.988</x:v>
      </x:c>
      <x:c r="O141" s="1" t="str">
        <x:v>합격</x:v>
      </x:c>
      <x:c r="P141" s="1"/>
      <x:c r="Q141" s="1" t="n">
        <x:v>47</x:v>
      </x:c>
      <x:c r="R141" s="1" t="str">
        <x:v>N</x:v>
      </x:c>
      <x:c r="S141" s="1" t="n">
        <x:v>0</x:v>
      </x:c>
      <x:c r="T141" s="1" t="str">
        <x:v>합격</x:v>
      </x:c>
    </x:row>
    <x:row r="142" ht="22" customHeight="1">
      <x:c r="A142" s="1" t="str">
        <x:v>R00141</x:v>
      </x:c>
      <x:c r="B142" s="4" t="n">
        <x:v>46220.36570601852</x:v>
      </x:c>
      <x:c r="C142" s="1" t="str">
        <x:v>주간</x:v>
      </x:c>
      <x:c r="D142" s="1" t="str">
        <x:v>L2</x:v>
      </x:c>
      <x:c r="E142" s="1" t="str">
        <x:v>P2</x:v>
      </x:c>
      <x:c r="F142" s="1" t="str">
        <x:v>M02</x:v>
      </x:c>
      <x:c r="G142" s="1" t="str">
        <x:v>G03</x:v>
      </x:c>
      <x:c r="H142" s="5" t="n">
        <x:v>30.16</x:v>
      </x:c>
      <x:c r="I142" s="5" t="n">
        <x:v>5.65</x:v>
      </x:c>
      <x:c r="J142" s="5" t="n">
        <x:v>52.6</x:v>
      </x:c>
      <x:c r="K142" s="5" t="n">
        <x:v>38.1</x:v>
      </x:c>
      <x:c r="L142" s="5" t="n">
        <x:v>2.11</x:v>
      </x:c>
      <x:c r="M142" s="1" t="n">
        <x:v>1</x:v>
      </x:c>
      <x:c r="N142" s="6" t="n">
        <x:v>0.888</x:v>
      </x:c>
      <x:c r="O142" s="1" t="str">
        <x:v>합격</x:v>
      </x:c>
      <x:c r="P142" s="1"/>
      <x:c r="Q142" s="1" t="n">
        <x:v>49</x:v>
      </x:c>
      <x:c r="R142" s="1" t="str">
        <x:v>N</x:v>
      </x:c>
      <x:c r="S142" s="1" t="n">
        <x:v>0</x:v>
      </x:c>
      <x:c r="T142" s="1" t="str">
        <x:v>합격</x:v>
      </x:c>
    </x:row>
    <x:row r="143" ht="22" customHeight="1">
      <x:c r="A143" s="1" t="str">
        <x:v>R00142</x:v>
      </x:c>
      <x:c r="B143" s="4" t="n">
        <x:v>46221.061203703706</x:v>
      </x:c>
      <x:c r="C143" s="1" t="str">
        <x:v>야간</x:v>
      </x:c>
      <x:c r="D143" s="1" t="str">
        <x:v>L2</x:v>
      </x:c>
      <x:c r="E143" s="1" t="str">
        <x:v>P2</x:v>
      </x:c>
      <x:c r="F143" s="1" t="str">
        <x:v>M02</x:v>
      </x:c>
      <x:c r="G143" s="1" t="str">
        <x:v>G04</x:v>
      </x:c>
      <x:c r="H143" s="5" t="n">
        <x:v>31.72</x:v>
      </x:c>
      <x:c r="I143" s="5" t="n">
        <x:v>5.81</x:v>
      </x:c>
      <x:c r="J143" s="5" t="n">
        <x:v>55.2</x:v>
      </x:c>
      <x:c r="K143" s="5" t="n">
        <x:v>37.1</x:v>
      </x:c>
      <x:c r="L143" s="5" t="n">
        <x:v>2.14</x:v>
      </x:c>
      <x:c r="M143" s="1" t="n">
        <x:v>1</x:v>
      </x:c>
      <x:c r="N143" s="6" t="n">
        <x:v>1.021</x:v>
      </x:c>
      <x:c r="O143" s="1" t="str">
        <x:v>합격</x:v>
      </x:c>
      <x:c r="P143" s="1"/>
      <x:c r="Q143" s="1" t="n">
        <x:v>36</x:v>
      </x:c>
      <x:c r="R143" s="1" t="str">
        <x:v>N</x:v>
      </x:c>
      <x:c r="S143" s="1" t="n">
        <x:v>0</x:v>
      </x:c>
      <x:c r="T143" s="1" t="str">
        <x:v>합격</x:v>
      </x:c>
    </x:row>
    <x:row r="144" ht="22" customHeight="1">
      <x:c r="A144" s="1" t="str">
        <x:v>R00143</x:v>
      </x:c>
      <x:c r="B144" s="4" t="n">
        <x:v>46222.873506944445</x:v>
      </x:c>
      <x:c r="C144" s="1" t="str">
        <x:v>야간</x:v>
      </x:c>
      <x:c r="D144" s="1" t="str">
        <x:v>L1</x:v>
      </x:c>
      <x:c r="E144" s="1" t="str">
        <x:v>P1</x:v>
      </x:c>
      <x:c r="F144" s="1" t="str">
        <x:v>M03</x:v>
      </x:c>
      <x:c r="G144" s="1" t="str">
        <x:v>G05</x:v>
      </x:c>
      <x:c r="H144" s="5" t="n">
        <x:v>34.12</x:v>
      </x:c>
      <x:c r="I144" s="5" t="n">
        <x:v>5.96</x:v>
      </x:c>
      <x:c r="J144" s="5" t="n">
        <x:v>47.2</x:v>
      </x:c>
      <x:c r="K144" s="5" t="n">
        <x:v>41.2</x:v>
      </x:c>
      <x:c r="L144" s="5" t="n">
        <x:v>1.48</x:v>
      </x:c>
      <x:c r="M144" s="1" t="n">
        <x:v>1</x:v>
      </x:c>
      <x:c r="N144" s="6" t="n">
        <x:v>0.883</x:v>
      </x:c>
      <x:c r="O144" s="1" t="str">
        <x:v>합격</x:v>
      </x:c>
      <x:c r="P144" s="1"/>
      <x:c r="Q144" s="1" t="n">
        <x:v>49</x:v>
      </x:c>
      <x:c r="R144" s="1" t="str">
        <x:v>N</x:v>
      </x:c>
      <x:c r="S144" s="1" t="n">
        <x:v>0</x:v>
      </x:c>
      <x:c r="T144" s="1" t="str">
        <x:v>합격</x:v>
      </x:c>
    </x:row>
    <x:row r="145" ht="22" customHeight="1">
      <x:c r="A145" s="1" t="str">
        <x:v>R00144</x:v>
      </x:c>
      <x:c r="B145" s="4" t="n">
        <x:v>46223.58982638889</x:v>
      </x:c>
      <x:c r="C145" s="1" t="str">
        <x:v>주간</x:v>
      </x:c>
      <x:c r="D145" s="1" t="str">
        <x:v>L2</x:v>
      </x:c>
      <x:c r="E145" s="1" t="str">
        <x:v>P2</x:v>
      </x:c>
      <x:c r="F145" s="1" t="str">
        <x:v>M04</x:v>
      </x:c>
      <x:c r="G145" s="1" t="str">
        <x:v>G06</x:v>
      </x:c>
      <x:c r="H145" s="5" t="n">
        <x:v>30.71</x:v>
      </x:c>
      <x:c r="I145" s="5" t="n">
        <x:v>5.87</x:v>
      </x:c>
      <x:c r="J145" s="5" t="n">
        <x:v>49.9</x:v>
      </x:c>
      <x:c r="K145" s="5" t="n">
        <x:v>35.6</x:v>
      </x:c>
      <x:c r="L145" s="5" t="n">
        <x:v>1.82</x:v>
      </x:c>
      <x:c r="M145" s="1" t="n">
        <x:v>0</x:v>
      </x:c>
      <x:c r="N145" s="6" t="n">
        <x:v>1.009</x:v>
      </x:c>
      <x:c r="O145" s="1" t="str">
        <x:v>합격</x:v>
      </x:c>
      <x:c r="P145" s="1"/>
      <x:c r="Q145" s="1" t="n">
        <x:v>42</x:v>
      </x:c>
      <x:c r="R145" s="1" t="str">
        <x:v>N</x:v>
      </x:c>
      <x:c r="S145" s="1" t="n">
        <x:v>0</x:v>
      </x:c>
      <x:c r="T145" s="1" t="str">
        <x:v>합격</x:v>
      </x:c>
    </x:row>
    <x:row r="146" ht="22" customHeight="1">
      <x:c r="A146" s="1" t="str">
        <x:v>R00145</x:v>
      </x:c>
      <x:c r="B146" s="4" t="n">
        <x:v>46224.6440625</x:v>
      </x:c>
      <x:c r="C146" s="1" t="str">
        <x:v>주간</x:v>
      </x:c>
      <x:c r="D146" s="1" t="str">
        <x:v>L2</x:v>
      </x:c>
      <x:c r="E146" s="1" t="str">
        <x:v>P2</x:v>
      </x:c>
      <x:c r="F146" s="1" t="str">
        <x:v>M02</x:v>
      </x:c>
      <x:c r="G146" s="1" t="str">
        <x:v>G01</x:v>
      </x:c>
      <x:c r="H146" s="5" t="n">
        <x:v>27.31</x:v>
      </x:c>
      <x:c r="I146" s="5" t="n">
        <x:v>5.75</x:v>
      </x:c>
      <x:c r="J146" s="5" t="n">
        <x:v>56.3</x:v>
      </x:c>
      <x:c r="K146" s="5" t="n">
        <x:v>41.7</x:v>
      </x:c>
      <x:c r="L146" s="5" t="n">
        <x:v>1.45</x:v>
      </x:c>
      <x:c r="M146" s="1" t="n">
        <x:v>0</x:v>
      </x:c>
      <x:c r="N146" s="6" t="n">
        <x:v>0.988</x:v>
      </x:c>
      <x:c r="O146" s="1" t="str">
        <x:v>합격</x:v>
      </x:c>
      <x:c r="P146" s="1"/>
      <x:c r="Q146" s="1" t="n">
        <x:v>37</x:v>
      </x:c>
      <x:c r="R146" s="1" t="str">
        <x:v>N</x:v>
      </x:c>
      <x:c r="S146" s="1" t="n">
        <x:v>0</x:v>
      </x:c>
      <x:c r="T146" s="1" t="str">
        <x:v>합격</x:v>
      </x:c>
    </x:row>
    <x:row r="147" ht="22" customHeight="1">
      <x:c r="A147" s="1" t="str">
        <x:v>R00146</x:v>
      </x:c>
      <x:c r="B147" s="4" t="n">
        <x:v>46225.88138888889</x:v>
      </x:c>
      <x:c r="C147" s="1" t="str">
        <x:v>야간</x:v>
      </x:c>
      <x:c r="D147" s="1" t="str">
        <x:v>L1</x:v>
      </x:c>
      <x:c r="E147" s="1" t="str">
        <x:v>P1</x:v>
      </x:c>
      <x:c r="F147" s="1" t="str">
        <x:v>M04</x:v>
      </x:c>
      <x:c r="G147" s="1" t="str">
        <x:v>G02</x:v>
      </x:c>
      <x:c r="H147" s="5" t="n">
        <x:v>27.88</x:v>
      </x:c>
      <x:c r="I147" s="5" t="n">
        <x:v>5.72</x:v>
      </x:c>
      <x:c r="J147" s="5" t="n">
        <x:v>50.1</x:v>
      </x:c>
      <x:c r="K147" s="5" t="n">
        <x:v>37.1</x:v>
      </x:c>
      <x:c r="L147" s="5" t="n">
        <x:v>2.29</x:v>
      </x:c>
      <x:c r="M147" s="1" t="n">
        <x:v>1</x:v>
      </x:c>
      <x:c r="N147" s="6" t="n">
        <x:v>1.047</x:v>
      </x:c>
      <x:c r="O147" s="1" t="str">
        <x:v>합격</x:v>
      </x:c>
      <x:c r="P147" s="1"/>
      <x:c r="Q147" s="1" t="n">
        <x:v>37</x:v>
      </x:c>
      <x:c r="R147" s="1" t="str">
        <x:v>N</x:v>
      </x:c>
      <x:c r="S147" s="1" t="n">
        <x:v>0</x:v>
      </x:c>
      <x:c r="T147" s="1" t="str">
        <x:v>합격</x:v>
      </x:c>
    </x:row>
    <x:row r="148" ht="22" customHeight="1">
      <x:c r="A148" s="1" t="str">
        <x:v>R00147</x:v>
      </x:c>
      <x:c r="B148" s="4" t="n">
        <x:v>46226.55012731482</x:v>
      </x:c>
      <x:c r="C148" s="1" t="str">
        <x:v>주간</x:v>
      </x:c>
      <x:c r="D148" s="1" t="str">
        <x:v>L2</x:v>
      </x:c>
      <x:c r="E148" s="1" t="str">
        <x:v>P2</x:v>
      </x:c>
      <x:c r="F148" s="1" t="str">
        <x:v>M02</x:v>
      </x:c>
      <x:c r="G148" s="1" t="str">
        <x:v>G03</x:v>
      </x:c>
      <x:c r="H148" s="5" t="n">
        <x:v>30.08</x:v>
      </x:c>
      <x:c r="I148" s="5" t="n">
        <x:v>5.73</x:v>
      </x:c>
      <x:c r="J148" s="5" t="n">
        <x:v>52.2</x:v>
      </x:c>
      <x:c r="K148" s="5" t="n">
        <x:v>39.3</x:v>
      </x:c>
      <x:c r="L148" s="5" t="n">
        <x:v>1.95</x:v>
      </x:c>
      <x:c r="M148" s="1" t="n">
        <x:v>1</x:v>
      </x:c>
      <x:c r="N148" s="6" t="n">
        <x:v>1.035</x:v>
      </x:c>
      <x:c r="O148" s="1" t="str">
        <x:v>합격</x:v>
      </x:c>
      <x:c r="P148" s="1"/>
      <x:c r="Q148" s="1" t="n">
        <x:v>45</x:v>
      </x:c>
      <x:c r="R148" s="1" t="str">
        <x:v>N</x:v>
      </x:c>
      <x:c r="S148" s="1" t="n">
        <x:v>0</x:v>
      </x:c>
      <x:c r="T148" s="1" t="str">
        <x:v>합격</x:v>
      </x:c>
    </x:row>
    <x:row r="149" ht="22" customHeight="1">
      <x:c r="A149" s="1" t="str">
        <x:v>R00148</x:v>
      </x:c>
      <x:c r="B149" s="4" t="n">
        <x:v>46227.56181712963</x:v>
      </x:c>
      <x:c r="C149" s="1" t="str">
        <x:v>주간</x:v>
      </x:c>
      <x:c r="D149" s="1" t="str">
        <x:v>L2</x:v>
      </x:c>
      <x:c r="E149" s="1" t="str">
        <x:v>P2</x:v>
      </x:c>
      <x:c r="F149" s="1" t="str">
        <x:v>M04</x:v>
      </x:c>
      <x:c r="G149" s="1" t="str">
        <x:v>G04</x:v>
      </x:c>
      <x:c r="H149" s="5" t="n">
        <x:v>31.56</x:v>
      </x:c>
      <x:c r="I149" s="5" t="n">
        <x:v>5.81</x:v>
      </x:c>
      <x:c r="J149" s="5" t="n">
        <x:v>52</x:v>
      </x:c>
      <x:c r="K149" s="5" t="n">
        <x:v>39</x:v>
      </x:c>
      <x:c r="L149" s="5" t="n">
        <x:v>1.36</x:v>
      </x:c>
      <x:c r="M149" s="1" t="n">
        <x:v>0</x:v>
      </x:c>
      <x:c r="N149" s="6" t="n">
        <x:v>0.944</x:v>
      </x:c>
      <x:c r="O149" s="1" t="str">
        <x:v>합격</x:v>
      </x:c>
      <x:c r="P149" s="1"/>
      <x:c r="Q149" s="1" t="n">
        <x:v>47</x:v>
      </x:c>
      <x:c r="R149" s="1" t="str">
        <x:v>N</x:v>
      </x:c>
      <x:c r="S149" s="1" t="n">
        <x:v>0</x:v>
      </x:c>
      <x:c r="T149" s="1" t="str">
        <x:v>합격</x:v>
      </x:c>
    </x:row>
    <x:row r="150" ht="22" customHeight="1">
      <x:c r="A150" s="1" t="str">
        <x:v>R00149</x:v>
      </x:c>
      <x:c r="B150" s="4" t="n">
        <x:v>46228.62164351852</x:v>
      </x:c>
      <x:c r="C150" s="1" t="str">
        <x:v>주간</x:v>
      </x:c>
      <x:c r="D150" s="1" t="str">
        <x:v>L1</x:v>
      </x:c>
      <x:c r="E150" s="1" t="str">
        <x:v>P1</x:v>
      </x:c>
      <x:c r="F150" s="1" t="str">
        <x:v>M03</x:v>
      </x:c>
      <x:c r="G150" s="1" t="str">
        <x:v>G05</x:v>
      </x:c>
      <x:c r="H150" s="5" t="n">
        <x:v>28.02</x:v>
      </x:c>
      <x:c r="I150" s="5" t="n">
        <x:v>5.89</x:v>
      </x:c>
      <x:c r="J150" s="5" t="n">
        <x:v>52.5</x:v>
      </x:c>
      <x:c r="K150" s="5" t="n">
        <x:v>41.5</x:v>
      </x:c>
      <x:c r="L150" s="5" t="n">
        <x:v>1.71</x:v>
      </x:c>
      <x:c r="M150" s="1" t="n">
        <x:v>0</x:v>
      </x:c>
      <x:c r="N150" s="6" t="n">
        <x:v>1.008</x:v>
      </x:c>
      <x:c r="O150" s="1" t="str">
        <x:v>합격</x:v>
      </x:c>
      <x:c r="P150" s="1"/>
      <x:c r="Q150" s="1" t="n">
        <x:v>35</x:v>
      </x:c>
      <x:c r="R150" s="1" t="str">
        <x:v>N</x:v>
      </x:c>
      <x:c r="S150" s="1" t="n">
        <x:v>0</x:v>
      </x:c>
      <x:c r="T150" s="1" t="str">
        <x:v>합격</x:v>
      </x:c>
    </x:row>
    <x:row r="151" ht="22" customHeight="1">
      <x:c r="A151" s="1" t="str">
        <x:v>R00150</x:v>
      </x:c>
      <x:c r="B151" s="4" t="n">
        <x:v>46229.617997685185</x:v>
      </x:c>
      <x:c r="C151" s="1" t="str">
        <x:v>주간</x:v>
      </x:c>
      <x:c r="D151" s="1" t="str">
        <x:v>L2</x:v>
      </x:c>
      <x:c r="E151" s="1" t="str">
        <x:v>P2</x:v>
      </x:c>
      <x:c r="F151" s="1" t="str">
        <x:v>M04</x:v>
      </x:c>
      <x:c r="G151" s="1" t="str">
        <x:v>G06</x:v>
      </x:c>
      <x:c r="H151" s="5" t="n">
        <x:v>29.87</x:v>
      </x:c>
      <x:c r="I151" s="5" t="n">
        <x:v>5.62</x:v>
      </x:c>
      <x:c r="J151" s="5" t="n">
        <x:v>51.9</x:v>
      </x:c>
      <x:c r="K151" s="5" t="n">
        <x:v>40.2</x:v>
      </x:c>
      <x:c r="L151" s="5" t="n">
        <x:v>1.32</x:v>
      </x:c>
      <x:c r="M151" s="1" t="n">
        <x:v>0</x:v>
      </x:c>
      <x:c r="N151" s="6" t="n">
        <x:v>1.02</x:v>
      </x:c>
      <x:c r="O151" s="1" t="str">
        <x:v>합격</x:v>
      </x:c>
      <x:c r="P151" s="1"/>
      <x:c r="Q151" s="1" t="n">
        <x:v>45</x:v>
      </x:c>
      <x:c r="R151" s="1" t="str">
        <x:v>N</x:v>
      </x:c>
      <x:c r="S151" s="1" t="n">
        <x:v>0</x:v>
      </x:c>
      <x:c r="T151" s="1" t="str">
        <x:v>합격</x:v>
      </x:c>
    </x:row>
    <x:row r="152" ht="22" customHeight="1">
      <x:c r="A152" s="1" t="str">
        <x:v>R00151</x:v>
      </x:c>
      <x:c r="B152" s="4" t="n">
        <x:v>46230.649189814816</x:v>
      </x:c>
      <x:c r="C152" s="1" t="str">
        <x:v>주간</x:v>
      </x:c>
      <x:c r="D152" s="1" t="str">
        <x:v>L2</x:v>
      </x:c>
      <x:c r="E152" s="1" t="str">
        <x:v>P2</x:v>
      </x:c>
      <x:c r="F152" s="1" t="str">
        <x:v>M04</x:v>
      </x:c>
      <x:c r="G152" s="1" t="str">
        <x:v>G01</x:v>
      </x:c>
      <x:c r="H152" s="5" t="n">
        <x:v>31.46</x:v>
      </x:c>
      <x:c r="I152" s="5" t="n">
        <x:v>5.82</x:v>
      </x:c>
      <x:c r="J152" s="5" t="n">
        <x:v>53.3</x:v>
      </x:c>
      <x:c r="K152" s="5" t="n">
        <x:v>36.9</x:v>
      </x:c>
      <x:c r="L152" s="5" t="n">
        <x:v>2.5</x:v>
      </x:c>
      <x:c r="M152" s="1" t="n">
        <x:v>0</x:v>
      </x:c>
      <x:c r="N152" s="6" t="n">
        <x:v>1.007</x:v>
      </x:c>
      <x:c r="O152" s="1" t="str">
        <x:v>합격</x:v>
      </x:c>
      <x:c r="P152" s="1"/>
      <x:c r="Q152" s="1" t="n">
        <x:v>40</x:v>
      </x:c>
      <x:c r="R152" s="1" t="str">
        <x:v>N</x:v>
      </x:c>
      <x:c r="S152" s="1" t="n">
        <x:v>0</x:v>
      </x:c>
      <x:c r="T152" s="1" t="str">
        <x:v>합격</x:v>
      </x:c>
    </x:row>
    <x:row r="153" ht="22" customHeight="1">
      <x:c r="A153" s="1" t="str">
        <x:v>R00152</x:v>
      </x:c>
      <x:c r="B153" s="4" t="n">
        <x:v>46231.371724537035</x:v>
      </x:c>
      <x:c r="C153" s="1" t="str">
        <x:v>주간</x:v>
      </x:c>
      <x:c r="D153" s="1" t="str">
        <x:v>L1</x:v>
      </x:c>
      <x:c r="E153" s="1" t="str">
        <x:v>P1</x:v>
      </x:c>
      <x:c r="F153" s="1" t="str">
        <x:v>M01</x:v>
      </x:c>
      <x:c r="G153" s="1" t="str">
        <x:v>G02</x:v>
      </x:c>
      <x:c r="H153" s="5" t="n">
        <x:v>27.78</x:v>
      </x:c>
      <x:c r="I153" s="5" t="n">
        <x:v>5.74</x:v>
      </x:c>
      <x:c r="J153" s="5" t="n">
        <x:v>52.9</x:v>
      </x:c>
      <x:c r="K153" s="5" t="n">
        <x:v>41.5</x:v>
      </x:c>
      <x:c r="L153" s="5" t="n">
        <x:v>2.05</x:v>
      </x:c>
      <x:c r="M153" s="1" t="n">
        <x:v>0</x:v>
      </x:c>
      <x:c r="N153" s="6" t="n">
        <x:v>0.926</x:v>
      </x:c>
      <x:c r="O153" s="1" t="str">
        <x:v>합격</x:v>
      </x:c>
      <x:c r="P153" s="1"/>
      <x:c r="Q153" s="1" t="n">
        <x:v>48</x:v>
      </x:c>
      <x:c r="R153" s="1" t="str">
        <x:v>N</x:v>
      </x:c>
      <x:c r="S153" s="1" t="n">
        <x:v>0</x:v>
      </x:c>
      <x:c r="T153" s="1" t="str">
        <x:v>합격</x:v>
      </x:c>
    </x:row>
    <x:row r="154" ht="22" customHeight="1">
      <x:c r="A154" s="1" t="str">
        <x:v>R00153</x:v>
      </x:c>
      <x:c r="B154" s="4" t="n">
        <x:v>46232.02556712963</x:v>
      </x:c>
      <x:c r="C154" s="1" t="str">
        <x:v>야간</x:v>
      </x:c>
      <x:c r="D154" s="1" t="str">
        <x:v>L2</x:v>
      </x:c>
      <x:c r="E154" s="1" t="str">
        <x:v>P2</x:v>
      </x:c>
      <x:c r="F154" s="1" t="str">
        <x:v>M01</x:v>
      </x:c>
      <x:c r="G154" s="1" t="str">
        <x:v>G03</x:v>
      </x:c>
      <x:c r="H154" s="5" t="n">
        <x:v>31.03</x:v>
      </x:c>
      <x:c r="I154" s="5" t="n">
        <x:v>5.89</x:v>
      </x:c>
      <x:c r="J154" s="5" t="n">
        <x:v>51.9</x:v>
      </x:c>
      <x:c r="K154" s="5" t="n">
        <x:v>36.4</x:v>
      </x:c>
      <x:c r="L154" s="5" t="n">
        <x:v>2.61</x:v>
      </x:c>
      <x:c r="M154" s="1" t="n">
        <x:v>0</x:v>
      </x:c>
      <x:c r="N154" s="6" t="n">
        <x:v>0.995</x:v>
      </x:c>
      <x:c r="O154" s="1" t="str">
        <x:v>합격</x:v>
      </x:c>
      <x:c r="P154" s="1"/>
      <x:c r="Q154" s="1" t="n">
        <x:v>39</x:v>
      </x:c>
      <x:c r="R154" s="1" t="str">
        <x:v>N</x:v>
      </x:c>
      <x:c r="S154" s="1" t="n">
        <x:v>0</x:v>
      </x:c>
      <x:c r="T154" s="1" t="str">
        <x:v>합격</x:v>
      </x:c>
    </x:row>
    <x:row r="155" ht="22" customHeight="1">
      <x:c r="A155" s="1" t="str">
        <x:v>R00154</x:v>
      </x:c>
      <x:c r="B155" s="4" t="n">
        <x:v>46233.472858796296</x:v>
      </x:c>
      <x:c r="C155" s="1" t="str">
        <x:v>주간</x:v>
      </x:c>
      <x:c r="D155" s="1" t="str">
        <x:v>L1</x:v>
      </x:c>
      <x:c r="E155" s="1" t="str">
        <x:v>P1</x:v>
      </x:c>
      <x:c r="F155" s="1" t="str">
        <x:v>M01</x:v>
      </x:c>
      <x:c r="G155" s="1" t="str">
        <x:v>G04</x:v>
      </x:c>
      <x:c r="H155" s="5" t="n">
        <x:v>29.3</x:v>
      </x:c>
      <x:c r="I155" s="5" t="n">
        <x:v>5.87</x:v>
      </x:c>
      <x:c r="J155" s="5" t="n">
        <x:v>47.7</x:v>
      </x:c>
      <x:c r="K155" s="5" t="n">
        <x:v>36.8</x:v>
      </x:c>
      <x:c r="L155" s="5" t="n">
        <x:v>1.56</x:v>
      </x:c>
      <x:c r="M155" s="1" t="n">
        <x:v>1</x:v>
      </x:c>
      <x:c r="N155" s="6" t="n">
        <x:v>1.025</x:v>
      </x:c>
      <x:c r="O155" s="1" t="str">
        <x:v>합격</x:v>
      </x:c>
      <x:c r="P155" s="1"/>
      <x:c r="Q155" s="1" t="n">
        <x:v>44</x:v>
      </x:c>
      <x:c r="R155" s="1" t="str">
        <x:v>N</x:v>
      </x:c>
      <x:c r="S155" s="1" t="n">
        <x:v>0</x:v>
      </x:c>
      <x:c r="T155" s="1" t="str">
        <x:v>합격</x:v>
      </x:c>
    </x:row>
    <x:row r="156" ht="22" customHeight="1">
      <x:c r="A156" s="1" t="str">
        <x:v>R00155</x:v>
      </x:c>
      <x:c r="B156" s="4" t="n">
        <x:v>46234.463321759256</x:v>
      </x:c>
      <x:c r="C156" s="1" t="str">
        <x:v>주간</x:v>
      </x:c>
      <x:c r="D156" s="1" t="str">
        <x:v>L1</x:v>
      </x:c>
      <x:c r="E156" s="1" t="str">
        <x:v>P1</x:v>
      </x:c>
      <x:c r="F156" s="1" t="str">
        <x:v>M03</x:v>
      </x:c>
      <x:c r="G156" s="1" t="str">
        <x:v>G05</x:v>
      </x:c>
      <x:c r="H156" s="5" t="n">
        <x:v>27.52</x:v>
      </x:c>
      <x:c r="I156" s="5" t="n">
        <x:v>5.68</x:v>
      </x:c>
      <x:c r="J156" s="5" t="n">
        <x:v>54.4</x:v>
      </x:c>
      <x:c r="K156" s="5" t="n">
        <x:v>40.4</x:v>
      </x:c>
      <x:c r="L156" s="5" t="n">
        <x:v>1.97</x:v>
      </x:c>
      <x:c r="M156" s="1" t="n">
        <x:v>0</x:v>
      </x:c>
      <x:c r="N156" s="6" t="n">
        <x:v>1.003</x:v>
      </x:c>
      <x:c r="O156" s="1" t="str">
        <x:v>합격</x:v>
      </x:c>
      <x:c r="P156" s="1"/>
      <x:c r="Q156" s="1" t="n">
        <x:v>35</x:v>
      </x:c>
      <x:c r="R156" s="1" t="str">
        <x:v>N</x:v>
      </x:c>
      <x:c r="S156" s="1" t="n">
        <x:v>0</x:v>
      </x:c>
      <x:c r="T156" s="1" t="str">
        <x:v>합격</x:v>
      </x:c>
    </x:row>
    <x:row r="157" ht="22" customHeight="1">
      <x:c r="A157" s="1" t="str">
        <x:v>R00156</x:v>
      </x:c>
      <x:c r="B157" s="4" t="n">
        <x:v>46204.56675925926</x:v>
      </x:c>
      <x:c r="C157" s="1" t="str">
        <x:v>주간</x:v>
      </x:c>
      <x:c r="D157" s="1" t="str">
        <x:v>L1</x:v>
      </x:c>
      <x:c r="E157" s="1" t="str">
        <x:v>P1</x:v>
      </x:c>
      <x:c r="F157" s="1" t="str">
        <x:v>M03</x:v>
      </x:c>
      <x:c r="G157" s="1" t="str">
        <x:v>G06</x:v>
      </x:c>
      <x:c r="H157" s="5" t="n">
        <x:v>28.55</x:v>
      </x:c>
      <x:c r="I157" s="5" t="n">
        <x:v>5.68</x:v>
      </x:c>
      <x:c r="J157" s="5" t="n">
        <x:v>49.9</x:v>
      </x:c>
      <x:c r="K157" s="5" t="n">
        <x:v>35.5</x:v>
      </x:c>
      <x:c r="L157" s="5" t="n">
        <x:v>1.69</x:v>
      </x:c>
      <x:c r="M157" s="1" t="n">
        <x:v>1</x:v>
      </x:c>
      <x:c r="N157" s="6" t="n">
        <x:v>0.952</x:v>
      </x:c>
      <x:c r="O157" s="1" t="str">
        <x:v>합격</x:v>
      </x:c>
      <x:c r="P157" s="1"/>
      <x:c r="Q157" s="1" t="n">
        <x:v>38</x:v>
      </x:c>
      <x:c r="R157" s="1" t="str">
        <x:v>N</x:v>
      </x:c>
      <x:c r="S157" s="1" t="n">
        <x:v>0</x:v>
      </x:c>
      <x:c r="T157" s="1" t="str">
        <x:v>합격</x:v>
      </x:c>
    </x:row>
    <x:row r="158" ht="22" customHeight="1">
      <x:c r="A158" s="1" t="str">
        <x:v>R00157</x:v>
      </x:c>
      <x:c r="B158" s="4" t="n">
        <x:v>46205.51678240741</x:v>
      </x:c>
      <x:c r="C158" s="1" t="str">
        <x:v>주간</x:v>
      </x:c>
      <x:c r="D158" s="1" t="str">
        <x:v>L2</x:v>
      </x:c>
      <x:c r="E158" s="1" t="str">
        <x:v>P2</x:v>
      </x:c>
      <x:c r="F158" s="1" t="str">
        <x:v>M02</x:v>
      </x:c>
      <x:c r="G158" s="1" t="str">
        <x:v>G01</x:v>
      </x:c>
      <x:c r="H158" s="5" t="n">
        <x:v>29.48</x:v>
      </x:c>
      <x:c r="I158" s="5" t="n">
        <x:v>5.8</x:v>
      </x:c>
      <x:c r="J158" s="5" t="n">
        <x:v>56.3</x:v>
      </x:c>
      <x:c r="K158" s="5" t="n">
        <x:v>38.8</x:v>
      </x:c>
      <x:c r="L158" s="5" t="n">
        <x:v>1.32</x:v>
      </x:c>
      <x:c r="M158" s="1" t="n">
        <x:v>1</x:v>
      </x:c>
      <x:c r="N158" s="6" t="n">
        <x:v>1.01</x:v>
      </x:c>
      <x:c r="O158" s="1" t="str">
        <x:v>합격</x:v>
      </x:c>
      <x:c r="P158" s="1"/>
      <x:c r="Q158" s="1" t="n">
        <x:v>46</x:v>
      </x:c>
      <x:c r="R158" s="1" t="str">
        <x:v>N</x:v>
      </x:c>
      <x:c r="S158" s="1" t="n">
        <x:v>0</x:v>
      </x:c>
      <x:c r="T158" s="1" t="str">
        <x:v>합격</x:v>
      </x:c>
    </x:row>
    <x:row r="159" ht="22" customHeight="1">
      <x:c r="A159" s="1" t="str">
        <x:v>R00158</x:v>
      </x:c>
      <x:c r="B159" s="4" t="n">
        <x:v>46206.96193287037</x:v>
      </x:c>
      <x:c r="C159" s="1" t="str">
        <x:v>야간</x:v>
      </x:c>
      <x:c r="D159" s="1" t="str">
        <x:v>L1</x:v>
      </x:c>
      <x:c r="E159" s="1" t="str">
        <x:v>P1</x:v>
      </x:c>
      <x:c r="F159" s="1" t="str">
        <x:v>M04</x:v>
      </x:c>
      <x:c r="G159" s="1" t="str">
        <x:v>G02</x:v>
      </x:c>
      <x:c r="H159" s="5" t="n">
        <x:v>29.14</x:v>
      </x:c>
      <x:c r="I159" s="5" t="n">
        <x:v>5.66</x:v>
      </x:c>
      <x:c r="J159" s="5" t="n">
        <x:v>48.5</x:v>
      </x:c>
      <x:c r="K159" s="5" t="n">
        <x:v>38.5</x:v>
      </x:c>
      <x:c r="L159" s="5" t="n">
        <x:v>2.67</x:v>
      </x:c>
      <x:c r="M159" s="1" t="n">
        <x:v>1</x:v>
      </x:c>
      <x:c r="N159" s="6" t="n">
        <x:v>0.856</x:v>
      </x:c>
      <x:c r="O159" s="1" t="str">
        <x:v>합격</x:v>
      </x:c>
      <x:c r="P159" s="1"/>
      <x:c r="Q159" s="1" t="n">
        <x:v>36</x:v>
      </x:c>
      <x:c r="R159" s="1" t="str">
        <x:v>N</x:v>
      </x:c>
      <x:c r="S159" s="1" t="n">
        <x:v>0</x:v>
      </x:c>
      <x:c r="T159" s="1" t="str">
        <x:v>합격</x:v>
      </x:c>
    </x:row>
    <x:row r="160" ht="22" customHeight="1">
      <x:c r="A160" s="1" t="str">
        <x:v>R00159</x:v>
      </x:c>
      <x:c r="B160" s="4" t="n">
        <x:v>46207.39318287037</x:v>
      </x:c>
      <x:c r="C160" s="1" t="str">
        <x:v>주간</x:v>
      </x:c>
      <x:c r="D160" s="1" t="str">
        <x:v>L1</x:v>
      </x:c>
      <x:c r="E160" s="1" t="str">
        <x:v>P1</x:v>
      </x:c>
      <x:c r="F160" s="1" t="str">
        <x:v>M03</x:v>
      </x:c>
      <x:c r="G160" s="1" t="str">
        <x:v>G03</x:v>
      </x:c>
      <x:c r="H160" s="5" t="n">
        <x:v>32.17</x:v>
      </x:c>
      <x:c r="I160" s="5" t="n">
        <x:v>5.93</x:v>
      </x:c>
      <x:c r="J160" s="5" t="n">
        <x:v>47.1</x:v>
      </x:c>
      <x:c r="K160" s="5" t="n">
        <x:v>40.2</x:v>
      </x:c>
      <x:c r="L160" s="5" t="n">
        <x:v>2.45</x:v>
      </x:c>
      <x:c r="M160" s="1" t="n">
        <x:v>1</x:v>
      </x:c>
      <x:c r="N160" s="6" t="n">
        <x:v>0.933</x:v>
      </x:c>
      <x:c r="O160" s="1" t="str">
        <x:v>합격</x:v>
      </x:c>
      <x:c r="P160" s="1"/>
      <x:c r="Q160" s="1" t="n">
        <x:v>47</x:v>
      </x:c>
      <x:c r="R160" s="1" t="str">
        <x:v>N</x:v>
      </x:c>
      <x:c r="S160" s="1" t="n">
        <x:v>0</x:v>
      </x:c>
      <x:c r="T160" s="1" t="str">
        <x:v>합격</x:v>
      </x:c>
    </x:row>
    <x:row r="161" ht="22" customHeight="1">
      <x:c r="A161" s="1" t="str">
        <x:v>R00160</x:v>
      </x:c>
      <x:c r="B161" s="4" t="n">
        <x:v>46208.41427083333</x:v>
      </x:c>
      <x:c r="C161" s="1" t="str">
        <x:v>주간</x:v>
      </x:c>
      <x:c r="D161" s="1" t="str">
        <x:v>L1</x:v>
      </x:c>
      <x:c r="E161" s="1" t="str">
        <x:v>P1</x:v>
      </x:c>
      <x:c r="F161" s="1" t="str">
        <x:v>M02</x:v>
      </x:c>
      <x:c r="G161" s="1" t="str">
        <x:v>G04</x:v>
      </x:c>
      <x:c r="H161" s="5" t="n">
        <x:v>26.19</x:v>
      </x:c>
      <x:c r="I161" s="5" t="n">
        <x:v>5.66</x:v>
      </x:c>
      <x:c r="J161" s="5" t="n">
        <x:v>55.9</x:v>
      </x:c>
      <x:c r="K161" s="5" t="n">
        <x:v>36.6</x:v>
      </x:c>
      <x:c r="L161" s="5" t="n">
        <x:v>1.69</x:v>
      </x:c>
      <x:c r="M161" s="1" t="n">
        <x:v>1</x:v>
      </x:c>
      <x:c r="N161" s="6" t="n">
        <x:v>0.857</x:v>
      </x:c>
      <x:c r="O161" s="1" t="str">
        <x:v>불합격</x:v>
      </x:c>
      <x:c r="P161" s="1" t="str">
        <x:v>외관불량</x:v>
      </x:c>
      <x:c r="Q161" s="1" t="n">
        <x:v>41</x:v>
      </x:c>
      <x:c r="R161" s="1" t="str">
        <x:v>Y</x:v>
      </x:c>
      <x:c r="S161" s="1" t="n">
        <x:v>7</x:v>
      </x:c>
      <x:c r="T161" s="1" t="str">
        <x:v>재작업후합격</x:v>
      </x:c>
    </x:row>
    <x:row r="162" ht="22" customHeight="1">
      <x:c r="A162" s="1" t="str">
        <x:v>R00161</x:v>
      </x:c>
      <x:c r="B162" s="4" t="n">
        <x:v>46209.115335648145</x:v>
      </x:c>
      <x:c r="C162" s="1" t="str">
        <x:v>야간</x:v>
      </x:c>
      <x:c r="D162" s="1" t="str">
        <x:v>L1</x:v>
      </x:c>
      <x:c r="E162" s="1" t="str">
        <x:v>P1</x:v>
      </x:c>
      <x:c r="F162" s="1" t="str">
        <x:v>M03</x:v>
      </x:c>
      <x:c r="G162" s="1" t="str">
        <x:v>G05</x:v>
      </x:c>
      <x:c r="H162" s="5" t="n">
        <x:v>33.66</x:v>
      </x:c>
      <x:c r="I162" s="5" t="n">
        <x:v>6</x:v>
      </x:c>
      <x:c r="J162" s="5" t="n">
        <x:v>57.1</x:v>
      </x:c>
      <x:c r="K162" s="5" t="n">
        <x:v>37.1</x:v>
      </x:c>
      <x:c r="L162" s="5" t="n">
        <x:v>1.67</x:v>
      </x:c>
      <x:c r="M162" s="1" t="n">
        <x:v>1</x:v>
      </x:c>
      <x:c r="N162" s="6" t="n">
        <x:v>0.903</x:v>
      </x:c>
      <x:c r="O162" s="1" t="str">
        <x:v>합격</x:v>
      </x:c>
      <x:c r="P162" s="1"/>
      <x:c r="Q162" s="1" t="n">
        <x:v>44</x:v>
      </x:c>
      <x:c r="R162" s="1" t="str">
        <x:v>N</x:v>
      </x:c>
      <x:c r="S162" s="1" t="n">
        <x:v>0</x:v>
      </x:c>
      <x:c r="T162" s="1" t="str">
        <x:v>합격</x:v>
      </x:c>
    </x:row>
    <x:row r="163" ht="22" customHeight="1">
      <x:c r="A163" s="1" t="str">
        <x:v>R00162</x:v>
      </x:c>
      <x:c r="B163" s="4" t="n">
        <x:v>46210.366956018515</x:v>
      </x:c>
      <x:c r="C163" s="1" t="str">
        <x:v>주간</x:v>
      </x:c>
      <x:c r="D163" s="1" t="str">
        <x:v>L2</x:v>
      </x:c>
      <x:c r="E163" s="1" t="str">
        <x:v>P2</x:v>
      </x:c>
      <x:c r="F163" s="1" t="str">
        <x:v>M02</x:v>
      </x:c>
      <x:c r="G163" s="1" t="str">
        <x:v>G06</x:v>
      </x:c>
      <x:c r="H163" s="5" t="n">
        <x:v>28.87</x:v>
      </x:c>
      <x:c r="I163" s="5" t="n">
        <x:v>5.93</x:v>
      </x:c>
      <x:c r="J163" s="5" t="n">
        <x:v>47</x:v>
      </x:c>
      <x:c r="K163" s="5" t="n">
        <x:v>35.1</x:v>
      </x:c>
      <x:c r="L163" s="5" t="n">
        <x:v>2.34</x:v>
      </x:c>
      <x:c r="M163" s="1" t="n">
        <x:v>1</x:v>
      </x:c>
      <x:c r="N163" s="6" t="n">
        <x:v>0.93</x:v>
      </x:c>
      <x:c r="O163" s="1" t="str">
        <x:v>합격</x:v>
      </x:c>
      <x:c r="P163" s="1"/>
      <x:c r="Q163" s="1" t="n">
        <x:v>42</x:v>
      </x:c>
      <x:c r="R163" s="1" t="str">
        <x:v>N</x:v>
      </x:c>
      <x:c r="S163" s="1" t="n">
        <x:v>0</x:v>
      </x:c>
      <x:c r="T163" s="1" t="str">
        <x:v>합격</x:v>
      </x:c>
    </x:row>
    <x:row r="164" ht="22" customHeight="1">
      <x:c r="A164" s="1" t="str">
        <x:v>R00163</x:v>
      </x:c>
      <x:c r="B164" s="4" t="n">
        <x:v>46211.37635416666</x:v>
      </x:c>
      <x:c r="C164" s="1" t="str">
        <x:v>주간</x:v>
      </x:c>
      <x:c r="D164" s="1" t="str">
        <x:v>L1</x:v>
      </x:c>
      <x:c r="E164" s="1" t="str">
        <x:v>P1</x:v>
      </x:c>
      <x:c r="F164" s="1" t="str">
        <x:v>M03</x:v>
      </x:c>
      <x:c r="G164" s="1" t="str">
        <x:v>G01</x:v>
      </x:c>
      <x:c r="H164" s="5" t="n">
        <x:v>29.53</x:v>
      </x:c>
      <x:c r="I164" s="5" t="n">
        <x:v>5.64</x:v>
      </x:c>
      <x:c r="J164" s="5" t="n">
        <x:v>58.8</x:v>
      </x:c>
      <x:c r="K164" s="5" t="n">
        <x:v>40.5</x:v>
      </x:c>
      <x:c r="L164" s="5" t="n">
        <x:v>2.29</x:v>
      </x:c>
      <x:c r="M164" s="1" t="n">
        <x:v>0</x:v>
      </x:c>
      <x:c r="N164" s="6" t="n">
        <x:v>0.988</x:v>
      </x:c>
      <x:c r="O164" s="1" t="str">
        <x:v>합격</x:v>
      </x:c>
      <x:c r="P164" s="1"/>
      <x:c r="Q164" s="1" t="n">
        <x:v>37</x:v>
      </x:c>
      <x:c r="R164" s="1" t="str">
        <x:v>N</x:v>
      </x:c>
      <x:c r="S164" s="1" t="n">
        <x:v>0</x:v>
      </x:c>
      <x:c r="T164" s="1" t="str">
        <x:v>합격</x:v>
      </x:c>
    </x:row>
    <x:row r="165" ht="22" customHeight="1">
      <x:c r="A165" s="1" t="str">
        <x:v>R00164</x:v>
      </x:c>
      <x:c r="B165" s="4" t="n">
        <x:v>46212.64664351852</x:v>
      </x:c>
      <x:c r="C165" s="1" t="str">
        <x:v>주간</x:v>
      </x:c>
      <x:c r="D165" s="1" t="str">
        <x:v>L2</x:v>
      </x:c>
      <x:c r="E165" s="1" t="str">
        <x:v>P2</x:v>
      </x:c>
      <x:c r="F165" s="1" t="str">
        <x:v>M02</x:v>
      </x:c>
      <x:c r="G165" s="1" t="str">
        <x:v>G02</x:v>
      </x:c>
      <x:c r="H165" s="5" t="n">
        <x:v>30.38</x:v>
      </x:c>
      <x:c r="I165" s="5" t="n">
        <x:v>5.83</x:v>
      </x:c>
      <x:c r="J165" s="5" t="n">
        <x:v>48</x:v>
      </x:c>
      <x:c r="K165" s="5" t="n">
        <x:v>41.7</x:v>
      </x:c>
      <x:c r="L165" s="5" t="n">
        <x:v>2.19</x:v>
      </x:c>
      <x:c r="M165" s="1" t="n">
        <x:v>0</x:v>
      </x:c>
      <x:c r="N165" s="6" t="n">
        <x:v>0.984</x:v>
      </x:c>
      <x:c r="O165" s="1" t="str">
        <x:v>합격</x:v>
      </x:c>
      <x:c r="P165" s="1"/>
      <x:c r="Q165" s="1" t="n">
        <x:v>42</x:v>
      </x:c>
      <x:c r="R165" s="1" t="str">
        <x:v>N</x:v>
      </x:c>
      <x:c r="S165" s="1" t="n">
        <x:v>0</x:v>
      </x:c>
      <x:c r="T165" s="1" t="str">
        <x:v>합격</x:v>
      </x:c>
    </x:row>
    <x:row r="166" ht="22" customHeight="1">
      <x:c r="A166" s="1" t="str">
        <x:v>R00165</x:v>
      </x:c>
      <x:c r="B166" s="4" t="n">
        <x:v>46213.341828703706</x:v>
      </x:c>
      <x:c r="C166" s="1" t="str">
        <x:v>주간</x:v>
      </x:c>
      <x:c r="D166" s="1" t="str">
        <x:v>L1</x:v>
      </x:c>
      <x:c r="E166" s="1" t="str">
        <x:v>P1</x:v>
      </x:c>
      <x:c r="F166" s="1" t="str">
        <x:v>M01</x:v>
      </x:c>
      <x:c r="G166" s="1" t="str">
        <x:v>G03</x:v>
      </x:c>
      <x:c r="H166" s="5" t="n">
        <x:v>31.48</x:v>
      </x:c>
      <x:c r="I166" s="5" t="n">
        <x:v>5.89</x:v>
      </x:c>
      <x:c r="J166" s="5" t="n">
        <x:v>55.1</x:v>
      </x:c>
      <x:c r="K166" s="5" t="n">
        <x:v>35.1</x:v>
      </x:c>
      <x:c r="L166" s="5" t="n">
        <x:v>1.91</x:v>
      </x:c>
      <x:c r="M166" s="1" t="n">
        <x:v>0</x:v>
      </x:c>
      <x:c r="N166" s="6" t="n">
        <x:v>0.968</x:v>
      </x:c>
      <x:c r="O166" s="1" t="str">
        <x:v>합격</x:v>
      </x:c>
      <x:c r="P166" s="1"/>
      <x:c r="Q166" s="1" t="n">
        <x:v>36</x:v>
      </x:c>
      <x:c r="R166" s="1" t="str">
        <x:v>N</x:v>
      </x:c>
      <x:c r="S166" s="1" t="n">
        <x:v>0</x:v>
      </x:c>
      <x:c r="T166" s="1" t="str">
        <x:v>합격</x:v>
      </x:c>
    </x:row>
    <x:row r="167" ht="22" customHeight="1">
      <x:c r="A167" s="1" t="str">
        <x:v>R00166</x:v>
      </x:c>
      <x:c r="B167" s="4" t="n">
        <x:v>46214.00162037037</x:v>
      </x:c>
      <x:c r="C167" s="1" t="str">
        <x:v>야간</x:v>
      </x:c>
      <x:c r="D167" s="1" t="str">
        <x:v>L1</x:v>
      </x:c>
      <x:c r="E167" s="1" t="str">
        <x:v>P1</x:v>
      </x:c>
      <x:c r="F167" s="1" t="str">
        <x:v>M04</x:v>
      </x:c>
      <x:c r="G167" s="1" t="str">
        <x:v>G04</x:v>
      </x:c>
      <x:c r="H167" s="5" t="n">
        <x:v>31.42</x:v>
      </x:c>
      <x:c r="I167" s="5" t="n">
        <x:v>5.9</x:v>
      </x:c>
      <x:c r="J167" s="5" t="n">
        <x:v>58.8</x:v>
      </x:c>
      <x:c r="K167" s="5" t="n">
        <x:v>37.3</x:v>
      </x:c>
      <x:c r="L167" s="5" t="n">
        <x:v>1.59</x:v>
      </x:c>
      <x:c r="M167" s="1" t="n">
        <x:v>0</x:v>
      </x:c>
      <x:c r="N167" s="6" t="n">
        <x:v>0.888</x:v>
      </x:c>
      <x:c r="O167" s="1" t="str">
        <x:v>합격</x:v>
      </x:c>
      <x:c r="P167" s="1"/>
      <x:c r="Q167" s="1" t="n">
        <x:v>38</x:v>
      </x:c>
      <x:c r="R167" s="1" t="str">
        <x:v>N</x:v>
      </x:c>
      <x:c r="S167" s="1" t="n">
        <x:v>0</x:v>
      </x:c>
      <x:c r="T167" s="1" t="str">
        <x:v>합격</x:v>
      </x:c>
    </x:row>
    <x:row r="168" ht="22" customHeight="1">
      <x:c r="A168" s="1" t="str">
        <x:v>R00167</x:v>
      </x:c>
      <x:c r="B168" s="4" t="n">
        <x:v>46215.990798611114</x:v>
      </x:c>
      <x:c r="C168" s="1" t="str">
        <x:v>야간</x:v>
      </x:c>
      <x:c r="D168" s="1" t="str">
        <x:v>L1</x:v>
      </x:c>
      <x:c r="E168" s="1" t="str">
        <x:v>P1</x:v>
      </x:c>
      <x:c r="F168" s="1" t="str">
        <x:v>M03</x:v>
      </x:c>
      <x:c r="G168" s="1" t="str">
        <x:v>G05</x:v>
      </x:c>
      <x:c r="H168" s="5" t="n">
        <x:v>33.59</x:v>
      </x:c>
      <x:c r="I168" s="5" t="n">
        <x:v>5.64</x:v>
      </x:c>
      <x:c r="J168" s="5" t="n">
        <x:v>52.7</x:v>
      </x:c>
      <x:c r="K168" s="5" t="n">
        <x:v>36.1</x:v>
      </x:c>
      <x:c r="L168" s="5" t="n">
        <x:v>2.43</x:v>
      </x:c>
      <x:c r="M168" s="1" t="n">
        <x:v>0</x:v>
      </x:c>
      <x:c r="N168" s="6" t="n">
        <x:v>0.979</x:v>
      </x:c>
      <x:c r="O168" s="1" t="str">
        <x:v>합격</x:v>
      </x:c>
      <x:c r="P168" s="1"/>
      <x:c r="Q168" s="1" t="n">
        <x:v>45</x:v>
      </x:c>
      <x:c r="R168" s="1" t="str">
        <x:v>N</x:v>
      </x:c>
      <x:c r="S168" s="1" t="n">
        <x:v>0</x:v>
      </x:c>
      <x:c r="T168" s="1" t="str">
        <x:v>합격</x:v>
      </x:c>
    </x:row>
    <x:row r="169" ht="22" customHeight="1">
      <x:c r="A169" s="1" t="str">
        <x:v>R00168</x:v>
      </x:c>
      <x:c r="B169" s="4" t="n">
        <x:v>46216.51392361111</x:v>
      </x:c>
      <x:c r="C169" s="1" t="str">
        <x:v>주간</x:v>
      </x:c>
      <x:c r="D169" s="1" t="str">
        <x:v>L1</x:v>
      </x:c>
      <x:c r="E169" s="1" t="str">
        <x:v>P1</x:v>
      </x:c>
      <x:c r="F169" s="1" t="str">
        <x:v>M01</x:v>
      </x:c>
      <x:c r="G169" s="1" t="str">
        <x:v>G06</x:v>
      </x:c>
      <x:c r="H169" s="5" t="n">
        <x:v>29.07</x:v>
      </x:c>
      <x:c r="I169" s="5" t="n">
        <x:v>5.98</x:v>
      </x:c>
      <x:c r="J169" s="5" t="n">
        <x:v>50.5</x:v>
      </x:c>
      <x:c r="K169" s="5" t="n">
        <x:v>41.8</x:v>
      </x:c>
      <x:c r="L169" s="5" t="n">
        <x:v>2.34</x:v>
      </x:c>
      <x:c r="M169" s="1" t="n">
        <x:v>1</x:v>
      </x:c>
      <x:c r="N169" s="6" t="n">
        <x:v>0.97</x:v>
      </x:c>
      <x:c r="O169" s="1" t="str">
        <x:v>합격</x:v>
      </x:c>
      <x:c r="P169" s="1"/>
      <x:c r="Q169" s="1" t="n">
        <x:v>45</x:v>
      </x:c>
      <x:c r="R169" s="1" t="str">
        <x:v>N</x:v>
      </x:c>
      <x:c r="S169" s="1" t="n">
        <x:v>0</x:v>
      </x:c>
      <x:c r="T169" s="1" t="str">
        <x:v>합격</x:v>
      </x:c>
    </x:row>
    <x:row r="170" ht="22" customHeight="1">
      <x:c r="A170" s="1" t="str">
        <x:v>R00169</x:v>
      </x:c>
      <x:c r="B170" s="4" t="n">
        <x:v>46217.057291666664</x:v>
      </x:c>
      <x:c r="C170" s="1" t="str">
        <x:v>야간</x:v>
      </x:c>
      <x:c r="D170" s="1" t="str">
        <x:v>L1</x:v>
      </x:c>
      <x:c r="E170" s="1" t="str">
        <x:v>P1</x:v>
      </x:c>
      <x:c r="F170" s="1" t="str">
        <x:v>M03</x:v>
      </x:c>
      <x:c r="G170" s="1" t="str">
        <x:v>G01</x:v>
      </x:c>
      <x:c r="H170" s="5" t="n">
        <x:v>33.25</x:v>
      </x:c>
      <x:c r="I170" s="5" t="n">
        <x:v>5.76</x:v>
      </x:c>
      <x:c r="J170" s="5" t="n">
        <x:v>52.4</x:v>
      </x:c>
      <x:c r="K170" s="5" t="n">
        <x:v>40.9</x:v>
      </x:c>
      <x:c r="L170" s="5" t="n">
        <x:v>1.88</x:v>
      </x:c>
      <x:c r="M170" s="1" t="n">
        <x:v>1</x:v>
      </x:c>
      <x:c r="N170" s="6" t="n">
        <x:v>0.957</x:v>
      </x:c>
      <x:c r="O170" s="1" t="str">
        <x:v>합격</x:v>
      </x:c>
      <x:c r="P170" s="1"/>
      <x:c r="Q170" s="1" t="n">
        <x:v>49</x:v>
      </x:c>
      <x:c r="R170" s="1" t="str">
        <x:v>N</x:v>
      </x:c>
      <x:c r="S170" s="1" t="n">
        <x:v>0</x:v>
      </x:c>
      <x:c r="T170" s="1" t="str">
        <x:v>합격</x:v>
      </x:c>
    </x:row>
    <x:row r="171" ht="22" customHeight="1">
      <x:c r="A171" s="1" t="str">
        <x:v>R00170</x:v>
      </x:c>
      <x:c r="B171" s="4" t="n">
        <x:v>46218.990011574075</x:v>
      </x:c>
      <x:c r="C171" s="1" t="str">
        <x:v>야간</x:v>
      </x:c>
      <x:c r="D171" s="1" t="str">
        <x:v>L2</x:v>
      </x:c>
      <x:c r="E171" s="1" t="str">
        <x:v>P2</x:v>
      </x:c>
      <x:c r="F171" s="1" t="str">
        <x:v>M01</x:v>
      </x:c>
      <x:c r="G171" s="1" t="str">
        <x:v>G02</x:v>
      </x:c>
      <x:c r="H171" s="5" t="n">
        <x:v>30.18</x:v>
      </x:c>
      <x:c r="I171" s="5" t="n">
        <x:v>5.97</x:v>
      </x:c>
      <x:c r="J171" s="5" t="n">
        <x:v>48.9</x:v>
      </x:c>
      <x:c r="K171" s="5" t="n">
        <x:v>38.8</x:v>
      </x:c>
      <x:c r="L171" s="5" t="n">
        <x:v>1.65</x:v>
      </x:c>
      <x:c r="M171" s="1" t="n">
        <x:v>0</x:v>
      </x:c>
      <x:c r="N171" s="6" t="n">
        <x:v>0.934</x:v>
      </x:c>
      <x:c r="O171" s="1" t="str">
        <x:v>합격</x:v>
      </x:c>
      <x:c r="P171" s="1"/>
      <x:c r="Q171" s="1" t="n">
        <x:v>46</x:v>
      </x:c>
      <x:c r="R171" s="1" t="str">
        <x:v>N</x:v>
      </x:c>
      <x:c r="S171" s="1" t="n">
        <x:v>0</x:v>
      </x:c>
      <x:c r="T171" s="1" t="str">
        <x:v>합격</x:v>
      </x:c>
    </x:row>
    <x:row r="172" ht="22" customHeight="1">
      <x:c r="A172" s="1" t="str">
        <x:v>R00171</x:v>
      </x:c>
      <x:c r="B172" s="4" t="n">
        <x:v>46219.65353009259</x:v>
      </x:c>
      <x:c r="C172" s="1" t="str">
        <x:v>주간</x:v>
      </x:c>
      <x:c r="D172" s="1" t="str">
        <x:v>L2</x:v>
      </x:c>
      <x:c r="E172" s="1" t="str">
        <x:v>P2</x:v>
      </x:c>
      <x:c r="F172" s="1" t="str">
        <x:v>M02</x:v>
      </x:c>
      <x:c r="G172" s="1" t="str">
        <x:v>G03</x:v>
      </x:c>
      <x:c r="H172" s="5" t="n">
        <x:v>29.88</x:v>
      </x:c>
      <x:c r="I172" s="5" t="n">
        <x:v>5.98</x:v>
      </x:c>
      <x:c r="J172" s="5" t="n">
        <x:v>48.9</x:v>
      </x:c>
      <x:c r="K172" s="5" t="n">
        <x:v>35.9</x:v>
      </x:c>
      <x:c r="L172" s="5" t="n">
        <x:v>1.38</x:v>
      </x:c>
      <x:c r="M172" s="1" t="n">
        <x:v>0</x:v>
      </x:c>
      <x:c r="N172" s="6" t="n">
        <x:v>1.012</x:v>
      </x:c>
      <x:c r="O172" s="1" t="str">
        <x:v>합격</x:v>
      </x:c>
      <x:c r="P172" s="1"/>
      <x:c r="Q172" s="1" t="n">
        <x:v>42</x:v>
      </x:c>
      <x:c r="R172" s="1" t="str">
        <x:v>N</x:v>
      </x:c>
      <x:c r="S172" s="1" t="n">
        <x:v>0</x:v>
      </x:c>
      <x:c r="T172" s="1" t="str">
        <x:v>합격</x:v>
      </x:c>
    </x:row>
    <x:row r="173" ht="22" customHeight="1">
      <x:c r="A173" s="1" t="str">
        <x:v>R00172</x:v>
      </x:c>
      <x:c r="B173" s="4" t="n">
        <x:v>46220.59556712963</x:v>
      </x:c>
      <x:c r="C173" s="1" t="str">
        <x:v>주간</x:v>
      </x:c>
      <x:c r="D173" s="1" t="str">
        <x:v>L2</x:v>
      </x:c>
      <x:c r="E173" s="1" t="str">
        <x:v>P2</x:v>
      </x:c>
      <x:c r="F173" s="1" t="str">
        <x:v>M04</x:v>
      </x:c>
      <x:c r="G173" s="1" t="str">
        <x:v>G04</x:v>
      </x:c>
      <x:c r="H173" s="5" t="n">
        <x:v>29.26</x:v>
      </x:c>
      <x:c r="I173" s="5" t="n">
        <x:v>5.88</x:v>
      </x:c>
      <x:c r="J173" s="5" t="n">
        <x:v>56.1</x:v>
      </x:c>
      <x:c r="K173" s="5" t="n">
        <x:v>41</x:v>
      </x:c>
      <x:c r="L173" s="5" t="n">
        <x:v>1.45</x:v>
      </x:c>
      <x:c r="M173" s="1" t="n">
        <x:v>1</x:v>
      </x:c>
      <x:c r="N173" s="6" t="n">
        <x:v>0.882</x:v>
      </x:c>
      <x:c r="O173" s="1" t="str">
        <x:v>합격</x:v>
      </x:c>
      <x:c r="P173" s="1"/>
      <x:c r="Q173" s="1" t="n">
        <x:v>49</x:v>
      </x:c>
      <x:c r="R173" s="1" t="str">
        <x:v>N</x:v>
      </x:c>
      <x:c r="S173" s="1" t="n">
        <x:v>0</x:v>
      </x:c>
      <x:c r="T173" s="1" t="str">
        <x:v>합격</x:v>
      </x:c>
    </x:row>
    <x:row r="174" ht="22" customHeight="1">
      <x:c r="A174" s="1" t="str">
        <x:v>R00173</x:v>
      </x:c>
      <x:c r="B174" s="4" t="n">
        <x:v>46221.01128472222</x:v>
      </x:c>
      <x:c r="C174" s="1" t="str">
        <x:v>야간</x:v>
      </x:c>
      <x:c r="D174" s="1" t="str">
        <x:v>L2</x:v>
      </x:c>
      <x:c r="E174" s="1" t="str">
        <x:v>P2</x:v>
      </x:c>
      <x:c r="F174" s="1" t="str">
        <x:v>M02</x:v>
      </x:c>
      <x:c r="G174" s="1" t="str">
        <x:v>G05</x:v>
      </x:c>
      <x:c r="H174" s="5" t="n">
        <x:v>27.34</x:v>
      </x:c>
      <x:c r="I174" s="5" t="n">
        <x:v>5.94</x:v>
      </x:c>
      <x:c r="J174" s="5" t="n">
        <x:v>53.7</x:v>
      </x:c>
      <x:c r="K174" s="5" t="n">
        <x:v>35.4</x:v>
      </x:c>
      <x:c r="L174" s="5" t="n">
        <x:v>2.29</x:v>
      </x:c>
      <x:c r="M174" s="1" t="n">
        <x:v>0</x:v>
      </x:c>
      <x:c r="N174" s="6" t="n">
        <x:v>0.899</x:v>
      </x:c>
      <x:c r="O174" s="1" t="str">
        <x:v>합격</x:v>
      </x:c>
      <x:c r="P174" s="1"/>
      <x:c r="Q174" s="1" t="n">
        <x:v>44</x:v>
      </x:c>
      <x:c r="R174" s="1" t="str">
        <x:v>N</x:v>
      </x:c>
      <x:c r="S174" s="1" t="n">
        <x:v>0</x:v>
      </x:c>
      <x:c r="T174" s="1" t="str">
        <x:v>합격</x:v>
      </x:c>
    </x:row>
    <x:row r="175" ht="22" customHeight="1">
      <x:c r="A175" s="1" t="str">
        <x:v>R00174</x:v>
      </x:c>
      <x:c r="B175" s="4" t="n">
        <x:v>46222.0555787037</x:v>
      </x:c>
      <x:c r="C175" s="1" t="str">
        <x:v>야간</x:v>
      </x:c>
      <x:c r="D175" s="1" t="str">
        <x:v>L1</x:v>
      </x:c>
      <x:c r="E175" s="1" t="str">
        <x:v>P1</x:v>
      </x:c>
      <x:c r="F175" s="1" t="str">
        <x:v>M04</x:v>
      </x:c>
      <x:c r="G175" s="1" t="str">
        <x:v>G06</x:v>
      </x:c>
      <x:c r="H175" s="5" t="n">
        <x:v>27.89</x:v>
      </x:c>
      <x:c r="I175" s="5" t="n">
        <x:v>5.9</x:v>
      </x:c>
      <x:c r="J175" s="5" t="n">
        <x:v>51.3</x:v>
      </x:c>
      <x:c r="K175" s="5" t="n">
        <x:v>35.9</x:v>
      </x:c>
      <x:c r="L175" s="5" t="n">
        <x:v>2.28</x:v>
      </x:c>
      <x:c r="M175" s="1" t="n">
        <x:v>0</x:v>
      </x:c>
      <x:c r="N175" s="6" t="n">
        <x:v>0.919</x:v>
      </x:c>
      <x:c r="O175" s="1" t="str">
        <x:v>합격</x:v>
      </x:c>
      <x:c r="P175" s="1"/>
      <x:c r="Q175" s="1" t="n">
        <x:v>46</x:v>
      </x:c>
      <x:c r="R175" s="1" t="str">
        <x:v>N</x:v>
      </x:c>
      <x:c r="S175" s="1" t="n">
        <x:v>0</x:v>
      </x:c>
      <x:c r="T175" s="1" t="str">
        <x:v>합격</x:v>
      </x:c>
    </x:row>
    <x:row r="176" ht="22" customHeight="1">
      <x:c r="A176" s="1" t="str">
        <x:v>R00175</x:v>
      </x:c>
      <x:c r="B176" s="4" t="n">
        <x:v>46223.491793981484</x:v>
      </x:c>
      <x:c r="C176" s="1" t="str">
        <x:v>주간</x:v>
      </x:c>
      <x:c r="D176" s="1" t="str">
        <x:v>L2</x:v>
      </x:c>
      <x:c r="E176" s="1" t="str">
        <x:v>P2</x:v>
      </x:c>
      <x:c r="F176" s="1" t="str">
        <x:v>M04</x:v>
      </x:c>
      <x:c r="G176" s="1" t="str">
        <x:v>G01</x:v>
      </x:c>
      <x:c r="H176" s="5" t="n">
        <x:v>27.71</x:v>
      </x:c>
      <x:c r="I176" s="5" t="n">
        <x:v>5.86</x:v>
      </x:c>
      <x:c r="J176" s="5" t="n">
        <x:v>54.9</x:v>
      </x:c>
      <x:c r="K176" s="5" t="n">
        <x:v>41.2</x:v>
      </x:c>
      <x:c r="L176" s="5" t="n">
        <x:v>1.42</x:v>
      </x:c>
      <x:c r="M176" s="1" t="n">
        <x:v>0</x:v>
      </x:c>
      <x:c r="N176" s="6" t="n">
        <x:v>0.863</x:v>
      </x:c>
      <x:c r="O176" s="1" t="str">
        <x:v>합격</x:v>
      </x:c>
      <x:c r="P176" s="1"/>
      <x:c r="Q176" s="1" t="n">
        <x:v>47</x:v>
      </x:c>
      <x:c r="R176" s="1" t="str">
        <x:v>N</x:v>
      </x:c>
      <x:c r="S176" s="1" t="n">
        <x:v>0</x:v>
      </x:c>
      <x:c r="T176" s="1" t="str">
        <x:v>합격</x:v>
      </x:c>
    </x:row>
    <x:row r="177" ht="22" customHeight="1">
      <x:c r="A177" s="1" t="str">
        <x:v>R00176</x:v>
      </x:c>
      <x:c r="B177" s="4" t="n">
        <x:v>46224.0565162037</x:v>
      </x:c>
      <x:c r="C177" s="1" t="str">
        <x:v>야간</x:v>
      </x:c>
      <x:c r="D177" s="1" t="str">
        <x:v>L2</x:v>
      </x:c>
      <x:c r="E177" s="1" t="str">
        <x:v>P2</x:v>
      </x:c>
      <x:c r="F177" s="1" t="str">
        <x:v>M01</x:v>
      </x:c>
      <x:c r="G177" s="1" t="str">
        <x:v>G02</x:v>
      </x:c>
      <x:c r="H177" s="5" t="n">
        <x:v>29.53</x:v>
      </x:c>
      <x:c r="I177" s="5" t="n">
        <x:v>5.64</x:v>
      </x:c>
      <x:c r="J177" s="5" t="n">
        <x:v>57.8</x:v>
      </x:c>
      <x:c r="K177" s="5" t="n">
        <x:v>40.7</x:v>
      </x:c>
      <x:c r="L177" s="5" t="n">
        <x:v>2.63</x:v>
      </x:c>
      <x:c r="M177" s="1" t="n">
        <x:v>0</x:v>
      </x:c>
      <x:c r="N177" s="6" t="n">
        <x:v>1.013</x:v>
      </x:c>
      <x:c r="O177" s="1" t="str">
        <x:v>불합격</x:v>
      </x:c>
      <x:c r="P177" s="1" t="str">
        <x:v>치수불량</x:v>
      </x:c>
      <x:c r="Q177" s="1" t="n">
        <x:v>39</x:v>
      </x:c>
      <x:c r="R177" s="1" t="str">
        <x:v>Y</x:v>
      </x:c>
      <x:c r="S177" s="1" t="n">
        <x:v>9</x:v>
      </x:c>
      <x:c r="T177" s="1" t="str">
        <x:v>재작업후합격</x:v>
      </x:c>
    </x:row>
    <x:row r="178" ht="22" customHeight="1">
      <x:c r="A178" s="1" t="str">
        <x:v>R00177</x:v>
      </x:c>
      <x:c r="B178" s="4" t="n">
        <x:v>46225.38054398148</x:v>
      </x:c>
      <x:c r="C178" s="1" t="str">
        <x:v>주간</x:v>
      </x:c>
      <x:c r="D178" s="1" t="str">
        <x:v>L2</x:v>
      </x:c>
      <x:c r="E178" s="1" t="str">
        <x:v>P2</x:v>
      </x:c>
      <x:c r="F178" s="1" t="str">
        <x:v>M02</x:v>
      </x:c>
      <x:c r="G178" s="1" t="str">
        <x:v>G03</x:v>
      </x:c>
      <x:c r="H178" s="5" t="n">
        <x:v>31.1</x:v>
      </x:c>
      <x:c r="I178" s="5" t="n">
        <x:v>5.7</x:v>
      </x:c>
      <x:c r="J178" s="5" t="n">
        <x:v>49.8</x:v>
      </x:c>
      <x:c r="K178" s="5" t="n">
        <x:v>40.2</x:v>
      </x:c>
      <x:c r="L178" s="5" t="n">
        <x:v>1.37</x:v>
      </x:c>
      <x:c r="M178" s="1" t="n">
        <x:v>1</x:v>
      </x:c>
      <x:c r="N178" s="6" t="n">
        <x:v>0.876</x:v>
      </x:c>
      <x:c r="O178" s="1" t="str">
        <x:v>합격</x:v>
      </x:c>
      <x:c r="P178" s="1"/>
      <x:c r="Q178" s="1" t="n">
        <x:v>38</x:v>
      </x:c>
      <x:c r="R178" s="1" t="str">
        <x:v>N</x:v>
      </x:c>
      <x:c r="S178" s="1" t="n">
        <x:v>0</x:v>
      </x:c>
      <x:c r="T178" s="1" t="str">
        <x:v>합격</x:v>
      </x:c>
    </x:row>
    <x:row r="179" ht="22" customHeight="1">
      <x:c r="A179" s="1" t="str">
        <x:v>R00178</x:v>
      </x:c>
      <x:c r="B179" s="4" t="n">
        <x:v>46226.53592592593</x:v>
      </x:c>
      <x:c r="C179" s="1" t="str">
        <x:v>주간</x:v>
      </x:c>
      <x:c r="D179" s="1" t="str">
        <x:v>L1</x:v>
      </x:c>
      <x:c r="E179" s="1" t="str">
        <x:v>P1</x:v>
      </x:c>
      <x:c r="F179" s="1" t="str">
        <x:v>M01</x:v>
      </x:c>
      <x:c r="G179" s="1" t="str">
        <x:v>G04</x:v>
      </x:c>
      <x:c r="H179" s="5" t="n">
        <x:v>32.07</x:v>
      </x:c>
      <x:c r="I179" s="5" t="n">
        <x:v>5.9</x:v>
      </x:c>
      <x:c r="J179" s="5" t="n">
        <x:v>53.6</x:v>
      </x:c>
      <x:c r="K179" s="5" t="n">
        <x:v>39.4</x:v>
      </x:c>
      <x:c r="L179" s="5" t="n">
        <x:v>1.81</x:v>
      </x:c>
      <x:c r="M179" s="1" t="n">
        <x:v>0</x:v>
      </x:c>
      <x:c r="N179" s="6" t="n">
        <x:v>1.049</x:v>
      </x:c>
      <x:c r="O179" s="1" t="str">
        <x:v>합격</x:v>
      </x:c>
      <x:c r="P179" s="1"/>
      <x:c r="Q179" s="1" t="n">
        <x:v>38</x:v>
      </x:c>
      <x:c r="R179" s="1" t="str">
        <x:v>N</x:v>
      </x:c>
      <x:c r="S179" s="1" t="n">
        <x:v>0</x:v>
      </x:c>
      <x:c r="T179" s="1" t="str">
        <x:v>합격</x:v>
      </x:c>
    </x:row>
    <x:row r="180" ht="22" customHeight="1">
      <x:c r="A180" s="1" t="str">
        <x:v>R00179</x:v>
      </x:c>
      <x:c r="B180" s="4" t="n">
        <x:v>46227.039675925924</x:v>
      </x:c>
      <x:c r="C180" s="1" t="str">
        <x:v>야간</x:v>
      </x:c>
      <x:c r="D180" s="1" t="str">
        <x:v>L1</x:v>
      </x:c>
      <x:c r="E180" s="1" t="str">
        <x:v>P1</x:v>
      </x:c>
      <x:c r="F180" s="1" t="str">
        <x:v>M04</x:v>
      </x:c>
      <x:c r="G180" s="1" t="str">
        <x:v>G05</x:v>
      </x:c>
      <x:c r="H180" s="5" t="n">
        <x:v>31.94</x:v>
      </x:c>
      <x:c r="I180" s="5" t="n">
        <x:v>5.65</x:v>
      </x:c>
      <x:c r="J180" s="5" t="n">
        <x:v>58.5</x:v>
      </x:c>
      <x:c r="K180" s="5" t="n">
        <x:v>38.2</x:v>
      </x:c>
      <x:c r="L180" s="5" t="n">
        <x:v>2.64</x:v>
      </x:c>
      <x:c r="M180" s="1" t="n">
        <x:v>0</x:v>
      </x:c>
      <x:c r="N180" s="6" t="n">
        <x:v>0.952</x:v>
      </x:c>
      <x:c r="O180" s="1" t="str">
        <x:v>합격</x:v>
      </x:c>
      <x:c r="P180" s="1"/>
      <x:c r="Q180" s="1" t="n">
        <x:v>35</x:v>
      </x:c>
      <x:c r="R180" s="1" t="str">
        <x:v>N</x:v>
      </x:c>
      <x:c r="S180" s="1" t="n">
        <x:v>0</x:v>
      </x:c>
      <x:c r="T180" s="1" t="str">
        <x:v>합격</x:v>
      </x:c>
    </x:row>
    <x:row r="181" ht="22" customHeight="1">
      <x:c r="A181" s="1" t="str">
        <x:v>R00180</x:v>
      </x:c>
      <x:c r="B181" s="4" t="n">
        <x:v>46228.374444444446</x:v>
      </x:c>
      <x:c r="C181" s="1" t="str">
        <x:v>주간</x:v>
      </x:c>
      <x:c r="D181" s="1" t="str">
        <x:v>L1</x:v>
      </x:c>
      <x:c r="E181" s="1" t="str">
        <x:v>P1</x:v>
      </x:c>
      <x:c r="F181" s="1" t="str">
        <x:v>M03</x:v>
      </x:c>
      <x:c r="G181" s="1" t="str">
        <x:v>G06</x:v>
      </x:c>
      <x:c r="H181" s="5" t="n">
        <x:v>31.16</x:v>
      </x:c>
      <x:c r="I181" s="5" t="n">
        <x:v>5.99</x:v>
      </x:c>
      <x:c r="J181" s="5" t="n">
        <x:v>51.5</x:v>
      </x:c>
      <x:c r="K181" s="5" t="n">
        <x:v>36.2</x:v>
      </x:c>
      <x:c r="L181" s="5" t="n">
        <x:v>2.27</x:v>
      </x:c>
      <x:c r="M181" s="1" t="n">
        <x:v>1</x:v>
      </x:c>
      <x:c r="N181" s="6" t="n">
        <x:v>0.876</x:v>
      </x:c>
      <x:c r="O181" s="1" t="str">
        <x:v>불합격</x:v>
      </x:c>
      <x:c r="P181" s="1" t="str">
        <x:v>체결불량</x:v>
      </x:c>
      <x:c r="Q181" s="1" t="n">
        <x:v>37</x:v>
      </x:c>
      <x:c r="R181" s="1" t="str">
        <x:v>Y</x:v>
      </x:c>
      <x:c r="S181" s="1" t="n">
        <x:v>7</x:v>
      </x:c>
      <x:c r="T181" s="1" t="str">
        <x:v>재작업후합격</x:v>
      </x:c>
    </x:row>
    <x:row r="182" ht="22" customHeight="1">
      <x:c r="A182" s="1" t="str">
        <x:v>R00181</x:v>
      </x:c>
      <x:c r="B182" s="4" t="n">
        <x:v>46229.40696759259</x:v>
      </x:c>
      <x:c r="C182" s="1" t="str">
        <x:v>주간</x:v>
      </x:c>
      <x:c r="D182" s="1" t="str">
        <x:v>L2</x:v>
      </x:c>
      <x:c r="E182" s="1" t="str">
        <x:v>P2</x:v>
      </x:c>
      <x:c r="F182" s="1" t="str">
        <x:v>M04</x:v>
      </x:c>
      <x:c r="G182" s="1" t="str">
        <x:v>G01</x:v>
      </x:c>
      <x:c r="H182" s="5" t="n">
        <x:v>28.24</x:v>
      </x:c>
      <x:c r="I182" s="5" t="n">
        <x:v>5.89</x:v>
      </x:c>
      <x:c r="J182" s="5" t="n">
        <x:v>50.8</x:v>
      </x:c>
      <x:c r="K182" s="5" t="n">
        <x:v>37.5</x:v>
      </x:c>
      <x:c r="L182" s="5" t="n">
        <x:v>1.43</x:v>
      </x:c>
      <x:c r="M182" s="1" t="n">
        <x:v>0</x:v>
      </x:c>
      <x:c r="N182" s="6" t="n">
        <x:v>1.014</x:v>
      </x:c>
      <x:c r="O182" s="1" t="str">
        <x:v>합격</x:v>
      </x:c>
      <x:c r="P182" s="1"/>
      <x:c r="Q182" s="1" t="n">
        <x:v>37</x:v>
      </x:c>
      <x:c r="R182" s="1" t="str">
        <x:v>N</x:v>
      </x:c>
      <x:c r="S182" s="1" t="n">
        <x:v>0</x:v>
      </x:c>
      <x:c r="T182" s="1" t="str">
        <x:v>합격</x:v>
      </x:c>
    </x:row>
    <x:row r="183" ht="22" customHeight="1">
      <x:c r="A183" s="1" t="str">
        <x:v>R00182</x:v>
      </x:c>
      <x:c r="B183" s="4" t="n">
        <x:v>46230.87599537037</x:v>
      </x:c>
      <x:c r="C183" s="1" t="str">
        <x:v>야간</x:v>
      </x:c>
      <x:c r="D183" s="1" t="str">
        <x:v>L1</x:v>
      </x:c>
      <x:c r="E183" s="1" t="str">
        <x:v>P1</x:v>
      </x:c>
      <x:c r="F183" s="1" t="str">
        <x:v>M03</x:v>
      </x:c>
      <x:c r="G183" s="1" t="str">
        <x:v>G02</x:v>
      </x:c>
      <x:c r="H183" s="5" t="n">
        <x:v>26.54</x:v>
      </x:c>
      <x:c r="I183" s="5" t="n">
        <x:v>5.81</x:v>
      </x:c>
      <x:c r="J183" s="5" t="n">
        <x:v>47.8</x:v>
      </x:c>
      <x:c r="K183" s="5" t="n">
        <x:v>40.8</x:v>
      </x:c>
      <x:c r="L183" s="5" t="n">
        <x:v>1.81</x:v>
      </x:c>
      <x:c r="M183" s="1" t="n">
        <x:v>1</x:v>
      </x:c>
      <x:c r="N183" s="6" t="n">
        <x:v>0.91</x:v>
      </x:c>
      <x:c r="O183" s="1" t="str">
        <x:v>합격</x:v>
      </x:c>
      <x:c r="P183" s="1"/>
      <x:c r="Q183" s="1" t="n">
        <x:v>46</x:v>
      </x:c>
      <x:c r="R183" s="1" t="str">
        <x:v>N</x:v>
      </x:c>
      <x:c r="S183" s="1" t="n">
        <x:v>0</x:v>
      </x:c>
      <x:c r="T183" s="1" t="str">
        <x:v>합격</x:v>
      </x:c>
    </x:row>
    <x:row r="184" ht="22" customHeight="1">
      <x:c r="A184" s="1" t="str">
        <x:v>R00183</x:v>
      </x:c>
      <x:c r="B184" s="4" t="n">
        <x:v>46231.84644675926</x:v>
      </x:c>
      <x:c r="C184" s="1" t="str">
        <x:v>야간</x:v>
      </x:c>
      <x:c r="D184" s="1" t="str">
        <x:v>L1</x:v>
      </x:c>
      <x:c r="E184" s="1" t="str">
        <x:v>P1</x:v>
      </x:c>
      <x:c r="F184" s="1" t="str">
        <x:v>M04</x:v>
      </x:c>
      <x:c r="G184" s="1" t="str">
        <x:v>G03</x:v>
      </x:c>
      <x:c r="H184" s="5" t="n">
        <x:v>29</x:v>
      </x:c>
      <x:c r="I184" s="5" t="n">
        <x:v>5.8</x:v>
      </x:c>
      <x:c r="J184" s="5" t="n">
        <x:v>47.4</x:v>
      </x:c>
      <x:c r="K184" s="5" t="n">
        <x:v>37.5</x:v>
      </x:c>
      <x:c r="L184" s="5" t="n">
        <x:v>2.6</x:v>
      </x:c>
      <x:c r="M184" s="1" t="n">
        <x:v>1</x:v>
      </x:c>
      <x:c r="N184" s="6" t="n">
        <x:v>1.036</x:v>
      </x:c>
      <x:c r="O184" s="1" t="str">
        <x:v>합격</x:v>
      </x:c>
      <x:c r="P184" s="1"/>
      <x:c r="Q184" s="1" t="n">
        <x:v>41</x:v>
      </x:c>
      <x:c r="R184" s="1" t="str">
        <x:v>N</x:v>
      </x:c>
      <x:c r="S184" s="1" t="n">
        <x:v>0</x:v>
      </x:c>
      <x:c r="T184" s="1" t="str">
        <x:v>합격</x:v>
      </x:c>
    </x:row>
    <x:row r="185" ht="22" customHeight="1">
      <x:c r="A185" s="1" t="str">
        <x:v>R00184</x:v>
      </x:c>
      <x:c r="B185" s="4" t="n">
        <x:v>46232.64460648148</x:v>
      </x:c>
      <x:c r="C185" s="1" t="str">
        <x:v>주간</x:v>
      </x:c>
      <x:c r="D185" s="1" t="str">
        <x:v>L2</x:v>
      </x:c>
      <x:c r="E185" s="1" t="str">
        <x:v>P2</x:v>
      </x:c>
      <x:c r="F185" s="1" t="str">
        <x:v>M03</x:v>
      </x:c>
      <x:c r="G185" s="1" t="str">
        <x:v>G04</x:v>
      </x:c>
      <x:c r="H185" s="5" t="n">
        <x:v>26.13</x:v>
      </x:c>
      <x:c r="I185" s="5" t="n">
        <x:v>5.97</x:v>
      </x:c>
      <x:c r="J185" s="5" t="n">
        <x:v>47.8</x:v>
      </x:c>
      <x:c r="K185" s="5" t="n">
        <x:v>41.4</x:v>
      </x:c>
      <x:c r="L185" s="5" t="n">
        <x:v>2.33</x:v>
      </x:c>
      <x:c r="M185" s="1" t="n">
        <x:v>1</x:v>
      </x:c>
      <x:c r="N185" s="6" t="n">
        <x:v>0.906</x:v>
      </x:c>
      <x:c r="O185" s="1" t="str">
        <x:v>불합격</x:v>
      </x:c>
      <x:c r="P185" s="1" t="str">
        <x:v>치수불량</x:v>
      </x:c>
      <x:c r="Q185" s="1" t="n">
        <x:v>36</x:v>
      </x:c>
      <x:c r="R185" s="1" t="str">
        <x:v>Y</x:v>
      </x:c>
      <x:c r="S185" s="1" t="n">
        <x:v>9</x:v>
      </x:c>
      <x:c r="T185" s="1" t="str">
        <x:v>재작업후합격</x:v>
      </x:c>
    </x:row>
    <x:row r="186" ht="22" customHeight="1">
      <x:c r="A186" s="1" t="str">
        <x:v>R00185</x:v>
      </x:c>
      <x:c r="B186" s="4" t="n">
        <x:v>46233.47332175926</x:v>
      </x:c>
      <x:c r="C186" s="1" t="str">
        <x:v>주간</x:v>
      </x:c>
      <x:c r="D186" s="1" t="str">
        <x:v>L1</x:v>
      </x:c>
      <x:c r="E186" s="1" t="str">
        <x:v>P1</x:v>
      </x:c>
      <x:c r="F186" s="1" t="str">
        <x:v>M03</x:v>
      </x:c>
      <x:c r="G186" s="1" t="str">
        <x:v>G05</x:v>
      </x:c>
      <x:c r="H186" s="5" t="n">
        <x:v>30.08</x:v>
      </x:c>
      <x:c r="I186" s="5" t="n">
        <x:v>5.74</x:v>
      </x:c>
      <x:c r="J186" s="5" t="n">
        <x:v>52</x:v>
      </x:c>
      <x:c r="K186" s="5" t="n">
        <x:v>38.1</x:v>
      </x:c>
      <x:c r="L186" s="5" t="n">
        <x:v>1.76</x:v>
      </x:c>
      <x:c r="M186" s="1" t="n">
        <x:v>0</x:v>
      </x:c>
      <x:c r="N186" s="6" t="n">
        <x:v>0.884</x:v>
      </x:c>
      <x:c r="O186" s="1" t="str">
        <x:v>합격</x:v>
      </x:c>
      <x:c r="P186" s="1"/>
      <x:c r="Q186" s="1" t="n">
        <x:v>39</x:v>
      </x:c>
      <x:c r="R186" s="1" t="str">
        <x:v>N</x:v>
      </x:c>
      <x:c r="S186" s="1" t="n">
        <x:v>0</x:v>
      </x:c>
      <x:c r="T186" s="1" t="str">
        <x:v>합격</x:v>
      </x:c>
    </x:row>
    <x:row r="187" ht="22" customHeight="1">
      <x:c r="A187" s="1" t="str">
        <x:v>R00186</x:v>
      </x:c>
      <x:c r="B187" s="4" t="n">
        <x:v>46234.551782407405</x:v>
      </x:c>
      <x:c r="C187" s="1" t="str">
        <x:v>주간</x:v>
      </x:c>
      <x:c r="D187" s="1" t="str">
        <x:v>L1</x:v>
      </x:c>
      <x:c r="E187" s="1" t="str">
        <x:v>P1</x:v>
      </x:c>
      <x:c r="F187" s="1" t="str">
        <x:v>M03</x:v>
      </x:c>
      <x:c r="G187" s="1" t="str">
        <x:v>G06</x:v>
      </x:c>
      <x:c r="H187" s="5" t="n">
        <x:v>27.79</x:v>
      </x:c>
      <x:c r="I187" s="5" t="n">
        <x:v>5.66</x:v>
      </x:c>
      <x:c r="J187" s="5" t="n">
        <x:v>50.5</x:v>
      </x:c>
      <x:c r="K187" s="5" t="n">
        <x:v>41.6</x:v>
      </x:c>
      <x:c r="L187" s="5" t="n">
        <x:v>1.75</x:v>
      </x:c>
      <x:c r="M187" s="1" t="n">
        <x:v>1</x:v>
      </x:c>
      <x:c r="N187" s="6" t="n">
        <x:v>0.981</x:v>
      </x:c>
      <x:c r="O187" s="1" t="str">
        <x:v>합격</x:v>
      </x:c>
      <x:c r="P187" s="1"/>
      <x:c r="Q187" s="1" t="n">
        <x:v>40</x:v>
      </x:c>
      <x:c r="R187" s="1" t="str">
        <x:v>N</x:v>
      </x:c>
      <x:c r="S187" s="1" t="n">
        <x:v>0</x:v>
      </x:c>
      <x:c r="T187" s="1" t="str">
        <x:v>합격</x:v>
      </x:c>
    </x:row>
    <x:row r="188" ht="22" customHeight="1">
      <x:c r="A188" s="1" t="str">
        <x:v>R00187</x:v>
      </x:c>
      <x:c r="B188" s="4" t="n">
        <x:v>46204.8618287037</x:v>
      </x:c>
      <x:c r="C188" s="1" t="str">
        <x:v>야간</x:v>
      </x:c>
      <x:c r="D188" s="1" t="str">
        <x:v>L2</x:v>
      </x:c>
      <x:c r="E188" s="1" t="str">
        <x:v>P2</x:v>
      </x:c>
      <x:c r="F188" s="1" t="str">
        <x:v>M01</x:v>
      </x:c>
      <x:c r="G188" s="1" t="str">
        <x:v>G01</x:v>
      </x:c>
      <x:c r="H188" s="5" t="n">
        <x:v>31.01</x:v>
      </x:c>
      <x:c r="I188" s="5" t="n">
        <x:v>5.61</x:v>
      </x:c>
      <x:c r="J188" s="5" t="n">
        <x:v>56.3</x:v>
      </x:c>
      <x:c r="K188" s="5" t="n">
        <x:v>37.8</x:v>
      </x:c>
      <x:c r="L188" s="5" t="n">
        <x:v>2.53</x:v>
      </x:c>
      <x:c r="M188" s="1" t="n">
        <x:v>0</x:v>
      </x:c>
      <x:c r="N188" s="6" t="n">
        <x:v>0.971</x:v>
      </x:c>
      <x:c r="O188" s="1" t="str">
        <x:v>합격</x:v>
      </x:c>
      <x:c r="P188" s="1"/>
      <x:c r="Q188" s="1" t="n">
        <x:v>45</x:v>
      </x:c>
      <x:c r="R188" s="1" t="str">
        <x:v>N</x:v>
      </x:c>
      <x:c r="S188" s="1" t="n">
        <x:v>0</x:v>
      </x:c>
      <x:c r="T188" s="1" t="str">
        <x:v>합격</x:v>
      </x:c>
    </x:row>
    <x:row r="189" ht="22" customHeight="1">
      <x:c r="A189" s="1" t="str">
        <x:v>R00188</x:v>
      </x:c>
      <x:c r="B189" s="4" t="n">
        <x:v>46205.953738425924</x:v>
      </x:c>
      <x:c r="C189" s="1" t="str">
        <x:v>야간</x:v>
      </x:c>
      <x:c r="D189" s="1" t="str">
        <x:v>L1</x:v>
      </x:c>
      <x:c r="E189" s="1" t="str">
        <x:v>P1</x:v>
      </x:c>
      <x:c r="F189" s="1" t="str">
        <x:v>M04</x:v>
      </x:c>
      <x:c r="G189" s="1" t="str">
        <x:v>G02</x:v>
      </x:c>
      <x:c r="H189" s="5" t="n">
        <x:v>30.33</x:v>
      </x:c>
      <x:c r="I189" s="5" t="n">
        <x:v>5.77</x:v>
      </x:c>
      <x:c r="J189" s="5" t="n">
        <x:v>47.3</x:v>
      </x:c>
      <x:c r="K189" s="5" t="n">
        <x:v>40.5</x:v>
      </x:c>
      <x:c r="L189" s="5" t="n">
        <x:v>1.5</x:v>
      </x:c>
      <x:c r="M189" s="1" t="n">
        <x:v>0</x:v>
      </x:c>
      <x:c r="N189" s="6" t="n">
        <x:v>0.968</x:v>
      </x:c>
      <x:c r="O189" s="1" t="str">
        <x:v>합격</x:v>
      </x:c>
      <x:c r="P189" s="1"/>
      <x:c r="Q189" s="1" t="n">
        <x:v>46</x:v>
      </x:c>
      <x:c r="R189" s="1" t="str">
        <x:v>N</x:v>
      </x:c>
      <x:c r="S189" s="1" t="n">
        <x:v>0</x:v>
      </x:c>
      <x:c r="T189" s="1" t="str">
        <x:v>합격</x:v>
      </x:c>
    </x:row>
    <x:row r="190" ht="22" customHeight="1">
      <x:c r="A190" s="1" t="str">
        <x:v>R00189</x:v>
      </x:c>
      <x:c r="B190" s="4" t="n">
        <x:v>46206.98753472222</x:v>
      </x:c>
      <x:c r="C190" s="1" t="str">
        <x:v>야간</x:v>
      </x:c>
      <x:c r="D190" s="1" t="str">
        <x:v>L2</x:v>
      </x:c>
      <x:c r="E190" s="1" t="str">
        <x:v>P2</x:v>
      </x:c>
      <x:c r="F190" s="1" t="str">
        <x:v>M02</x:v>
      </x:c>
      <x:c r="G190" s="1" t="str">
        <x:v>G03</x:v>
      </x:c>
      <x:c r="H190" s="5" t="n">
        <x:v>29.03</x:v>
      </x:c>
      <x:c r="I190" s="5" t="n">
        <x:v>5.75</x:v>
      </x:c>
      <x:c r="J190" s="5" t="n">
        <x:v>56.5</x:v>
      </x:c>
      <x:c r="K190" s="5" t="n">
        <x:v>36.3</x:v>
      </x:c>
      <x:c r="L190" s="5" t="n">
        <x:v>2.28</x:v>
      </x:c>
      <x:c r="M190" s="1" t="n">
        <x:v>1</x:v>
      </x:c>
      <x:c r="N190" s="6" t="n">
        <x:v>0.961</x:v>
      </x:c>
      <x:c r="O190" s="1" t="str">
        <x:v>합격</x:v>
      </x:c>
      <x:c r="P190" s="1"/>
      <x:c r="Q190" s="1" t="n">
        <x:v>46</x:v>
      </x:c>
      <x:c r="R190" s="1" t="str">
        <x:v>N</x:v>
      </x:c>
      <x:c r="S190" s="1" t="n">
        <x:v>0</x:v>
      </x:c>
      <x:c r="T190" s="1" t="str">
        <x:v>합격</x:v>
      </x:c>
    </x:row>
    <x:row r="191" ht="22" customHeight="1">
      <x:c r="A191" s="1" t="str">
        <x:v>R00190</x:v>
      </x:c>
      <x:c r="B191" s="4" t="n">
        <x:v>46207.581192129626</x:v>
      </x:c>
      <x:c r="C191" s="1" t="str">
        <x:v>주간</x:v>
      </x:c>
      <x:c r="D191" s="1" t="str">
        <x:v>L2</x:v>
      </x:c>
      <x:c r="E191" s="1" t="str">
        <x:v>P2</x:v>
      </x:c>
      <x:c r="F191" s="1" t="str">
        <x:v>M02</x:v>
      </x:c>
      <x:c r="G191" s="1" t="str">
        <x:v>G04</x:v>
      </x:c>
      <x:c r="H191" s="5" t="n">
        <x:v>32.33</x:v>
      </x:c>
      <x:c r="I191" s="5" t="n">
        <x:v>5.67</x:v>
      </x:c>
      <x:c r="J191" s="5" t="n">
        <x:v>55</x:v>
      </x:c>
      <x:c r="K191" s="5" t="n">
        <x:v>36.8</x:v>
      </x:c>
      <x:c r="L191" s="5" t="n">
        <x:v>2.65</x:v>
      </x:c>
      <x:c r="M191" s="1" t="n">
        <x:v>1</x:v>
      </x:c>
      <x:c r="N191" s="6" t="n">
        <x:v>0.879</x:v>
      </x:c>
      <x:c r="O191" s="1" t="str">
        <x:v>합격</x:v>
      </x:c>
      <x:c r="P191" s="1"/>
      <x:c r="Q191" s="1" t="n">
        <x:v>44</x:v>
      </x:c>
      <x:c r="R191" s="1" t="str">
        <x:v>N</x:v>
      </x:c>
      <x:c r="S191" s="1" t="n">
        <x:v>0</x:v>
      </x:c>
      <x:c r="T191" s="1" t="str">
        <x:v>합격</x:v>
      </x:c>
    </x:row>
    <x:row r="192" ht="22" customHeight="1">
      <x:c r="A192" s="1" t="str">
        <x:v>R00191</x:v>
      </x:c>
      <x:c r="B192" s="4" t="n">
        <x:v>46208.047372685185</x:v>
      </x:c>
      <x:c r="C192" s="1" t="str">
        <x:v>야간</x:v>
      </x:c>
      <x:c r="D192" s="1" t="str">
        <x:v>L1</x:v>
      </x:c>
      <x:c r="E192" s="1" t="str">
        <x:v>P1</x:v>
      </x:c>
      <x:c r="F192" s="1" t="str">
        <x:v>M04</x:v>
      </x:c>
      <x:c r="G192" s="1" t="str">
        <x:v>G05</x:v>
      </x:c>
      <x:c r="H192" s="5" t="n">
        <x:v>28.06</x:v>
      </x:c>
      <x:c r="I192" s="5" t="n">
        <x:v>5.86</x:v>
      </x:c>
      <x:c r="J192" s="5" t="n">
        <x:v>54.1</x:v>
      </x:c>
      <x:c r="K192" s="5" t="n">
        <x:v>37.5</x:v>
      </x:c>
      <x:c r="L192" s="5" t="n">
        <x:v>2.52</x:v>
      </x:c>
      <x:c r="M192" s="1" t="n">
        <x:v>0</x:v>
      </x:c>
      <x:c r="N192" s="6" t="n">
        <x:v>0.876</x:v>
      </x:c>
      <x:c r="O192" s="1" t="str">
        <x:v>합격</x:v>
      </x:c>
      <x:c r="P192" s="1"/>
      <x:c r="Q192" s="1" t="n">
        <x:v>39</x:v>
      </x:c>
      <x:c r="R192" s="1" t="str">
        <x:v>N</x:v>
      </x:c>
      <x:c r="S192" s="1" t="n">
        <x:v>0</x:v>
      </x:c>
      <x:c r="T192" s="1" t="str">
        <x:v>합격</x:v>
      </x:c>
    </x:row>
    <x:row r="193" ht="22" customHeight="1">
      <x:c r="A193" s="1" t="str">
        <x:v>R00192</x:v>
      </x:c>
      <x:c r="B193" s="4" t="n">
        <x:v>46209.54806712963</x:v>
      </x:c>
      <x:c r="C193" s="1" t="str">
        <x:v>주간</x:v>
      </x:c>
      <x:c r="D193" s="1" t="str">
        <x:v>L2</x:v>
      </x:c>
      <x:c r="E193" s="1" t="str">
        <x:v>P2</x:v>
      </x:c>
      <x:c r="F193" s="1" t="str">
        <x:v>M04</x:v>
      </x:c>
      <x:c r="G193" s="1" t="str">
        <x:v>G06</x:v>
      </x:c>
      <x:c r="H193" s="5" t="n">
        <x:v>30.1</x:v>
      </x:c>
      <x:c r="I193" s="5" t="n">
        <x:v>5.64</x:v>
      </x:c>
      <x:c r="J193" s="5" t="n">
        <x:v>55.5</x:v>
      </x:c>
      <x:c r="K193" s="5" t="n">
        <x:v>37.3</x:v>
      </x:c>
      <x:c r="L193" s="5" t="n">
        <x:v>2.69</x:v>
      </x:c>
      <x:c r="M193" s="1" t="n">
        <x:v>1</x:v>
      </x:c>
      <x:c r="N193" s="6" t="n">
        <x:v>0.918</x:v>
      </x:c>
      <x:c r="O193" s="1" t="str">
        <x:v>합격</x:v>
      </x:c>
      <x:c r="P193" s="1"/>
      <x:c r="Q193" s="1" t="n">
        <x:v>40</x:v>
      </x:c>
      <x:c r="R193" s="1" t="str">
        <x:v>N</x:v>
      </x:c>
      <x:c r="S193" s="1" t="n">
        <x:v>0</x:v>
      </x:c>
      <x:c r="T193" s="1" t="str">
        <x:v>합격</x:v>
      </x:c>
    </x:row>
    <x:row r="194" ht="22" customHeight="1">
      <x:c r="A194" s="1" t="str">
        <x:v>R00193</x:v>
      </x:c>
      <x:c r="B194" s="4" t="n">
        <x:v>46210.04456018518</x:v>
      </x:c>
      <x:c r="C194" s="1" t="str">
        <x:v>야간</x:v>
      </x:c>
      <x:c r="D194" s="1" t="str">
        <x:v>L1</x:v>
      </x:c>
      <x:c r="E194" s="1" t="str">
        <x:v>P1</x:v>
      </x:c>
      <x:c r="F194" s="1" t="str">
        <x:v>M03</x:v>
      </x:c>
      <x:c r="G194" s="1" t="str">
        <x:v>G01</x:v>
      </x:c>
      <x:c r="H194" s="5" t="n">
        <x:v>34.08</x:v>
      </x:c>
      <x:c r="I194" s="5" t="n">
        <x:v>5.72</x:v>
      </x:c>
      <x:c r="J194" s="5" t="n">
        <x:v>51</x:v>
      </x:c>
      <x:c r="K194" s="5" t="n">
        <x:v>39.3</x:v>
      </x:c>
      <x:c r="L194" s="5" t="n">
        <x:v>2.37</x:v>
      </x:c>
      <x:c r="M194" s="1" t="n">
        <x:v>1</x:v>
      </x:c>
      <x:c r="N194" s="6" t="n">
        <x:v>1.033</x:v>
      </x:c>
      <x:c r="O194" s="1" t="str">
        <x:v>합격</x:v>
      </x:c>
      <x:c r="P194" s="1"/>
      <x:c r="Q194" s="1" t="n">
        <x:v>44</x:v>
      </x:c>
      <x:c r="R194" s="1" t="str">
        <x:v>N</x:v>
      </x:c>
      <x:c r="S194" s="1" t="n">
        <x:v>0</x:v>
      </x:c>
      <x:c r="T194" s="1" t="str">
        <x:v>합격</x:v>
      </x:c>
    </x:row>
    <x:row r="195" ht="22" customHeight="1">
      <x:c r="A195" s="1" t="str">
        <x:v>R00194</x:v>
      </x:c>
      <x:c r="B195" s="4" t="n">
        <x:v>46211.48232638889</x:v>
      </x:c>
      <x:c r="C195" s="1" t="str">
        <x:v>주간</x:v>
      </x:c>
      <x:c r="D195" s="1" t="str">
        <x:v>L2</x:v>
      </x:c>
      <x:c r="E195" s="1" t="str">
        <x:v>P2</x:v>
      </x:c>
      <x:c r="F195" s="1" t="str">
        <x:v>M02</x:v>
      </x:c>
      <x:c r="G195" s="1" t="str">
        <x:v>G02</x:v>
      </x:c>
      <x:c r="H195" s="5" t="n">
        <x:v>27.41</x:v>
      </x:c>
      <x:c r="I195" s="5" t="n">
        <x:v>5.84</x:v>
      </x:c>
      <x:c r="J195" s="5" t="n">
        <x:v>54.5</x:v>
      </x:c>
      <x:c r="K195" s="5" t="n">
        <x:v>41.4</x:v>
      </x:c>
      <x:c r="L195" s="5" t="n">
        <x:v>1.71</x:v>
      </x:c>
      <x:c r="M195" s="1" t="n">
        <x:v>1</x:v>
      </x:c>
      <x:c r="N195" s="6" t="n">
        <x:v>1.011</x:v>
      </x:c>
      <x:c r="O195" s="1" t="str">
        <x:v>합격</x:v>
      </x:c>
      <x:c r="P195" s="1"/>
      <x:c r="Q195" s="1" t="n">
        <x:v>45</x:v>
      </x:c>
      <x:c r="R195" s="1" t="str">
        <x:v>N</x:v>
      </x:c>
      <x:c r="S195" s="1" t="n">
        <x:v>0</x:v>
      </x:c>
      <x:c r="T195" s="1" t="str">
        <x:v>합격</x:v>
      </x:c>
    </x:row>
    <x:row r="196" ht="22" customHeight="1">
      <x:c r="A196" s="1" t="str">
        <x:v>R00195</x:v>
      </x:c>
      <x:c r="B196" s="4" t="n">
        <x:v>46212.58603009259</x:v>
      </x:c>
      <x:c r="C196" s="1" t="str">
        <x:v>주간</x:v>
      </x:c>
      <x:c r="D196" s="1" t="str">
        <x:v>L1</x:v>
      </x:c>
      <x:c r="E196" s="1" t="str">
        <x:v>P1</x:v>
      </x:c>
      <x:c r="F196" s="1" t="str">
        <x:v>M01</x:v>
      </x:c>
      <x:c r="G196" s="1" t="str">
        <x:v>G03</x:v>
      </x:c>
      <x:c r="H196" s="5" t="n">
        <x:v>29.05</x:v>
      </x:c>
      <x:c r="I196" s="5" t="n">
        <x:v>5.85</x:v>
      </x:c>
      <x:c r="J196" s="5" t="n">
        <x:v>49.7</x:v>
      </x:c>
      <x:c r="K196" s="5" t="n">
        <x:v>39.8</x:v>
      </x:c>
      <x:c r="L196" s="5" t="n">
        <x:v>2.33</x:v>
      </x:c>
      <x:c r="M196" s="1" t="n">
        <x:v>0</x:v>
      </x:c>
      <x:c r="N196" s="6" t="n">
        <x:v>1.031</x:v>
      </x:c>
      <x:c r="O196" s="1" t="str">
        <x:v>합격</x:v>
      </x:c>
      <x:c r="P196" s="1"/>
      <x:c r="Q196" s="1" t="n">
        <x:v>38</x:v>
      </x:c>
      <x:c r="R196" s="1" t="str">
        <x:v>N</x:v>
      </x:c>
      <x:c r="S196" s="1" t="n">
        <x:v>0</x:v>
      </x:c>
      <x:c r="T196" s="1" t="str">
        <x:v>합격</x:v>
      </x:c>
    </x:row>
    <x:row r="197" ht="22" customHeight="1">
      <x:c r="A197" s="1" t="str">
        <x:v>R00196</x:v>
      </x:c>
      <x:c r="B197" s="4" t="n">
        <x:v>46213.54331018519</x:v>
      </x:c>
      <x:c r="C197" s="1" t="str">
        <x:v>주간</x:v>
      </x:c>
      <x:c r="D197" s="1" t="str">
        <x:v>L2</x:v>
      </x:c>
      <x:c r="E197" s="1" t="str">
        <x:v>P2</x:v>
      </x:c>
      <x:c r="F197" s="1" t="str">
        <x:v>M04</x:v>
      </x:c>
      <x:c r="G197" s="1" t="str">
        <x:v>G04</x:v>
      </x:c>
      <x:c r="H197" s="5"/>
      <x:c r="I197" s="5" t="n">
        <x:v>5.95</x:v>
      </x:c>
      <x:c r="J197" s="5" t="n">
        <x:v>55.1</x:v>
      </x:c>
      <x:c r="K197" s="5" t="n">
        <x:v>39.5</x:v>
      </x:c>
      <x:c r="L197" s="5" t="n">
        <x:v>1.63</x:v>
      </x:c>
      <x:c r="M197" s="1" t="n">
        <x:v>0</x:v>
      </x:c>
      <x:c r="N197" s="6" t="n">
        <x:v>0.945</x:v>
      </x:c>
      <x:c r="O197" s="1" t="str">
        <x:v>합격</x:v>
      </x:c>
      <x:c r="P197" s="1"/>
      <x:c r="Q197" s="1" t="n">
        <x:v>42</x:v>
      </x:c>
      <x:c r="R197" s="1" t="str">
        <x:v>N</x:v>
      </x:c>
      <x:c r="S197" s="1" t="n">
        <x:v>0</x:v>
      </x:c>
      <x:c r="T197" s="1" t="str">
        <x:v>합격</x:v>
      </x:c>
    </x:row>
    <x:row r="198" ht="22" customHeight="1">
      <x:c r="A198" s="1" t="str">
        <x:v>R00197</x:v>
      </x:c>
      <x:c r="B198" s="4" t="n">
        <x:v>46214.51626157408</x:v>
      </x:c>
      <x:c r="C198" s="1" t="str">
        <x:v>주간</x:v>
      </x:c>
      <x:c r="D198" s="1" t="str">
        <x:v>L1</x:v>
      </x:c>
      <x:c r="E198" s="1" t="str">
        <x:v>P1</x:v>
      </x:c>
      <x:c r="F198" s="1" t="str">
        <x:v>M03</x:v>
      </x:c>
      <x:c r="G198" s="1" t="str">
        <x:v>G05</x:v>
      </x:c>
      <x:c r="H198" s="5" t="n">
        <x:v>31.08</x:v>
      </x:c>
      <x:c r="I198" s="5" t="n">
        <x:v>5.95</x:v>
      </x:c>
      <x:c r="J198" s="5" t="n">
        <x:v>47</x:v>
      </x:c>
      <x:c r="K198" s="5" t="n">
        <x:v>36.2</x:v>
      </x:c>
      <x:c r="L198" s="5" t="n">
        <x:v>2.53</x:v>
      </x:c>
      <x:c r="M198" s="1" t="n">
        <x:v>1</x:v>
      </x:c>
      <x:c r="N198" s="6" t="n">
        <x:v>0.855</x:v>
      </x:c>
      <x:c r="O198" s="1" t="str">
        <x:v>합격</x:v>
      </x:c>
      <x:c r="P198" s="1"/>
      <x:c r="Q198" s="1" t="n">
        <x:v>44</x:v>
      </x:c>
      <x:c r="R198" s="1" t="str">
        <x:v>N</x:v>
      </x:c>
      <x:c r="S198" s="1" t="n">
        <x:v>0</x:v>
      </x:c>
      <x:c r="T198" s="1" t="str">
        <x:v>합격</x:v>
      </x:c>
    </x:row>
    <x:row r="199" ht="22" customHeight="1">
      <x:c r="A199" s="1" t="str">
        <x:v>R00198</x:v>
      </x:c>
      <x:c r="B199" s="4" t="n">
        <x:v>46215.02621527778</x:v>
      </x:c>
      <x:c r="C199" s="1" t="str">
        <x:v>야간</x:v>
      </x:c>
      <x:c r="D199" s="1" t="str">
        <x:v>L1</x:v>
      </x:c>
      <x:c r="E199" s="1" t="str">
        <x:v>P1</x:v>
      </x:c>
      <x:c r="F199" s="1" t="str">
        <x:v>M04</x:v>
      </x:c>
      <x:c r="G199" s="1" t="str">
        <x:v>G06</x:v>
      </x:c>
      <x:c r="H199" s="5" t="n">
        <x:v>29.82</x:v>
      </x:c>
      <x:c r="I199" s="5" t="n">
        <x:v>5.87</x:v>
      </x:c>
      <x:c r="J199" s="5" t="n">
        <x:v>57.1</x:v>
      </x:c>
      <x:c r="K199" s="5" t="n">
        <x:v>36.5</x:v>
      </x:c>
      <x:c r="L199" s="5" t="n">
        <x:v>1.63</x:v>
      </x:c>
      <x:c r="M199" s="1" t="n">
        <x:v>0</x:v>
      </x:c>
      <x:c r="N199" s="6" t="n">
        <x:v>1.006</x:v>
      </x:c>
      <x:c r="O199" s="1" t="str">
        <x:v>합격</x:v>
      </x:c>
      <x:c r="P199" s="1"/>
      <x:c r="Q199" s="1" t="n">
        <x:v>49</x:v>
      </x:c>
      <x:c r="R199" s="1" t="str">
        <x:v>N</x:v>
      </x:c>
      <x:c r="S199" s="1" t="n">
        <x:v>0</x:v>
      </x:c>
      <x:c r="T199" s="1" t="str">
        <x:v>합격</x:v>
      </x:c>
    </x:row>
    <x:row r="200" ht="22" customHeight="1">
      <x:c r="A200" s="1" t="str">
        <x:v>R00199</x:v>
      </x:c>
      <x:c r="B200" s="4" t="n">
        <x:v>46216.56078703704</x:v>
      </x:c>
      <x:c r="C200" s="1" t="str">
        <x:v>주간</x:v>
      </x:c>
      <x:c r="D200" s="1" t="str">
        <x:v>L1</x:v>
      </x:c>
      <x:c r="E200" s="1" t="str">
        <x:v>P1</x:v>
      </x:c>
      <x:c r="F200" s="1" t="str">
        <x:v>M03</x:v>
      </x:c>
      <x:c r="G200" s="1" t="str">
        <x:v>G01</x:v>
      </x:c>
      <x:c r="H200" s="5" t="n">
        <x:v>30.35</x:v>
      </x:c>
      <x:c r="I200" s="5" t="n">
        <x:v>5.65</x:v>
      </x:c>
      <x:c r="J200" s="5" t="n">
        <x:v>50</x:v>
      </x:c>
      <x:c r="K200" s="5" t="n">
        <x:v>40.9</x:v>
      </x:c>
      <x:c r="L200" s="5" t="n">
        <x:v>1.54</x:v>
      </x:c>
      <x:c r="M200" s="1" t="n">
        <x:v>1</x:v>
      </x:c>
      <x:c r="N200" s="6" t="n">
        <x:v>0.863</x:v>
      </x:c>
      <x:c r="O200" s="1" t="str">
        <x:v>합격</x:v>
      </x:c>
      <x:c r="P200" s="1"/>
      <x:c r="Q200" s="1" t="n">
        <x:v>43</x:v>
      </x:c>
      <x:c r="R200" s="1" t="str">
        <x:v>N</x:v>
      </x:c>
      <x:c r="S200" s="1" t="n">
        <x:v>0</x:v>
      </x:c>
      <x:c r="T200" s="1" t="str">
        <x:v>합격</x:v>
      </x:c>
    </x:row>
    <x:row r="201" ht="22" customHeight="1">
      <x:c r="A201" s="1" t="str">
        <x:v>R00200</x:v>
      </x:c>
      <x:c r="B201" s="4" t="n">
        <x:v>46217.37842592593</x:v>
      </x:c>
      <x:c r="C201" s="1" t="str">
        <x:v>주간</x:v>
      </x:c>
      <x:c r="D201" s="1" t="str">
        <x:v>L1</x:v>
      </x:c>
      <x:c r="E201" s="1" t="str">
        <x:v>P1</x:v>
      </x:c>
      <x:c r="F201" s="1" t="str">
        <x:v>M03</x:v>
      </x:c>
      <x:c r="G201" s="1" t="str">
        <x:v>G02</x:v>
      </x:c>
      <x:c r="H201" s="5" t="n">
        <x:v>29.7</x:v>
      </x:c>
      <x:c r="I201" s="5" t="n">
        <x:v>5.8</x:v>
      </x:c>
      <x:c r="J201" s="5" t="n">
        <x:v>59</x:v>
      </x:c>
      <x:c r="K201" s="5" t="n">
        <x:v>36.9</x:v>
      </x:c>
      <x:c r="L201" s="5" t="n">
        <x:v>1.93</x:v>
      </x:c>
      <x:c r="M201" s="1" t="n">
        <x:v>1</x:v>
      </x:c>
      <x:c r="N201" s="6" t="n">
        <x:v>0.892</x:v>
      </x:c>
      <x:c r="O201" s="1" t="str">
        <x:v>합격</x:v>
      </x:c>
      <x:c r="P201" s="1"/>
      <x:c r="Q201" s="1" t="n">
        <x:v>46</x:v>
      </x:c>
      <x:c r="R201" s="1" t="str">
        <x:v>N</x:v>
      </x:c>
      <x:c r="S201" s="1" t="n">
        <x:v>0</x:v>
      </x:c>
      <x:c r="T201" s="1" t="str">
        <x:v>합격</x:v>
      </x:c>
    </x:row>
    <x:row r="202" ht="22" customHeight="1">
      <x:c r="A202" s="1" t="str">
        <x:v>R00201</x:v>
      </x:c>
      <x:c r="B202" s="4" t="n">
        <x:v>46218.10636574074</x:v>
      </x:c>
      <x:c r="C202" s="1" t="str">
        <x:v>야간</x:v>
      </x:c>
      <x:c r="D202" s="1" t="str">
        <x:v>L1</x:v>
      </x:c>
      <x:c r="E202" s="1" t="str">
        <x:v>P1</x:v>
      </x:c>
      <x:c r="F202" s="1" t="str">
        <x:v>M04</x:v>
      </x:c>
      <x:c r="G202" s="1" t="str">
        <x:v>G03</x:v>
      </x:c>
      <x:c r="H202" s="5" t="n">
        <x:v>27.53</x:v>
      </x:c>
      <x:c r="I202" s="5" t="n">
        <x:v>5.69</x:v>
      </x:c>
      <x:c r="J202" s="5" t="n">
        <x:v>55.1</x:v>
      </x:c>
      <x:c r="K202" s="5" t="n">
        <x:v>37.4</x:v>
      </x:c>
      <x:c r="L202" s="5" t="n">
        <x:v>1.65</x:v>
      </x:c>
      <x:c r="M202" s="1" t="n">
        <x:v>0</x:v>
      </x:c>
      <x:c r="N202" s="6" t="n">
        <x:v>1.005</x:v>
      </x:c>
      <x:c r="O202" s="1" t="str">
        <x:v>합격</x:v>
      </x:c>
      <x:c r="P202" s="1"/>
      <x:c r="Q202" s="1" t="n">
        <x:v>43</x:v>
      </x:c>
      <x:c r="R202" s="1" t="str">
        <x:v>N</x:v>
      </x:c>
      <x:c r="S202" s="1" t="n">
        <x:v>0</x:v>
      </x:c>
      <x:c r="T202" s="1" t="str">
        <x:v>합격</x:v>
      </x:c>
    </x:row>
    <x:row r="203" ht="22" customHeight="1">
      <x:c r="A203" s="1" t="str">
        <x:v>R00202</x:v>
      </x:c>
      <x:c r="B203" s="4" t="n">
        <x:v>46219.15453703704</x:v>
      </x:c>
      <x:c r="C203" s="1" t="str">
        <x:v>야간</x:v>
      </x:c>
      <x:c r="D203" s="1" t="str">
        <x:v>L2</x:v>
      </x:c>
      <x:c r="E203" s="1" t="str">
        <x:v>P2</x:v>
      </x:c>
      <x:c r="F203" s="1" t="str">
        <x:v>M01</x:v>
      </x:c>
      <x:c r="G203" s="1" t="str">
        <x:v>G04</x:v>
      </x:c>
      <x:c r="H203" s="5" t="n">
        <x:v>30.72</x:v>
      </x:c>
      <x:c r="I203" s="5" t="n">
        <x:v>5.77</x:v>
      </x:c>
      <x:c r="J203" s="5" t="n">
        <x:v>57</x:v>
      </x:c>
      <x:c r="K203" s="5" t="n">
        <x:v>41.8</x:v>
      </x:c>
      <x:c r="L203" s="5" t="n">
        <x:v>2.51</x:v>
      </x:c>
      <x:c r="M203" s="1" t="n">
        <x:v>1</x:v>
      </x:c>
      <x:c r="N203" s="6" t="n">
        <x:v>0.932</x:v>
      </x:c>
      <x:c r="O203" s="1" t="str">
        <x:v>합격</x:v>
      </x:c>
      <x:c r="P203" s="1"/>
      <x:c r="Q203" s="1" t="n">
        <x:v>37</x:v>
      </x:c>
      <x:c r="R203" s="1" t="str">
        <x:v>N</x:v>
      </x:c>
      <x:c r="S203" s="1" t="n">
        <x:v>0</x:v>
      </x:c>
      <x:c r="T203" s="1" t="str">
        <x:v>합격</x:v>
      </x:c>
    </x:row>
    <x:row r="204" ht="22" customHeight="1">
      <x:c r="A204" s="1" t="str">
        <x:v>R00203</x:v>
      </x:c>
      <x:c r="B204" s="4" t="n">
        <x:v>46220.46988425926</x:v>
      </x:c>
      <x:c r="C204" s="1" t="str">
        <x:v>주간</x:v>
      </x:c>
      <x:c r="D204" s="1" t="str">
        <x:v>L2</x:v>
      </x:c>
      <x:c r="E204" s="1" t="str">
        <x:v>P2</x:v>
      </x:c>
      <x:c r="F204" s="1" t="str">
        <x:v>M04</x:v>
      </x:c>
      <x:c r="G204" s="1" t="str">
        <x:v>G05</x:v>
      </x:c>
      <x:c r="H204" s="5" t="n">
        <x:v>30.68</x:v>
      </x:c>
      <x:c r="I204" s="5" t="n">
        <x:v>5.78</x:v>
      </x:c>
      <x:c r="J204" s="5" t="n">
        <x:v>50</x:v>
      </x:c>
      <x:c r="K204" s="5" t="n">
        <x:v>37</x:v>
      </x:c>
      <x:c r="L204" s="5" t="n">
        <x:v>2.67</x:v>
      </x:c>
      <x:c r="M204" s="1" t="n">
        <x:v>0</x:v>
      </x:c>
      <x:c r="N204" s="6" t="n">
        <x:v>0.917</x:v>
      </x:c>
      <x:c r="O204" s="1" t="str">
        <x:v>합격</x:v>
      </x:c>
      <x:c r="P204" s="1"/>
      <x:c r="Q204" s="1" t="n">
        <x:v>43</x:v>
      </x:c>
      <x:c r="R204" s="1" t="str">
        <x:v>N</x:v>
      </x:c>
      <x:c r="S204" s="1" t="n">
        <x:v>0</x:v>
      </x:c>
      <x:c r="T204" s="1" t="str">
        <x:v>합격</x:v>
      </x:c>
    </x:row>
    <x:row r="205" ht="22" customHeight="1">
      <x:c r="A205" s="1" t="str">
        <x:v>R00204</x:v>
      </x:c>
      <x:c r="B205" s="4" t="n">
        <x:v>46221.88563657407</x:v>
      </x:c>
      <x:c r="C205" s="1" t="str">
        <x:v>야간</x:v>
      </x:c>
      <x:c r="D205" s="1" t="str">
        <x:v>L1</x:v>
      </x:c>
      <x:c r="E205" s="1" t="str">
        <x:v>P1</x:v>
      </x:c>
      <x:c r="F205" s="1" t="str">
        <x:v>M03</x:v>
      </x:c>
      <x:c r="G205" s="1" t="str">
        <x:v>G06</x:v>
      </x:c>
      <x:c r="H205" s="5" t="n">
        <x:v>26.72</x:v>
      </x:c>
      <x:c r="I205" s="5" t="n">
        <x:v>5.76</x:v>
      </x:c>
      <x:c r="J205" s="5" t="n">
        <x:v>56</x:v>
      </x:c>
      <x:c r="K205" s="5" t="n">
        <x:v>38.4</x:v>
      </x:c>
      <x:c r="L205" s="5" t="n">
        <x:v>1.94</x:v>
      </x:c>
      <x:c r="M205" s="1" t="n">
        <x:v>1</x:v>
      </x:c>
      <x:c r="N205" s="6" t="n">
        <x:v>0.982</x:v>
      </x:c>
      <x:c r="O205" s="1" t="str">
        <x:v>합격</x:v>
      </x:c>
      <x:c r="P205" s="1"/>
      <x:c r="Q205" s="1" t="n">
        <x:v>42</x:v>
      </x:c>
      <x:c r="R205" s="1" t="str">
        <x:v>N</x:v>
      </x:c>
      <x:c r="S205" s="1" t="n">
        <x:v>0</x:v>
      </x:c>
      <x:c r="T205" s="1" t="str">
        <x:v>합격</x:v>
      </x:c>
    </x:row>
    <x:row r="206" ht="22" customHeight="1">
      <x:c r="A206" s="1" t="str">
        <x:v>R00205</x:v>
      </x:c>
      <x:c r="B206" s="4" t="n">
        <x:v>46222.05809027778</x:v>
      </x:c>
      <x:c r="C206" s="1" t="str">
        <x:v>야간</x:v>
      </x:c>
      <x:c r="D206" s="1" t="str">
        <x:v>L2</x:v>
      </x:c>
      <x:c r="E206" s="1" t="str">
        <x:v>P2</x:v>
      </x:c>
      <x:c r="F206" s="1" t="str">
        <x:v>M01</x:v>
      </x:c>
      <x:c r="G206" s="1" t="str">
        <x:v>G01</x:v>
      </x:c>
      <x:c r="H206" s="5" t="n">
        <x:v>27.63</x:v>
      </x:c>
      <x:c r="I206" s="5" t="n">
        <x:v>5.75</x:v>
      </x:c>
      <x:c r="J206" s="5" t="n">
        <x:v>49.3</x:v>
      </x:c>
      <x:c r="K206" s="5" t="n">
        <x:v>41.7</x:v>
      </x:c>
      <x:c r="L206" s="5" t="n">
        <x:v>1.5</x:v>
      </x:c>
      <x:c r="M206" s="1" t="n">
        <x:v>0</x:v>
      </x:c>
      <x:c r="N206" s="6" t="n">
        <x:v>1.028</x:v>
      </x:c>
      <x:c r="O206" s="1" t="str">
        <x:v>합격</x:v>
      </x:c>
      <x:c r="P206" s="1"/>
      <x:c r="Q206" s="1" t="n">
        <x:v>36</x:v>
      </x:c>
      <x:c r="R206" s="1" t="str">
        <x:v>N</x:v>
      </x:c>
      <x:c r="S206" s="1" t="n">
        <x:v>0</x:v>
      </x:c>
      <x:c r="T206" s="1" t="str">
        <x:v>합격</x:v>
      </x:c>
    </x:row>
    <x:row r="207" ht="22" customHeight="1">
      <x:c r="A207" s="1" t="str">
        <x:v>R00206</x:v>
      </x:c>
      <x:c r="B207" s="4" t="n">
        <x:v>46223.8996875</x:v>
      </x:c>
      <x:c r="C207" s="1" t="str">
        <x:v>야간</x:v>
      </x:c>
      <x:c r="D207" s="1" t="str">
        <x:v>L1</x:v>
      </x:c>
      <x:c r="E207" s="1" t="str">
        <x:v>P1</x:v>
      </x:c>
      <x:c r="F207" s="1" t="str">
        <x:v>M04</x:v>
      </x:c>
      <x:c r="G207" s="1" t="str">
        <x:v>G02</x:v>
      </x:c>
      <x:c r="H207" s="5" t="n">
        <x:v>28.74</x:v>
      </x:c>
      <x:c r="I207" s="5" t="n">
        <x:v>5.79</x:v>
      </x:c>
      <x:c r="J207" s="5" t="n">
        <x:v>50.5</x:v>
      </x:c>
      <x:c r="K207" s="5" t="n">
        <x:v>38.2</x:v>
      </x:c>
      <x:c r="L207" s="5" t="n">
        <x:v>1.96</x:v>
      </x:c>
      <x:c r="M207" s="1" t="n">
        <x:v>1</x:v>
      </x:c>
      <x:c r="N207" s="6" t="n">
        <x:v>1.038</x:v>
      </x:c>
      <x:c r="O207" s="1" t="str">
        <x:v>합격</x:v>
      </x:c>
      <x:c r="P207" s="1"/>
      <x:c r="Q207" s="1" t="n">
        <x:v>43</x:v>
      </x:c>
      <x:c r="R207" s="1" t="str">
        <x:v>N</x:v>
      </x:c>
      <x:c r="S207" s="1" t="n">
        <x:v>0</x:v>
      </x:c>
      <x:c r="T207" s="1" t="str">
        <x:v>합격</x:v>
      </x:c>
    </x:row>
    <x:row r="208" ht="22" customHeight="1">
      <x:c r="A208" s="1" t="str">
        <x:v>R00207</x:v>
      </x:c>
      <x:c r="B208" s="4" t="n">
        <x:v>46224.48715277778</x:v>
      </x:c>
      <x:c r="C208" s="1" t="str">
        <x:v>주간</x:v>
      </x:c>
      <x:c r="D208" s="1" t="str">
        <x:v>L2</x:v>
      </x:c>
      <x:c r="E208" s="1" t="str">
        <x:v>P2</x:v>
      </x:c>
      <x:c r="F208" s="1" t="str">
        <x:v>M04</x:v>
      </x:c>
      <x:c r="G208" s="1" t="str">
        <x:v>G03</x:v>
      </x:c>
      <x:c r="H208" s="5" t="n">
        <x:v>32.1</x:v>
      </x:c>
      <x:c r="I208" s="5" t="n">
        <x:v>5.62</x:v>
      </x:c>
      <x:c r="J208" s="5" t="n">
        <x:v>49.6</x:v>
      </x:c>
      <x:c r="K208" s="5" t="n">
        <x:v>39.9</x:v>
      </x:c>
      <x:c r="L208" s="5" t="n">
        <x:v>1.58</x:v>
      </x:c>
      <x:c r="M208" s="1" t="n">
        <x:v>0</x:v>
      </x:c>
      <x:c r="N208" s="6" t="n">
        <x:v>0.947</x:v>
      </x:c>
      <x:c r="O208" s="1" t="str">
        <x:v>합격</x:v>
      </x:c>
      <x:c r="P208" s="1"/>
      <x:c r="Q208" s="1" t="n">
        <x:v>47</x:v>
      </x:c>
      <x:c r="R208" s="1" t="str">
        <x:v>N</x:v>
      </x:c>
      <x:c r="S208" s="1" t="n">
        <x:v>0</x:v>
      </x:c>
      <x:c r="T208" s="1" t="str">
        <x:v>합격</x:v>
      </x:c>
    </x:row>
    <x:row r="209" ht="22" customHeight="1">
      <x:c r="A209" s="1" t="str">
        <x:v>R00208</x:v>
      </x:c>
      <x:c r="B209" s="4" t="n">
        <x:v>46225.97115740741</x:v>
      </x:c>
      <x:c r="C209" s="1" t="str">
        <x:v>야간</x:v>
      </x:c>
      <x:c r="D209" s="1" t="str">
        <x:v>L1</x:v>
      </x:c>
      <x:c r="E209" s="1" t="str">
        <x:v>P1</x:v>
      </x:c>
      <x:c r="F209" s="1" t="str">
        <x:v>M03</x:v>
      </x:c>
      <x:c r="G209" s="1" t="str">
        <x:v>G04</x:v>
      </x:c>
      <x:c r="H209" s="5" t="n">
        <x:v>31.48</x:v>
      </x:c>
      <x:c r="I209" s="5" t="n">
        <x:v>5.96</x:v>
      </x:c>
      <x:c r="J209" s="5" t="n">
        <x:v>53.8</x:v>
      </x:c>
      <x:c r="K209" s="5" t="n">
        <x:v>41.5</x:v>
      </x:c>
      <x:c r="L209" s="5" t="n">
        <x:v>1.42</x:v>
      </x:c>
      <x:c r="M209" s="1" t="n">
        <x:v>1</x:v>
      </x:c>
      <x:c r="N209" s="6" t="n">
        <x:v>0.953</x:v>
      </x:c>
      <x:c r="O209" s="1" t="str">
        <x:v>합격</x:v>
      </x:c>
      <x:c r="P209" s="1"/>
      <x:c r="Q209" s="1" t="n">
        <x:v>38</x:v>
      </x:c>
      <x:c r="R209" s="1" t="str">
        <x:v>N</x:v>
      </x:c>
      <x:c r="S209" s="1" t="n">
        <x:v>0</x:v>
      </x:c>
      <x:c r="T209" s="1" t="str">
        <x:v>합격</x:v>
      </x:c>
    </x:row>
    <x:row r="210" ht="22" customHeight="1">
      <x:c r="A210" s="1" t="str">
        <x:v>R00209</x:v>
      </x:c>
      <x:c r="B210" s="4" t="n">
        <x:v>46226.48936342593</x:v>
      </x:c>
      <x:c r="C210" s="1" t="str">
        <x:v>주간</x:v>
      </x:c>
      <x:c r="D210" s="1" t="str">
        <x:v>L1</x:v>
      </x:c>
      <x:c r="E210" s="1" t="str">
        <x:v>P1</x:v>
      </x:c>
      <x:c r="F210" s="1" t="str">
        <x:v>M02</x:v>
      </x:c>
      <x:c r="G210" s="1" t="str">
        <x:v>G05</x:v>
      </x:c>
      <x:c r="H210" s="5" t="n">
        <x:v>33.23</x:v>
      </x:c>
      <x:c r="I210" s="5" t="n">
        <x:v>5.84</x:v>
      </x:c>
      <x:c r="J210" s="5" t="n">
        <x:v>56.9</x:v>
      </x:c>
      <x:c r="K210" s="5" t="n">
        <x:v>40.1</x:v>
      </x:c>
      <x:c r="L210" s="5" t="n">
        <x:v>1.84</x:v>
      </x:c>
      <x:c r="M210" s="1" t="n">
        <x:v>0</x:v>
      </x:c>
      <x:c r="N210" s="6" t="n">
        <x:v>0.901</x:v>
      </x:c>
      <x:c r="O210" s="1" t="str">
        <x:v>불합격</x:v>
      </x:c>
      <x:c r="P210" s="1" t="str">
        <x:v>작동불량</x:v>
      </x:c>
      <x:c r="Q210" s="1" t="n">
        <x:v>35</x:v>
      </x:c>
      <x:c r="R210" s="1" t="str">
        <x:v>Y</x:v>
      </x:c>
      <x:c r="S210" s="1" t="n">
        <x:v>7</x:v>
      </x:c>
      <x:c r="T210" s="1" t="str">
        <x:v>재작업후합격</x:v>
      </x:c>
    </x:row>
    <x:row r="211" ht="22" customHeight="1">
      <x:c r="A211" s="1" t="str">
        <x:v>R00210</x:v>
      </x:c>
      <x:c r="B211" s="4" t="n">
        <x:v>46227.1616087963</x:v>
      </x:c>
      <x:c r="C211" s="1" t="str">
        <x:v>야간</x:v>
      </x:c>
      <x:c r="D211" s="1" t="str">
        <x:v>L2</x:v>
      </x:c>
      <x:c r="E211" s="1" t="str">
        <x:v>P2</x:v>
      </x:c>
      <x:c r="F211" s="1" t="str">
        <x:v>M02</x:v>
      </x:c>
      <x:c r="G211" s="1" t="str">
        <x:v>G06</x:v>
      </x:c>
      <x:c r="H211" s="5" t="n">
        <x:v>29.09</x:v>
      </x:c>
      <x:c r="I211" s="5" t="n">
        <x:v>5.79</x:v>
      </x:c>
      <x:c r="J211" s="5" t="n">
        <x:v>54.7</x:v>
      </x:c>
      <x:c r="K211" s="5" t="n">
        <x:v>38.7</x:v>
      </x:c>
      <x:c r="L211" s="5" t="n">
        <x:v>2.04</x:v>
      </x:c>
      <x:c r="M211" s="1" t="n">
        <x:v>0</x:v>
      </x:c>
      <x:c r="N211" s="6" t="n">
        <x:v>1.048</x:v>
      </x:c>
      <x:c r="O211" s="1" t="str">
        <x:v>합격</x:v>
      </x:c>
      <x:c r="P211" s="1"/>
      <x:c r="Q211" s="1" t="n">
        <x:v>49</x:v>
      </x:c>
      <x:c r="R211" s="1" t="str">
        <x:v>N</x:v>
      </x:c>
      <x:c r="S211" s="1" t="n">
        <x:v>0</x:v>
      </x:c>
      <x:c r="T211" s="1" t="str">
        <x:v>합격</x:v>
      </x:c>
    </x:row>
    <x:row r="212" ht="22" customHeight="1">
      <x:c r="A212" s="1" t="str">
        <x:v>R00211</x:v>
      </x:c>
      <x:c r="B212" s="4" t="n">
        <x:v>46228.502291666664</x:v>
      </x:c>
      <x:c r="C212" s="1" t="str">
        <x:v>주간</x:v>
      </x:c>
      <x:c r="D212" s="1" t="str">
        <x:v>L1</x:v>
      </x:c>
      <x:c r="E212" s="1" t="str">
        <x:v>P1</x:v>
      </x:c>
      <x:c r="F212" s="1" t="str">
        <x:v>M03</x:v>
      </x:c>
      <x:c r="G212" s="1" t="str">
        <x:v>G01</x:v>
      </x:c>
      <x:c r="H212" s="5" t="n">
        <x:v>30.5</x:v>
      </x:c>
      <x:c r="I212" s="5" t="n">
        <x:v>5.86</x:v>
      </x:c>
      <x:c r="J212" s="5" t="n">
        <x:v>47.5</x:v>
      </x:c>
      <x:c r="K212" s="5" t="n">
        <x:v>39.6</x:v>
      </x:c>
      <x:c r="L212" s="5" t="n">
        <x:v>2.39</x:v>
      </x:c>
      <x:c r="M212" s="1" t="n">
        <x:v>1</x:v>
      </x:c>
      <x:c r="N212" s="6" t="n">
        <x:v>0.871</x:v>
      </x:c>
      <x:c r="O212" s="1" t="str">
        <x:v>합격</x:v>
      </x:c>
      <x:c r="P212" s="1"/>
      <x:c r="Q212" s="1" t="n">
        <x:v>44</x:v>
      </x:c>
      <x:c r="R212" s="1" t="str">
        <x:v>N</x:v>
      </x:c>
      <x:c r="S212" s="1" t="n">
        <x:v>0</x:v>
      </x:c>
      <x:c r="T212" s="1" t="str">
        <x:v>합격</x:v>
      </x:c>
    </x:row>
    <x:row r="213" ht="22" customHeight="1">
      <x:c r="A213" s="1" t="str">
        <x:v>R00212</x:v>
      </x:c>
      <x:c r="B213" s="4" t="n">
        <x:v>46229.00408564815</x:v>
      </x:c>
      <x:c r="C213" s="1" t="str">
        <x:v>야간</x:v>
      </x:c>
      <x:c r="D213" s="1" t="str">
        <x:v>L1</x:v>
      </x:c>
      <x:c r="E213" s="1" t="str">
        <x:v>P1</x:v>
      </x:c>
      <x:c r="F213" s="1" t="str">
        <x:v>M04</x:v>
      </x:c>
      <x:c r="G213" s="1" t="str">
        <x:v>G02</x:v>
      </x:c>
      <x:c r="H213" s="5" t="n">
        <x:v>31.9</x:v>
      </x:c>
      <x:c r="I213" s="5" t="n">
        <x:v>5.7</x:v>
      </x:c>
      <x:c r="J213" s="5" t="n">
        <x:v>52.3</x:v>
      </x:c>
      <x:c r="K213" s="5" t="n">
        <x:v>35.8</x:v>
      </x:c>
      <x:c r="L213" s="5" t="n">
        <x:v>2.09</x:v>
      </x:c>
      <x:c r="M213" s="1" t="n">
        <x:v>1</x:v>
      </x:c>
      <x:c r="N213" s="6" t="n">
        <x:v>0.975</x:v>
      </x:c>
      <x:c r="O213" s="1" t="str">
        <x:v>합격</x:v>
      </x:c>
      <x:c r="P213" s="1"/>
      <x:c r="Q213" s="1" t="n">
        <x:v>45</x:v>
      </x:c>
      <x:c r="R213" s="1" t="str">
        <x:v>N</x:v>
      </x:c>
      <x:c r="S213" s="1" t="n">
        <x:v>0</x:v>
      </x:c>
      <x:c r="T213" s="1" t="str">
        <x:v>합격</x:v>
      </x:c>
    </x:row>
    <x:row r="214" ht="22" customHeight="1">
      <x:c r="A214" s="1" t="str">
        <x:v>R00213</x:v>
      </x:c>
      <x:c r="B214" s="4" t="n">
        <x:v>46230.46722222222</x:v>
      </x:c>
      <x:c r="C214" s="1" t="str">
        <x:v>주간</x:v>
      </x:c>
      <x:c r="D214" s="1" t="str">
        <x:v>L1</x:v>
      </x:c>
      <x:c r="E214" s="1" t="str">
        <x:v>P1</x:v>
      </x:c>
      <x:c r="F214" s="1" t="str">
        <x:v>M01</x:v>
      </x:c>
      <x:c r="G214" s="1" t="str">
        <x:v>G03</x:v>
      </x:c>
      <x:c r="H214" s="5" t="n">
        <x:v>31.55</x:v>
      </x:c>
      <x:c r="I214" s="5" t="n">
        <x:v>5.9</x:v>
      </x:c>
      <x:c r="J214" s="5" t="n">
        <x:v>51.6</x:v>
      </x:c>
      <x:c r="K214" s="5" t="n">
        <x:v>37.4</x:v>
      </x:c>
      <x:c r="L214" s="5" t="n">
        <x:v>1.36</x:v>
      </x:c>
      <x:c r="M214" s="1" t="n">
        <x:v>0</x:v>
      </x:c>
      <x:c r="N214" s="6" t="n">
        <x:v>0.905</x:v>
      </x:c>
      <x:c r="O214" s="1" t="str">
        <x:v>합격</x:v>
      </x:c>
      <x:c r="P214" s="1"/>
      <x:c r="Q214" s="1" t="n">
        <x:v>38</x:v>
      </x:c>
      <x:c r="R214" s="1" t="str">
        <x:v>N</x:v>
      </x:c>
      <x:c r="S214" s="1" t="n">
        <x:v>0</x:v>
      </x:c>
      <x:c r="T214" s="1" t="str">
        <x:v>합격</x:v>
      </x:c>
    </x:row>
    <x:row r="215" ht="22" customHeight="1">
      <x:c r="A215" s="1" t="str">
        <x:v>R00214</x:v>
      </x:c>
      <x:c r="B215" s="4" t="n">
        <x:v>46231.5059375</x:v>
      </x:c>
      <x:c r="C215" s="1" t="str">
        <x:v>주간</x:v>
      </x:c>
      <x:c r="D215" s="1" t="str">
        <x:v>L2</x:v>
      </x:c>
      <x:c r="E215" s="1" t="str">
        <x:v>P2</x:v>
      </x:c>
      <x:c r="F215" s="1" t="str">
        <x:v>M02</x:v>
      </x:c>
      <x:c r="G215" s="1" t="str">
        <x:v>G04</x:v>
      </x:c>
      <x:c r="H215" s="5" t="n">
        <x:v>32.43</x:v>
      </x:c>
      <x:c r="I215" s="5" t="n">
        <x:v>5.9</x:v>
      </x:c>
      <x:c r="J215" s="5" t="n">
        <x:v>50.9</x:v>
      </x:c>
      <x:c r="K215" s="5" t="n">
        <x:v>40.3</x:v>
      </x:c>
      <x:c r="L215" s="5" t="n">
        <x:v>1.88</x:v>
      </x:c>
      <x:c r="M215" s="1" t="n">
        <x:v>0</x:v>
      </x:c>
      <x:c r="N215" s="6" t="n">
        <x:v>0.873</x:v>
      </x:c>
      <x:c r="O215" s="1" t="str">
        <x:v>합격</x:v>
      </x:c>
      <x:c r="P215" s="1"/>
      <x:c r="Q215" s="1" t="n">
        <x:v>37</x:v>
      </x:c>
      <x:c r="R215" s="1" t="str">
        <x:v>N</x:v>
      </x:c>
      <x:c r="S215" s="1" t="n">
        <x:v>0</x:v>
      </x:c>
      <x:c r="T215" s="1" t="str">
        <x:v>합격</x:v>
      </x:c>
    </x:row>
    <x:row r="216" ht="22" customHeight="1">
      <x:c r="A216" s="1" t="str">
        <x:v>R00215</x:v>
      </x:c>
      <x:c r="B216" s="4" t="n">
        <x:v>46232.962488425925</x:v>
      </x:c>
      <x:c r="C216" s="1" t="str">
        <x:v>야간</x:v>
      </x:c>
      <x:c r="D216" s="1" t="str">
        <x:v>L1</x:v>
      </x:c>
      <x:c r="E216" s="1" t="str">
        <x:v>P1</x:v>
      </x:c>
      <x:c r="F216" s="1" t="str">
        <x:v>M04</x:v>
      </x:c>
      <x:c r="G216" s="1" t="str">
        <x:v>G05</x:v>
      </x:c>
      <x:c r="H216" s="5" t="n">
        <x:v>29.08</x:v>
      </x:c>
      <x:c r="I216" s="5" t="n">
        <x:v>5.63</x:v>
      </x:c>
      <x:c r="J216" s="5" t="n">
        <x:v>50.1</x:v>
      </x:c>
      <x:c r="K216" s="5" t="n">
        <x:v>37.8</x:v>
      </x:c>
      <x:c r="L216" s="5" t="n">
        <x:v>2.39</x:v>
      </x:c>
      <x:c r="M216" s="1" t="n">
        <x:v>0</x:v>
      </x:c>
      <x:c r="N216" s="6" t="n">
        <x:v>1.046</x:v>
      </x:c>
      <x:c r="O216" s="1" t="str">
        <x:v>합격</x:v>
      </x:c>
      <x:c r="P216" s="1"/>
      <x:c r="Q216" s="1" t="n">
        <x:v>36</x:v>
      </x:c>
      <x:c r="R216" s="1" t="str">
        <x:v>N</x:v>
      </x:c>
      <x:c r="S216" s="1" t="n">
        <x:v>0</x:v>
      </x:c>
      <x:c r="T216" s="1" t="str">
        <x:v>합격</x:v>
      </x:c>
    </x:row>
    <x:row r="217" ht="22" customHeight="1">
      <x:c r="A217" s="1" t="str">
        <x:v>R00216</x:v>
      </x:c>
      <x:c r="B217" s="4" t="n">
        <x:v>46233.63071759259</x:v>
      </x:c>
      <x:c r="C217" s="1" t="str">
        <x:v>주간</x:v>
      </x:c>
      <x:c r="D217" s="1" t="str">
        <x:v>L1</x:v>
      </x:c>
      <x:c r="E217" s="1" t="str">
        <x:v>P1</x:v>
      </x:c>
      <x:c r="F217" s="1" t="str">
        <x:v>M01</x:v>
      </x:c>
      <x:c r="G217" s="1" t="str">
        <x:v>G06</x:v>
      </x:c>
      <x:c r="H217" s="5" t="n">
        <x:v>31.57</x:v>
      </x:c>
      <x:c r="I217" s="5" t="n">
        <x:v>5.99</x:v>
      </x:c>
      <x:c r="J217" s="5" t="n">
        <x:v>55.1</x:v>
      </x:c>
      <x:c r="K217" s="5" t="n">
        <x:v>35.2</x:v>
      </x:c>
      <x:c r="L217" s="5" t="n">
        <x:v>1.61</x:v>
      </x:c>
      <x:c r="M217" s="1" t="n">
        <x:v>0</x:v>
      </x:c>
      <x:c r="N217" s="6" t="n">
        <x:v>0.937</x:v>
      </x:c>
      <x:c r="O217" s="1" t="str">
        <x:v>합격</x:v>
      </x:c>
      <x:c r="P217" s="1"/>
      <x:c r="Q217" s="1" t="n">
        <x:v>40</x:v>
      </x:c>
      <x:c r="R217" s="1" t="str">
        <x:v>N</x:v>
      </x:c>
      <x:c r="S217" s="1" t="n">
        <x:v>0</x:v>
      </x:c>
      <x:c r="T217" s="1" t="str">
        <x:v>합격</x:v>
      </x:c>
    </x:row>
    <x:row r="218" ht="22" customHeight="1">
      <x:c r="A218" s="1" t="str">
        <x:v>R00217</x:v>
      </x:c>
      <x:c r="B218" s="4" t="n">
        <x:v>46234.11143518519</x:v>
      </x:c>
      <x:c r="C218" s="1" t="str">
        <x:v>야간</x:v>
      </x:c>
      <x:c r="D218" s="1" t="str">
        <x:v>L1</x:v>
      </x:c>
      <x:c r="E218" s="1" t="str">
        <x:v>P1</x:v>
      </x:c>
      <x:c r="F218" s="1" t="str">
        <x:v>M04</x:v>
      </x:c>
      <x:c r="G218" s="1" t="str">
        <x:v>G01</x:v>
      </x:c>
      <x:c r="H218" s="5" t="n">
        <x:v>32.13</x:v>
      </x:c>
      <x:c r="I218" s="5" t="n">
        <x:v>5.92</x:v>
      </x:c>
      <x:c r="J218" s="5" t="n">
        <x:v>57.5</x:v>
      </x:c>
      <x:c r="K218" s="5" t="n">
        <x:v>41.5</x:v>
      </x:c>
      <x:c r="L218" s="5" t="n">
        <x:v>2.52</x:v>
      </x:c>
      <x:c r="M218" s="1" t="n">
        <x:v>0</x:v>
      </x:c>
      <x:c r="N218" s="6" t="n">
        <x:v>1.042</x:v>
      </x:c>
      <x:c r="O218" s="1" t="str">
        <x:v>합격</x:v>
      </x:c>
      <x:c r="P218" s="1"/>
      <x:c r="Q218" s="1" t="n">
        <x:v>40</x:v>
      </x:c>
      <x:c r="R218" s="1" t="str">
        <x:v>N</x:v>
      </x:c>
      <x:c r="S218" s="1" t="n">
        <x:v>0</x:v>
      </x:c>
      <x:c r="T218" s="1" t="str">
        <x:v>합격</x:v>
      </x:c>
    </x:row>
    <x:row r="219" ht="22" customHeight="1">
      <x:c r="A219" s="1" t="str">
        <x:v>R00218</x:v>
      </x:c>
      <x:c r="B219" s="4" t="n">
        <x:v>46204.10486111111</x:v>
      </x:c>
      <x:c r="C219" s="1" t="str">
        <x:v>야간</x:v>
      </x:c>
      <x:c r="D219" s="1" t="str">
        <x:v>L1</x:v>
      </x:c>
      <x:c r="E219" s="1" t="str">
        <x:v>P1</x:v>
      </x:c>
      <x:c r="F219" s="1" t="str">
        <x:v>M04</x:v>
      </x:c>
      <x:c r="G219" s="1" t="str">
        <x:v>G02</x:v>
      </x:c>
      <x:c r="H219" s="5" t="n">
        <x:v>30.85</x:v>
      </x:c>
      <x:c r="I219" s="5" t="n">
        <x:v>5.78</x:v>
      </x:c>
      <x:c r="J219" s="5" t="n">
        <x:v>49.2</x:v>
      </x:c>
      <x:c r="K219" s="5" t="n">
        <x:v>35.4</x:v>
      </x:c>
      <x:c r="L219" s="5" t="n">
        <x:v>1.83</x:v>
      </x:c>
      <x:c r="M219" s="1" t="n">
        <x:v>0</x:v>
      </x:c>
      <x:c r="N219" s="6" t="n">
        <x:v>0.866</x:v>
      </x:c>
      <x:c r="O219" s="1" t="str">
        <x:v>합격</x:v>
      </x:c>
      <x:c r="P219" s="1"/>
      <x:c r="Q219" s="1" t="n">
        <x:v>42</x:v>
      </x:c>
      <x:c r="R219" s="1" t="str">
        <x:v>N</x:v>
      </x:c>
      <x:c r="S219" s="1" t="n">
        <x:v>0</x:v>
      </x:c>
      <x:c r="T219" s="1" t="str">
        <x:v>합격</x:v>
      </x:c>
    </x:row>
    <x:row r="220" ht="22" customHeight="1">
      <x:c r="A220" s="1" t="str">
        <x:v>R00219</x:v>
      </x:c>
      <x:c r="B220" s="4" t="n">
        <x:v>46205.39142361111</x:v>
      </x:c>
      <x:c r="C220" s="1" t="str">
        <x:v>주간</x:v>
      </x:c>
      <x:c r="D220" s="1" t="str">
        <x:v>L1</x:v>
      </x:c>
      <x:c r="E220" s="1" t="str">
        <x:v>P1</x:v>
      </x:c>
      <x:c r="F220" s="1" t="str">
        <x:v>M01</x:v>
      </x:c>
      <x:c r="G220" s="1" t="str">
        <x:v>G03</x:v>
      </x:c>
      <x:c r="H220" s="5" t="n">
        <x:v>28.05</x:v>
      </x:c>
      <x:c r="I220" s="5" t="n">
        <x:v>5.65</x:v>
      </x:c>
      <x:c r="J220" s="5" t="n">
        <x:v>56.6</x:v>
      </x:c>
      <x:c r="K220" s="5" t="n">
        <x:v>38.8</x:v>
      </x:c>
      <x:c r="L220" s="5" t="n">
        <x:v>1.59</x:v>
      </x:c>
      <x:c r="M220" s="1" t="n">
        <x:v>0</x:v>
      </x:c>
      <x:c r="N220" s="6" t="n">
        <x:v>0.879</x:v>
      </x:c>
      <x:c r="O220" s="1" t="str">
        <x:v>합격</x:v>
      </x:c>
      <x:c r="P220" s="1"/>
      <x:c r="Q220" s="1" t="n">
        <x:v>43</x:v>
      </x:c>
      <x:c r="R220" s="1" t="str">
        <x:v>N</x:v>
      </x:c>
      <x:c r="S220" s="1" t="n">
        <x:v>0</x:v>
      </x:c>
      <x:c r="T220" s="1" t="str">
        <x:v>합격</x:v>
      </x:c>
    </x:row>
    <x:row r="221" ht="22" customHeight="1">
      <x:c r="A221" s="1" t="str">
        <x:v>R00220</x:v>
      </x:c>
      <x:c r="B221" s="4" t="n">
        <x:v>46206.59054398148</x:v>
      </x:c>
      <x:c r="C221" s="1" t="str">
        <x:v>주간</x:v>
      </x:c>
      <x:c r="D221" s="1" t="str">
        <x:v>L2</x:v>
      </x:c>
      <x:c r="E221" s="1" t="str">
        <x:v>P2</x:v>
      </x:c>
      <x:c r="F221" s="1" t="str">
        <x:v>M04</x:v>
      </x:c>
      <x:c r="G221" s="1" t="str">
        <x:v>G04</x:v>
      </x:c>
      <x:c r="H221" s="5" t="n">
        <x:v>29.33</x:v>
      </x:c>
      <x:c r="I221" s="5" t="n">
        <x:v>5.9</x:v>
      </x:c>
      <x:c r="J221" s="5" t="n">
        <x:v>58</x:v>
      </x:c>
      <x:c r="K221" s="5" t="n">
        <x:v>40.3</x:v>
      </x:c>
      <x:c r="L221" s="5" t="n">
        <x:v>2.44</x:v>
      </x:c>
      <x:c r="M221" s="1" t="n">
        <x:v>0</x:v>
      </x:c>
      <x:c r="N221" s="6" t="n">
        <x:v>0.878</x:v>
      </x:c>
      <x:c r="O221" s="1" t="str">
        <x:v>합격</x:v>
      </x:c>
      <x:c r="P221" s="1"/>
      <x:c r="Q221" s="1" t="n">
        <x:v>45</x:v>
      </x:c>
      <x:c r="R221" s="1" t="str">
        <x:v>N</x:v>
      </x:c>
      <x:c r="S221" s="1" t="n">
        <x:v>0</x:v>
      </x:c>
      <x:c r="T221" s="1" t="str">
        <x:v>합격</x:v>
      </x:c>
    </x:row>
    <x:row r="222" ht="22" customHeight="1">
      <x:c r="A222" s="1" t="str">
        <x:v>R00221</x:v>
      </x:c>
      <x:c r="B222" s="4" t="n">
        <x:v>46207.117951388886</x:v>
      </x:c>
      <x:c r="C222" s="1" t="str">
        <x:v>야간</x:v>
      </x:c>
      <x:c r="D222" s="1" t="str">
        <x:v>L2</x:v>
      </x:c>
      <x:c r="E222" s="1" t="str">
        <x:v>P2</x:v>
      </x:c>
      <x:c r="F222" s="1" t="str">
        <x:v>M01</x:v>
      </x:c>
      <x:c r="G222" s="1" t="str">
        <x:v>G05</x:v>
      </x:c>
      <x:c r="H222" s="5" t="n">
        <x:v>29.16</x:v>
      </x:c>
      <x:c r="I222" s="5" t="n">
        <x:v>5.81</x:v>
      </x:c>
      <x:c r="J222" s="5" t="n">
        <x:v>48.9</x:v>
      </x:c>
      <x:c r="K222" s="5" t="n">
        <x:v>41</x:v>
      </x:c>
      <x:c r="L222" s="5" t="n">
        <x:v>1.39</x:v>
      </x:c>
      <x:c r="M222" s="1" t="n">
        <x:v>0</x:v>
      </x:c>
      <x:c r="N222" s="6" t="n">
        <x:v>0.96</x:v>
      </x:c>
      <x:c r="O222" s="1" t="str">
        <x:v>합격</x:v>
      </x:c>
      <x:c r="P222" s="1"/>
      <x:c r="Q222" s="1" t="n">
        <x:v>39</x:v>
      </x:c>
      <x:c r="R222" s="1" t="str">
        <x:v>N</x:v>
      </x:c>
      <x:c r="S222" s="1" t="n">
        <x:v>0</x:v>
      </x:c>
      <x:c r="T222" s="1" t="str">
        <x:v>합격</x:v>
      </x:c>
    </x:row>
    <x:row r="223" ht="22" customHeight="1">
      <x:c r="A223" s="1" t="str">
        <x:v>R00222</x:v>
      </x:c>
      <x:c r="B223" s="4" t="n">
        <x:v>46208.3353125</x:v>
      </x:c>
      <x:c r="C223" s="1" t="str">
        <x:v>주간</x:v>
      </x:c>
      <x:c r="D223" s="1" t="str">
        <x:v>L2</x:v>
      </x:c>
      <x:c r="E223" s="1" t="str">
        <x:v>P2</x:v>
      </x:c>
      <x:c r="F223" s="1" t="str">
        <x:v>M04</x:v>
      </x:c>
      <x:c r="G223" s="1" t="str">
        <x:v>G06</x:v>
      </x:c>
      <x:c r="H223" s="5" t="n">
        <x:v>28.26</x:v>
      </x:c>
      <x:c r="I223" s="5" t="n">
        <x:v>5.69</x:v>
      </x:c>
      <x:c r="J223" s="5" t="n">
        <x:v>50.4</x:v>
      </x:c>
      <x:c r="K223" s="5" t="n">
        <x:v>38</x:v>
      </x:c>
      <x:c r="L223" s="5" t="n">
        <x:v>2.15</x:v>
      </x:c>
      <x:c r="M223" s="1" t="n">
        <x:v>1</x:v>
      </x:c>
      <x:c r="N223" s="6" t="n">
        <x:v>1.001</x:v>
      </x:c>
      <x:c r="O223" s="1" t="str">
        <x:v>합격</x:v>
      </x:c>
      <x:c r="P223" s="1"/>
      <x:c r="Q223" s="1" t="n">
        <x:v>42</x:v>
      </x:c>
      <x:c r="R223" s="1" t="str">
        <x:v>N</x:v>
      </x:c>
      <x:c r="S223" s="1" t="n">
        <x:v>0</x:v>
      </x:c>
      <x:c r="T223" s="1" t="str">
        <x:v>합격</x:v>
      </x:c>
    </x:row>
    <x:row r="224" ht="22" customHeight="1">
      <x:c r="A224" s="1" t="str">
        <x:v>R00223</x:v>
      </x:c>
      <x:c r="B224" s="4" t="n">
        <x:v>46209.64189814815</x:v>
      </x:c>
      <x:c r="C224" s="1" t="str">
        <x:v>주간</x:v>
      </x:c>
      <x:c r="D224" s="1" t="str">
        <x:v>L1</x:v>
      </x:c>
      <x:c r="E224" s="1" t="str">
        <x:v>P1</x:v>
      </x:c>
      <x:c r="F224" s="1" t="str">
        <x:v>M03</x:v>
      </x:c>
      <x:c r="G224" s="1" t="str">
        <x:v>G01</x:v>
      </x:c>
      <x:c r="H224" s="5" t="n">
        <x:v>29.99</x:v>
      </x:c>
      <x:c r="I224" s="5" t="n">
        <x:v>5.65</x:v>
      </x:c>
      <x:c r="J224" s="5" t="n">
        <x:v>50.2</x:v>
      </x:c>
      <x:c r="K224" s="5" t="n">
        <x:v>35.5</x:v>
      </x:c>
      <x:c r="L224" s="5" t="n">
        <x:v>2.17</x:v>
      </x:c>
      <x:c r="M224" s="1" t="n">
        <x:v>0</x:v>
      </x:c>
      <x:c r="N224" s="6" t="n">
        <x:v>0.985</x:v>
      </x:c>
      <x:c r="O224" s="1" t="str">
        <x:v>합격</x:v>
      </x:c>
      <x:c r="P224" s="1"/>
      <x:c r="Q224" s="1" t="n">
        <x:v>44</x:v>
      </x:c>
      <x:c r="R224" s="1" t="str">
        <x:v>N</x:v>
      </x:c>
      <x:c r="S224" s="1" t="n">
        <x:v>0</x:v>
      </x:c>
      <x:c r="T224" s="1" t="str">
        <x:v>합격</x:v>
      </x:c>
    </x:row>
    <x:row r="225" ht="22" customHeight="1">
      <x:c r="A225" s="1" t="str">
        <x:v>R00224</x:v>
      </x:c>
      <x:c r="B225" s="4" t="n">
        <x:v>46210.952511574076</x:v>
      </x:c>
      <x:c r="C225" s="1" t="str">
        <x:v>야간</x:v>
      </x:c>
      <x:c r="D225" s="1" t="str">
        <x:v>L1</x:v>
      </x:c>
      <x:c r="E225" s="1" t="str">
        <x:v>P1</x:v>
      </x:c>
      <x:c r="F225" s="1" t="str">
        <x:v>M04</x:v>
      </x:c>
      <x:c r="G225" s="1" t="str">
        <x:v>G02</x:v>
      </x:c>
      <x:c r="H225" s="5" t="n">
        <x:v>30.18</x:v>
      </x:c>
      <x:c r="I225" s="5" t="n">
        <x:v>5.62</x:v>
      </x:c>
      <x:c r="J225" s="5" t="n">
        <x:v>57.5</x:v>
      </x:c>
      <x:c r="K225" s="5" t="n">
        <x:v>38.6</x:v>
      </x:c>
      <x:c r="L225" s="5" t="n">
        <x:v>2.47</x:v>
      </x:c>
      <x:c r="M225" s="1" t="n">
        <x:v>1</x:v>
      </x:c>
      <x:c r="N225" s="6" t="n">
        <x:v>0.892</x:v>
      </x:c>
      <x:c r="O225" s="1" t="str">
        <x:v>합격</x:v>
      </x:c>
      <x:c r="P225" s="1"/>
      <x:c r="Q225" s="1" t="n">
        <x:v>35</x:v>
      </x:c>
      <x:c r="R225" s="1" t="str">
        <x:v>N</x:v>
      </x:c>
      <x:c r="S225" s="1" t="n">
        <x:v>0</x:v>
      </x:c>
      <x:c r="T225" s="1" t="str">
        <x:v>합격</x:v>
      </x:c>
    </x:row>
    <x:row r="226" ht="22" customHeight="1">
      <x:c r="A226" s="1" t="str">
        <x:v>R00225</x:v>
      </x:c>
      <x:c r="B226" s="4" t="n">
        <x:v>46211.97740740741</x:v>
      </x:c>
      <x:c r="C226" s="1" t="str">
        <x:v>야간</x:v>
      </x:c>
      <x:c r="D226" s="1" t="str">
        <x:v>L1</x:v>
      </x:c>
      <x:c r="E226" s="1" t="str">
        <x:v>P1</x:v>
      </x:c>
      <x:c r="F226" s="1" t="str">
        <x:v>M03</x:v>
      </x:c>
      <x:c r="G226" s="1" t="str">
        <x:v>G03</x:v>
      </x:c>
      <x:c r="H226" s="5" t="n">
        <x:v>27.83</x:v>
      </x:c>
      <x:c r="I226" s="5" t="n">
        <x:v>5.86</x:v>
      </x:c>
      <x:c r="J226" s="5" t="n">
        <x:v>51.2</x:v>
      </x:c>
      <x:c r="K226" s="5" t="n">
        <x:v>40.3</x:v>
      </x:c>
      <x:c r="L226" s="5" t="n">
        <x:v>2.32</x:v>
      </x:c>
      <x:c r="M226" s="1" t="n">
        <x:v>1</x:v>
      </x:c>
      <x:c r="N226" s="6" t="n">
        <x:v>0.955</x:v>
      </x:c>
      <x:c r="O226" s="1" t="str">
        <x:v>합격</x:v>
      </x:c>
      <x:c r="P226" s="1"/>
      <x:c r="Q226" s="1" t="n">
        <x:v>49</x:v>
      </x:c>
      <x:c r="R226" s="1" t="str">
        <x:v>N</x:v>
      </x:c>
      <x:c r="S226" s="1" t="n">
        <x:v>0</x:v>
      </x:c>
      <x:c r="T226" s="1" t="str">
        <x:v>합격</x:v>
      </x:c>
    </x:row>
    <x:row r="227" ht="22" customHeight="1">
      <x:c r="A227" s="1" t="str">
        <x:v>R00226</x:v>
      </x:c>
      <x:c r="B227" s="4" t="n">
        <x:v>46212.960694444446</x:v>
      </x:c>
      <x:c r="C227" s="1" t="str">
        <x:v>야간</x:v>
      </x:c>
      <x:c r="D227" s="1" t="str">
        <x:v>L1</x:v>
      </x:c>
      <x:c r="E227" s="1" t="str">
        <x:v>P1</x:v>
      </x:c>
      <x:c r="F227" s="1" t="str">
        <x:v>M03</x:v>
      </x:c>
      <x:c r="G227" s="1" t="str">
        <x:v>G04</x:v>
      </x:c>
      <x:c r="H227" s="5" t="n">
        <x:v>26.2</x:v>
      </x:c>
      <x:c r="I227" s="5" t="n">
        <x:v>5.66</x:v>
      </x:c>
      <x:c r="J227" s="5" t="n">
        <x:v>53.4</x:v>
      </x:c>
      <x:c r="K227" s="5" t="n">
        <x:v>36.7</x:v>
      </x:c>
      <x:c r="L227" s="5" t="n">
        <x:v>2.48</x:v>
      </x:c>
      <x:c r="M227" s="1" t="n">
        <x:v>1</x:v>
      </x:c>
      <x:c r="N227" s="6" t="n">
        <x:v>0.94</x:v>
      </x:c>
      <x:c r="O227" s="1" t="str">
        <x:v>합격</x:v>
      </x:c>
      <x:c r="P227" s="1"/>
      <x:c r="Q227" s="1" t="n">
        <x:v>35</x:v>
      </x:c>
      <x:c r="R227" s="1" t="str">
        <x:v>N</x:v>
      </x:c>
      <x:c r="S227" s="1" t="n">
        <x:v>0</x:v>
      </x:c>
      <x:c r="T227" s="1" t="str">
        <x:v>합격</x:v>
      </x:c>
    </x:row>
    <x:row r="228" ht="22" customHeight="1">
      <x:c r="A228" s="1" t="str">
        <x:v>R00227</x:v>
      </x:c>
      <x:c r="B228" s="4" t="n">
        <x:v>46213.039513888885</x:v>
      </x:c>
      <x:c r="C228" s="1" t="str">
        <x:v>야간</x:v>
      </x:c>
      <x:c r="D228" s="1" t="str">
        <x:v>L1</x:v>
      </x:c>
      <x:c r="E228" s="1" t="str">
        <x:v>P1</x:v>
      </x:c>
      <x:c r="F228" s="1" t="str">
        <x:v>M03</x:v>
      </x:c>
      <x:c r="G228" s="1" t="str">
        <x:v>G05</x:v>
      </x:c>
      <x:c r="H228" s="5" t="n">
        <x:v>33.27</x:v>
      </x:c>
      <x:c r="I228" s="5" t="n">
        <x:v>5.91</x:v>
      </x:c>
      <x:c r="J228" s="5" t="n">
        <x:v>50.7</x:v>
      </x:c>
      <x:c r="K228" s="5" t="n">
        <x:v>41.7</x:v>
      </x:c>
      <x:c r="L228" s="5" t="n">
        <x:v>2.7</x:v>
      </x:c>
      <x:c r="M228" s="1" t="n">
        <x:v>0</x:v>
      </x:c>
      <x:c r="N228" s="6" t="n">
        <x:v>1.011</x:v>
      </x:c>
      <x:c r="O228" s="1" t="str">
        <x:v>합격</x:v>
      </x:c>
      <x:c r="P228" s="1"/>
      <x:c r="Q228" s="1" t="n">
        <x:v>46</x:v>
      </x:c>
      <x:c r="R228" s="1" t="str">
        <x:v>N</x:v>
      </x:c>
      <x:c r="S228" s="1" t="n">
        <x:v>0</x:v>
      </x:c>
      <x:c r="T228" s="1" t="str">
        <x:v>합격</x:v>
      </x:c>
    </x:row>
    <x:row r="229" ht="22" customHeight="1">
      <x:c r="A229" s="1" t="str">
        <x:v>R00228</x:v>
      </x:c>
      <x:c r="B229" s="4" t="n">
        <x:v>46214.90604166667</x:v>
      </x:c>
      <x:c r="C229" s="1" t="str">
        <x:v>야간</x:v>
      </x:c>
      <x:c r="D229" s="1" t="str">
        <x:v>L2</x:v>
      </x:c>
      <x:c r="E229" s="1" t="str">
        <x:v>P2</x:v>
      </x:c>
      <x:c r="F229" s="1" t="str">
        <x:v>M02</x:v>
      </x:c>
      <x:c r="G229" s="1" t="str">
        <x:v>G06</x:v>
      </x:c>
      <x:c r="H229" s="5" t="n">
        <x:v>27.92</x:v>
      </x:c>
      <x:c r="I229" s="5" t="n">
        <x:v>5.65</x:v>
      </x:c>
      <x:c r="J229" s="5" t="n">
        <x:v>49.6</x:v>
      </x:c>
      <x:c r="K229" s="5" t="n">
        <x:v>37.4</x:v>
      </x:c>
      <x:c r="L229" s="5" t="n">
        <x:v>1.48</x:v>
      </x:c>
      <x:c r="M229" s="1" t="n">
        <x:v>0</x:v>
      </x:c>
      <x:c r="N229" s="6" t="n">
        <x:v>0.999</x:v>
      </x:c>
      <x:c r="O229" s="1" t="str">
        <x:v>합격</x:v>
      </x:c>
      <x:c r="P229" s="1"/>
      <x:c r="Q229" s="1" t="n">
        <x:v>36</x:v>
      </x:c>
      <x:c r="R229" s="1" t="str">
        <x:v>N</x:v>
      </x:c>
      <x:c r="S229" s="1" t="n">
        <x:v>0</x:v>
      </x:c>
      <x:c r="T229" s="1" t="str">
        <x:v>합격</x:v>
      </x:c>
    </x:row>
    <x:row r="230" ht="22" customHeight="1">
      <x:c r="A230" s="1" t="str">
        <x:v>R00229</x:v>
      </x:c>
      <x:c r="B230" s="4" t="n">
        <x:v>46215.841840277775</x:v>
      </x:c>
      <x:c r="C230" s="1" t="str">
        <x:v>야간</x:v>
      </x:c>
      <x:c r="D230" s="1" t="str">
        <x:v>L1</x:v>
      </x:c>
      <x:c r="E230" s="1" t="str">
        <x:v>P1</x:v>
      </x:c>
      <x:c r="F230" s="1" t="str">
        <x:v>M04</x:v>
      </x:c>
      <x:c r="G230" s="1" t="str">
        <x:v>G01</x:v>
      </x:c>
      <x:c r="H230" s="5" t="n">
        <x:v>27.72</x:v>
      </x:c>
      <x:c r="I230" s="5" t="n">
        <x:v>5.88</x:v>
      </x:c>
      <x:c r="J230" s="5" t="n">
        <x:v>53.9</x:v>
      </x:c>
      <x:c r="K230" s="5" t="n">
        <x:v>35.5</x:v>
      </x:c>
      <x:c r="L230" s="5" t="n">
        <x:v>2.29</x:v>
      </x:c>
      <x:c r="M230" s="1" t="n">
        <x:v>1</x:v>
      </x:c>
      <x:c r="N230" s="6" t="n">
        <x:v>0.962</x:v>
      </x:c>
      <x:c r="O230" s="1" t="str">
        <x:v>합격</x:v>
      </x:c>
      <x:c r="P230" s="1"/>
      <x:c r="Q230" s="1" t="n">
        <x:v>38</x:v>
      </x:c>
      <x:c r="R230" s="1" t="str">
        <x:v>N</x:v>
      </x:c>
      <x:c r="S230" s="1" t="n">
        <x:v>0</x:v>
      </x:c>
      <x:c r="T230" s="1" t="str">
        <x:v>합격</x:v>
      </x:c>
    </x:row>
    <x:row r="231" ht="22" customHeight="1">
      <x:c r="A231" s="1" t="str">
        <x:v>R00230</x:v>
      </x:c>
      <x:c r="B231" s="4" t="n">
        <x:v>46216.953310185185</x:v>
      </x:c>
      <x:c r="C231" s="1" t="str">
        <x:v>야간</x:v>
      </x:c>
      <x:c r="D231" s="1" t="str">
        <x:v>L1</x:v>
      </x:c>
      <x:c r="E231" s="1" t="str">
        <x:v>P1</x:v>
      </x:c>
      <x:c r="F231" s="1" t="str">
        <x:v>M03</x:v>
      </x:c>
      <x:c r="G231" s="1" t="str">
        <x:v>G02</x:v>
      </x:c>
      <x:c r="H231" s="5" t="n">
        <x:v>26.27</x:v>
      </x:c>
      <x:c r="I231" s="5" t="n">
        <x:v>5.74</x:v>
      </x:c>
      <x:c r="J231" s="5" t="n">
        <x:v>50.7</x:v>
      </x:c>
      <x:c r="K231" s="5" t="n">
        <x:v>40.7</x:v>
      </x:c>
      <x:c r="L231" s="5" t="n">
        <x:v>1.77</x:v>
      </x:c>
      <x:c r="M231" s="1" t="n">
        <x:v>0</x:v>
      </x:c>
      <x:c r="N231" s="6" t="n">
        <x:v>0.997</x:v>
      </x:c>
      <x:c r="O231" s="1" t="str">
        <x:v>합격</x:v>
      </x:c>
      <x:c r="P231" s="1"/>
      <x:c r="Q231" s="1" t="n">
        <x:v>49</x:v>
      </x:c>
      <x:c r="R231" s="1" t="str">
        <x:v>N</x:v>
      </x:c>
      <x:c r="S231" s="1" t="n">
        <x:v>0</x:v>
      </x:c>
      <x:c r="T231" s="1" t="str">
        <x:v>합격</x:v>
      </x:c>
    </x:row>
    <x:row r="232" ht="22" customHeight="1">
      <x:c r="A232" s="1" t="str">
        <x:v>R00231</x:v>
      </x:c>
      <x:c r="B232" s="4" t="n">
        <x:v>46217.53414351852</x:v>
      </x:c>
      <x:c r="C232" s="1" t="str">
        <x:v>주간</x:v>
      </x:c>
      <x:c r="D232" s="1" t="str">
        <x:v>L1</x:v>
      </x:c>
      <x:c r="E232" s="1" t="str">
        <x:v>P1</x:v>
      </x:c>
      <x:c r="F232" s="1" t="str">
        <x:v>M01</x:v>
      </x:c>
      <x:c r="G232" s="1" t="str">
        <x:v>G03</x:v>
      </x:c>
      <x:c r="H232" s="5" t="n">
        <x:v>32.43</x:v>
      </x:c>
      <x:c r="I232" s="5" t="n">
        <x:v>5.71</x:v>
      </x:c>
      <x:c r="J232" s="5" t="n">
        <x:v>53.9</x:v>
      </x:c>
      <x:c r="K232" s="5" t="n">
        <x:v>41.1</x:v>
      </x:c>
      <x:c r="L232" s="5" t="n">
        <x:v>2.22</x:v>
      </x:c>
      <x:c r="M232" s="1" t="n">
        <x:v>1</x:v>
      </x:c>
      <x:c r="N232" s="6" t="n">
        <x:v>0.905</x:v>
      </x:c>
      <x:c r="O232" s="1" t="str">
        <x:v>합격</x:v>
      </x:c>
      <x:c r="P232" s="1"/>
      <x:c r="Q232" s="1" t="n">
        <x:v>48</x:v>
      </x:c>
      <x:c r="R232" s="1" t="str">
        <x:v>N</x:v>
      </x:c>
      <x:c r="S232" s="1" t="n">
        <x:v>0</x:v>
      </x:c>
      <x:c r="T232" s="1" t="str">
        <x:v>합격</x:v>
      </x:c>
    </x:row>
    <x:row r="233" ht="22" customHeight="1">
      <x:c r="A233" s="1" t="str">
        <x:v>R00232</x:v>
      </x:c>
      <x:c r="B233" s="4" t="n">
        <x:v>46218.624560185184</x:v>
      </x:c>
      <x:c r="C233" s="1" t="str">
        <x:v>주간</x:v>
      </x:c>
      <x:c r="D233" s="1" t="str">
        <x:v>L2</x:v>
      </x:c>
      <x:c r="E233" s="1" t="str">
        <x:v>P2</x:v>
      </x:c>
      <x:c r="F233" s="1" t="str">
        <x:v>M02</x:v>
      </x:c>
      <x:c r="G233" s="1" t="str">
        <x:v>G04</x:v>
      </x:c>
      <x:c r="H233" s="5" t="n">
        <x:v>29.68</x:v>
      </x:c>
      <x:c r="I233" s="5" t="n">
        <x:v>5.63</x:v>
      </x:c>
      <x:c r="J233" s="5" t="n">
        <x:v>50.7</x:v>
      </x:c>
      <x:c r="K233" s="5" t="n">
        <x:v>41.1</x:v>
      </x:c>
      <x:c r="L233" s="5" t="n">
        <x:v>1.48</x:v>
      </x:c>
      <x:c r="M233" s="1" t="n">
        <x:v>0</x:v>
      </x:c>
      <x:c r="N233" s="6" t="n">
        <x:v>0.889</x:v>
      </x:c>
      <x:c r="O233" s="1" t="str">
        <x:v>합격</x:v>
      </x:c>
      <x:c r="P233" s="1"/>
      <x:c r="Q233" s="1" t="n">
        <x:v>49</x:v>
      </x:c>
      <x:c r="R233" s="1" t="str">
        <x:v>N</x:v>
      </x:c>
      <x:c r="S233" s="1" t="n">
        <x:v>0</x:v>
      </x:c>
      <x:c r="T233" s="1" t="str">
        <x:v>합격</x:v>
      </x:c>
    </x:row>
    <x:row r="234" ht="22" customHeight="1">
      <x:c r="A234" s="1" t="str">
        <x:v>R00233</x:v>
      </x:c>
      <x:c r="B234" s="4" t="n">
        <x:v>46219.56922453704</x:v>
      </x:c>
      <x:c r="C234" s="1" t="str">
        <x:v>주간</x:v>
      </x:c>
      <x:c r="D234" s="1" t="str">
        <x:v>L1</x:v>
      </x:c>
      <x:c r="E234" s="1" t="str">
        <x:v>P1</x:v>
      </x:c>
      <x:c r="F234" s="1" t="str">
        <x:v>M01</x:v>
      </x:c>
      <x:c r="G234" s="1" t="str">
        <x:v>G05</x:v>
      </x:c>
      <x:c r="H234" s="5" t="n">
        <x:v>29.03</x:v>
      </x:c>
      <x:c r="I234" s="5" t="n">
        <x:v>5.77</x:v>
      </x:c>
      <x:c r="J234" s="5" t="n">
        <x:v>53.9</x:v>
      </x:c>
      <x:c r="K234" s="5" t="n">
        <x:v>41</x:v>
      </x:c>
      <x:c r="L234" s="5" t="n">
        <x:v>2.4</x:v>
      </x:c>
      <x:c r="M234" s="1" t="n">
        <x:v>0</x:v>
      </x:c>
      <x:c r="N234" s="6" t="n">
        <x:v>0.911</x:v>
      </x:c>
      <x:c r="O234" s="1" t="str">
        <x:v>합격</x:v>
      </x:c>
      <x:c r="P234" s="1"/>
      <x:c r="Q234" s="1" t="n">
        <x:v>46</x:v>
      </x:c>
      <x:c r="R234" s="1" t="str">
        <x:v>N</x:v>
      </x:c>
      <x:c r="S234" s="1" t="n">
        <x:v>0</x:v>
      </x:c>
      <x:c r="T234" s="1" t="str">
        <x:v>합격</x:v>
      </x:c>
    </x:row>
    <x:row r="235" ht="22" customHeight="1">
      <x:c r="A235" s="1" t="str">
        <x:v>R00234</x:v>
      </x:c>
      <x:c r="B235" s="4" t="n">
        <x:v>46220.87515046296</x:v>
      </x:c>
      <x:c r="C235" s="1" t="str">
        <x:v>야간</x:v>
      </x:c>
      <x:c r="D235" s="1" t="str">
        <x:v>L1</x:v>
      </x:c>
      <x:c r="E235" s="1" t="str">
        <x:v>P1</x:v>
      </x:c>
      <x:c r="F235" s="1" t="str">
        <x:v>M03</x:v>
      </x:c>
      <x:c r="G235" s="1" t="str">
        <x:v>G06</x:v>
      </x:c>
      <x:c r="H235" s="5" t="n">
        <x:v>26.79</x:v>
      </x:c>
      <x:c r="I235" s="5" t="n">
        <x:v>5.99</x:v>
      </x:c>
      <x:c r="J235" s="5" t="n">
        <x:v>49.7</x:v>
      </x:c>
      <x:c r="K235" s="5" t="n">
        <x:v>40.2</x:v>
      </x:c>
      <x:c r="L235" s="5" t="n">
        <x:v>1.89</x:v>
      </x:c>
      <x:c r="M235" s="1" t="n">
        <x:v>1</x:v>
      </x:c>
      <x:c r="N235" s="6" t="n">
        <x:v>1.035</x:v>
      </x:c>
      <x:c r="O235" s="1" t="str">
        <x:v>합격</x:v>
      </x:c>
      <x:c r="P235" s="1"/>
      <x:c r="Q235" s="1" t="n">
        <x:v>37</x:v>
      </x:c>
      <x:c r="R235" s="1" t="str">
        <x:v>N</x:v>
      </x:c>
      <x:c r="S235" s="1" t="n">
        <x:v>0</x:v>
      </x:c>
      <x:c r="T235" s="1" t="str">
        <x:v>합격</x:v>
      </x:c>
    </x:row>
    <x:row r="236" ht="22" customHeight="1">
      <x:c r="A236" s="1" t="str">
        <x:v>R00235</x:v>
      </x:c>
      <x:c r="B236" s="4" t="n">
        <x:v>46221.50315972222</x:v>
      </x:c>
      <x:c r="C236" s="1" t="str">
        <x:v>주간</x:v>
      </x:c>
      <x:c r="D236" s="1" t="str">
        <x:v>L2</x:v>
      </x:c>
      <x:c r="E236" s="1" t="str">
        <x:v>P2</x:v>
      </x:c>
      <x:c r="F236" s="1" t="str">
        <x:v>M02</x:v>
      </x:c>
      <x:c r="G236" s="1" t="str">
        <x:v>G01</x:v>
      </x:c>
      <x:c r="H236" s="5" t="n">
        <x:v>29.06</x:v>
      </x:c>
      <x:c r="I236" s="5" t="n">
        <x:v>5.81</x:v>
      </x:c>
      <x:c r="J236" s="5" t="n">
        <x:v>52.9</x:v>
      </x:c>
      <x:c r="K236" s="5" t="n">
        <x:v>36.1</x:v>
      </x:c>
      <x:c r="L236" s="5" t="n">
        <x:v>1.62</x:v>
      </x:c>
      <x:c r="M236" s="1" t="n">
        <x:v>0</x:v>
      </x:c>
      <x:c r="N236" s="6" t="n">
        <x:v>0.908</x:v>
      </x:c>
      <x:c r="O236" s="1" t="str">
        <x:v>합격</x:v>
      </x:c>
      <x:c r="P236" s="1"/>
      <x:c r="Q236" s="1" t="n">
        <x:v>45</x:v>
      </x:c>
      <x:c r="R236" s="1" t="str">
        <x:v>N</x:v>
      </x:c>
      <x:c r="S236" s="1" t="n">
        <x:v>0</x:v>
      </x:c>
      <x:c r="T236" s="1" t="str">
        <x:v>합격</x:v>
      </x:c>
    </x:row>
    <x:row r="237" ht="22" customHeight="1">
      <x:c r="A237" s="1" t="str">
        <x:v>R00236</x:v>
      </x:c>
      <x:c r="B237" s="4" t="n">
        <x:v>46222.46173611111</x:v>
      </x:c>
      <x:c r="C237" s="1" t="str">
        <x:v>주간</x:v>
      </x:c>
      <x:c r="D237" s="1" t="str">
        <x:v>L1</x:v>
      </x:c>
      <x:c r="E237" s="1" t="str">
        <x:v>P1</x:v>
      </x:c>
      <x:c r="F237" s="1" t="str">
        <x:v>M03</x:v>
      </x:c>
      <x:c r="G237" s="1" t="str">
        <x:v>G02</x:v>
      </x:c>
      <x:c r="H237" s="5" t="n">
        <x:v>29.96</x:v>
      </x:c>
      <x:c r="I237" s="5" t="n">
        <x:v>5.94</x:v>
      </x:c>
      <x:c r="J237" s="5" t="n">
        <x:v>51.8</x:v>
      </x:c>
      <x:c r="K237" s="5" t="n">
        <x:v>39.3</x:v>
      </x:c>
      <x:c r="L237" s="5" t="n">
        <x:v>1.78</x:v>
      </x:c>
      <x:c r="M237" s="1" t="n">
        <x:v>0</x:v>
      </x:c>
      <x:c r="N237" s="6" t="n">
        <x:v>0.87</x:v>
      </x:c>
      <x:c r="O237" s="1" t="str">
        <x:v>합격</x:v>
      </x:c>
      <x:c r="P237" s="1"/>
      <x:c r="Q237" s="1" t="n">
        <x:v>42</x:v>
      </x:c>
      <x:c r="R237" s="1" t="str">
        <x:v>N</x:v>
      </x:c>
      <x:c r="S237" s="1" t="n">
        <x:v>0</x:v>
      </x:c>
      <x:c r="T237" s="1" t="str">
        <x:v>합격</x:v>
      </x:c>
    </x:row>
    <x:row r="238" ht="22" customHeight="1">
      <x:c r="A238" s="1" t="str">
        <x:v>R00237</x:v>
      </x:c>
      <x:c r="B238" s="4" t="n">
        <x:v>46223.14601851852</x:v>
      </x:c>
      <x:c r="C238" s="1" t="str">
        <x:v>야간</x:v>
      </x:c>
      <x:c r="D238" s="1" t="str">
        <x:v>L1</x:v>
      </x:c>
      <x:c r="E238" s="1" t="str">
        <x:v>P1</x:v>
      </x:c>
      <x:c r="F238" s="1" t="str">
        <x:v>M04</x:v>
      </x:c>
      <x:c r="G238" s="1" t="str">
        <x:v>G03</x:v>
      </x:c>
      <x:c r="H238" s="5" t="n">
        <x:v>30.86</x:v>
      </x:c>
      <x:c r="I238" s="5" t="n">
        <x:v>5.94</x:v>
      </x:c>
      <x:c r="J238" s="5" t="n">
        <x:v>56.5</x:v>
      </x:c>
      <x:c r="K238" s="5" t="n">
        <x:v>41.3</x:v>
      </x:c>
      <x:c r="L238" s="5" t="n">
        <x:v>2.06</x:v>
      </x:c>
      <x:c r="M238" s="1" t="n">
        <x:v>1</x:v>
      </x:c>
      <x:c r="N238" s="6" t="n">
        <x:v>0.89</x:v>
      </x:c>
      <x:c r="O238" s="1" t="str">
        <x:v>합격</x:v>
      </x:c>
      <x:c r="P238" s="1"/>
      <x:c r="Q238" s="1" t="n">
        <x:v>49</x:v>
      </x:c>
      <x:c r="R238" s="1" t="str">
        <x:v>N</x:v>
      </x:c>
      <x:c r="S238" s="1" t="n">
        <x:v>0</x:v>
      </x:c>
      <x:c r="T238" s="1" t="str">
        <x:v>합격</x:v>
      </x:c>
    </x:row>
    <x:row r="239" ht="22" customHeight="1">
      <x:c r="A239" s="1" t="str">
        <x:v>R00238</x:v>
      </x:c>
      <x:c r="B239" s="4" t="n">
        <x:v>46224.86790509259</x:v>
      </x:c>
      <x:c r="C239" s="1" t="str">
        <x:v>야간</x:v>
      </x:c>
      <x:c r="D239" s="1" t="str">
        <x:v>L1</x:v>
      </x:c>
      <x:c r="E239" s="1" t="str">
        <x:v>P1</x:v>
      </x:c>
      <x:c r="F239" s="1" t="str">
        <x:v>M04</x:v>
      </x:c>
      <x:c r="G239" s="1" t="str">
        <x:v>G04</x:v>
      </x:c>
      <x:c r="H239" s="5" t="n">
        <x:v>29.27</x:v>
      </x:c>
      <x:c r="I239" s="5" t="n">
        <x:v>5.98</x:v>
      </x:c>
      <x:c r="J239" s="5" t="n">
        <x:v>54.9</x:v>
      </x:c>
      <x:c r="K239" s="5" t="n">
        <x:v>35.2</x:v>
      </x:c>
      <x:c r="L239" s="5" t="n">
        <x:v>1.6</x:v>
      </x:c>
      <x:c r="M239" s="1" t="n">
        <x:v>0</x:v>
      </x:c>
      <x:c r="N239" s="6" t="n">
        <x:v>0.9</x:v>
      </x:c>
      <x:c r="O239" s="1" t="str">
        <x:v>합격</x:v>
      </x:c>
      <x:c r="P239" s="1"/>
      <x:c r="Q239" s="1" t="n">
        <x:v>38</x:v>
      </x:c>
      <x:c r="R239" s="1" t="str">
        <x:v>N</x:v>
      </x:c>
      <x:c r="S239" s="1" t="n">
        <x:v>0</x:v>
      </x:c>
      <x:c r="T239" s="1" t="str">
        <x:v>합격</x:v>
      </x:c>
    </x:row>
    <x:row r="240" ht="22" customHeight="1">
      <x:c r="A240" s="1" t="str">
        <x:v>R00239</x:v>
      </x:c>
      <x:c r="B240" s="4" t="n">
        <x:v>46225.04331018519</x:v>
      </x:c>
      <x:c r="C240" s="1" t="str">
        <x:v>야간</x:v>
      </x:c>
      <x:c r="D240" s="1" t="str">
        <x:v>L2</x:v>
      </x:c>
      <x:c r="E240" s="1" t="str">
        <x:v>P2</x:v>
      </x:c>
      <x:c r="F240" s="1" t="str">
        <x:v>M01</x:v>
      </x:c>
      <x:c r="G240" s="1" t="str">
        <x:v>G05</x:v>
      </x:c>
      <x:c r="H240" s="5" t="n">
        <x:v>29.92</x:v>
      </x:c>
      <x:c r="I240" s="5" t="n">
        <x:v>5.85</x:v>
      </x:c>
      <x:c r="J240" s="5" t="n">
        <x:v>58</x:v>
      </x:c>
      <x:c r="K240" s="5" t="n">
        <x:v>38.5</x:v>
      </x:c>
      <x:c r="L240" s="5" t="n">
        <x:v>1.76</x:v>
      </x:c>
      <x:c r="M240" s="1" t="n">
        <x:v>0</x:v>
      </x:c>
      <x:c r="N240" s="6" t="n">
        <x:v>1.036</x:v>
      </x:c>
      <x:c r="O240" s="1" t="str">
        <x:v>합격</x:v>
      </x:c>
      <x:c r="P240" s="1"/>
      <x:c r="Q240" s="1" t="n">
        <x:v>48</x:v>
      </x:c>
      <x:c r="R240" s="1" t="str">
        <x:v>N</x:v>
      </x:c>
      <x:c r="S240" s="1" t="n">
        <x:v>0</x:v>
      </x:c>
      <x:c r="T240" s="1" t="str">
        <x:v>합격</x:v>
      </x:c>
    </x:row>
    <x:row r="241" ht="22" customHeight="1">
      <x:c r="A241" s="1" t="str">
        <x:v>R00240</x:v>
      </x:c>
      <x:c r="B241" s="4" t="n">
        <x:v>46226.916979166665</x:v>
      </x:c>
      <x:c r="C241" s="1" t="str">
        <x:v>야간</x:v>
      </x:c>
      <x:c r="D241" s="1" t="str">
        <x:v>L1</x:v>
      </x:c>
      <x:c r="E241" s="1" t="str">
        <x:v>P1</x:v>
      </x:c>
      <x:c r="F241" s="1" t="str">
        <x:v>M03</x:v>
      </x:c>
      <x:c r="G241" s="1" t="str">
        <x:v>G06</x:v>
      </x:c>
      <x:c r="H241" s="5" t="n">
        <x:v>26.31</x:v>
      </x:c>
      <x:c r="I241" s="5" t="n">
        <x:v>5.77</x:v>
      </x:c>
      <x:c r="J241" s="5" t="n">
        <x:v>54</x:v>
      </x:c>
      <x:c r="K241" s="5" t="n">
        <x:v>37.4</x:v>
      </x:c>
      <x:c r="L241" s="5" t="n">
        <x:v>1.93</x:v>
      </x:c>
      <x:c r="M241" s="1" t="n">
        <x:v>1</x:v>
      </x:c>
      <x:c r="N241" s="6" t="n">
        <x:v>0.859</x:v>
      </x:c>
      <x:c r="O241" s="1" t="str">
        <x:v>합격</x:v>
      </x:c>
      <x:c r="P241" s="1"/>
      <x:c r="Q241" s="1" t="n">
        <x:v>42</x:v>
      </x:c>
      <x:c r="R241" s="1" t="str">
        <x:v>N</x:v>
      </x:c>
      <x:c r="S241" s="1" t="n">
        <x:v>0</x:v>
      </x:c>
      <x:c r="T241" s="1" t="str">
        <x:v>합격</x:v>
      </x:c>
    </x:row>
    <x:row r="242" ht="22" customHeight="1">
      <x:c r="A242" s="1" t="str">
        <x:v>R00241</x:v>
      </x:c>
      <x:c r="B242" s="4" t="n">
        <x:v>46227.92707175926</x:v>
      </x:c>
      <x:c r="C242" s="1" t="str">
        <x:v>야간</x:v>
      </x:c>
      <x:c r="D242" s="1" t="str">
        <x:v>L1</x:v>
      </x:c>
      <x:c r="E242" s="1" t="str">
        <x:v>P1</x:v>
      </x:c>
      <x:c r="F242" s="1" t="str">
        <x:v>M04</x:v>
      </x:c>
      <x:c r="G242" s="1" t="str">
        <x:v>G01</x:v>
      </x:c>
      <x:c r="H242" s="5" t="n">
        <x:v>32.03</x:v>
      </x:c>
      <x:c r="I242" s="5" t="n">
        <x:v>5.83</x:v>
      </x:c>
      <x:c r="J242" s="5" t="n">
        <x:v>49.3</x:v>
      </x:c>
      <x:c r="K242" s="5" t="n">
        <x:v>36</x:v>
      </x:c>
      <x:c r="L242" s="5" t="n">
        <x:v>1.63</x:v>
      </x:c>
      <x:c r="M242" s="1" t="n">
        <x:v>1</x:v>
      </x:c>
      <x:c r="N242" s="6" t="n">
        <x:v>0.979</x:v>
      </x:c>
      <x:c r="O242" s="1" t="str">
        <x:v>합격</x:v>
      </x:c>
      <x:c r="P242" s="1"/>
      <x:c r="Q242" s="1" t="n">
        <x:v>49</x:v>
      </x:c>
      <x:c r="R242" s="1" t="str">
        <x:v>N</x:v>
      </x:c>
      <x:c r="S242" s="1" t="n">
        <x:v>0</x:v>
      </x:c>
      <x:c r="T242" s="1" t="str">
        <x:v>합격</x:v>
      </x:c>
    </x:row>
    <x:row r="243" ht="22" customHeight="1">
      <x:c r="A243" s="1" t="str">
        <x:v>R00242</x:v>
      </x:c>
      <x:c r="B243" s="4" t="n">
        <x:v>46228.94751157407</x:v>
      </x:c>
      <x:c r="C243" s="1" t="str">
        <x:v>야간</x:v>
      </x:c>
      <x:c r="D243" s="1" t="str">
        <x:v>L2</x:v>
      </x:c>
      <x:c r="E243" s="1" t="str">
        <x:v>P2</x:v>
      </x:c>
      <x:c r="F243" s="1" t="str">
        <x:v>M01</x:v>
      </x:c>
      <x:c r="G243" s="1" t="str">
        <x:v>G02</x:v>
      </x:c>
      <x:c r="H243" s="5" t="n">
        <x:v>28.06</x:v>
      </x:c>
      <x:c r="I243" s="5" t="n">
        <x:v>5.94</x:v>
      </x:c>
      <x:c r="J243" s="5" t="n">
        <x:v>57.2</x:v>
      </x:c>
      <x:c r="K243" s="5" t="n">
        <x:v>37.9</x:v>
      </x:c>
      <x:c r="L243" s="5" t="n">
        <x:v>1.75</x:v>
      </x:c>
      <x:c r="M243" s="1" t="n">
        <x:v>1</x:v>
      </x:c>
      <x:c r="N243" s="6" t="n">
        <x:v>0.939</x:v>
      </x:c>
      <x:c r="O243" s="1" t="str">
        <x:v>합격</x:v>
      </x:c>
      <x:c r="P243" s="1"/>
      <x:c r="Q243" s="1" t="n">
        <x:v>48</x:v>
      </x:c>
      <x:c r="R243" s="1" t="str">
        <x:v>N</x:v>
      </x:c>
      <x:c r="S243" s="1" t="n">
        <x:v>0</x:v>
      </x:c>
      <x:c r="T243" s="1" t="str">
        <x:v>합격</x:v>
      </x:c>
    </x:row>
    <x:row r="244" ht="22" customHeight="1">
      <x:c r="A244" s="1" t="str">
        <x:v>R00243</x:v>
      </x:c>
      <x:c r="B244" s="4" t="n">
        <x:v>46229.96246527778</x:v>
      </x:c>
      <x:c r="C244" s="1" t="str">
        <x:v>야간</x:v>
      </x:c>
      <x:c r="D244" s="1" t="str">
        <x:v>L2</x:v>
      </x:c>
      <x:c r="E244" s="1" t="str">
        <x:v>P2</x:v>
      </x:c>
      <x:c r="F244" s="1" t="str">
        <x:v>M01</x:v>
      </x:c>
      <x:c r="G244" s="1" t="str">
        <x:v>G03</x:v>
      </x:c>
      <x:c r="H244" s="5" t="n">
        <x:v>30.24</x:v>
      </x:c>
      <x:c r="I244" s="5" t="n">
        <x:v>5.77</x:v>
      </x:c>
      <x:c r="J244" s="5" t="n">
        <x:v>53.1</x:v>
      </x:c>
      <x:c r="K244" s="5" t="n">
        <x:v>40.7</x:v>
      </x:c>
      <x:c r="L244" s="5" t="n">
        <x:v>2.43</x:v>
      </x:c>
      <x:c r="M244" s="1" t="n">
        <x:v>0</x:v>
      </x:c>
      <x:c r="N244" s="6" t="n">
        <x:v>0.958</x:v>
      </x:c>
      <x:c r="O244" s="1" t="str">
        <x:v>합격</x:v>
      </x:c>
      <x:c r="P244" s="1"/>
      <x:c r="Q244" s="1" t="n">
        <x:v>41</x:v>
      </x:c>
      <x:c r="R244" s="1" t="str">
        <x:v>N</x:v>
      </x:c>
      <x:c r="S244" s="1" t="n">
        <x:v>0</x:v>
      </x:c>
      <x:c r="T244" s="1" t="str">
        <x:v>합격</x:v>
      </x:c>
    </x:row>
    <x:row r="245" ht="22" customHeight="1">
      <x:c r="A245" s="1" t="str">
        <x:v>R00244</x:v>
      </x:c>
      <x:c r="B245" s="4" t="n">
        <x:v>46230.08607638889</x:v>
      </x:c>
      <x:c r="C245" s="1" t="str">
        <x:v>야간</x:v>
      </x:c>
      <x:c r="D245" s="1" t="str">
        <x:v>L2</x:v>
      </x:c>
      <x:c r="E245" s="1" t="str">
        <x:v>P2</x:v>
      </x:c>
      <x:c r="F245" s="1" t="str">
        <x:v>M01</x:v>
      </x:c>
      <x:c r="G245" s="1" t="str">
        <x:v>G04</x:v>
      </x:c>
      <x:c r="H245" s="5" t="n">
        <x:v>28.25</x:v>
      </x:c>
      <x:c r="I245" s="5" t="n">
        <x:v>5.76</x:v>
      </x:c>
      <x:c r="J245" s="5" t="n">
        <x:v>47.2</x:v>
      </x:c>
      <x:c r="K245" s="5" t="n">
        <x:v>41.8</x:v>
      </x:c>
      <x:c r="L245" s="5" t="n">
        <x:v>2.06</x:v>
      </x:c>
      <x:c r="M245" s="1" t="n">
        <x:v>1</x:v>
      </x:c>
      <x:c r="N245" s="6" t="n">
        <x:v>0.994</x:v>
      </x:c>
      <x:c r="O245" s="1" t="str">
        <x:v>합격</x:v>
      </x:c>
      <x:c r="P245" s="1"/>
      <x:c r="Q245" s="1" t="n">
        <x:v>48</x:v>
      </x:c>
      <x:c r="R245" s="1" t="str">
        <x:v>N</x:v>
      </x:c>
      <x:c r="S245" s="1" t="n">
        <x:v>0</x:v>
      </x:c>
      <x:c r="T245" s="1" t="str">
        <x:v>합격</x:v>
      </x:c>
    </x:row>
    <x:row r="246" ht="22" customHeight="1">
      <x:c r="A246" s="1" t="str">
        <x:v>R00245</x:v>
      </x:c>
      <x:c r="B246" s="4" t="n">
        <x:v>46231.42791666667</x:v>
      </x:c>
      <x:c r="C246" s="1" t="str">
        <x:v>주간</x:v>
      </x:c>
      <x:c r="D246" s="1" t="str">
        <x:v>L2</x:v>
      </x:c>
      <x:c r="E246" s="1" t="str">
        <x:v>P2</x:v>
      </x:c>
      <x:c r="F246" s="1" t="str">
        <x:v>M02</x:v>
      </x:c>
      <x:c r="G246" s="1" t="str">
        <x:v>G05</x:v>
      </x:c>
      <x:c r="H246" s="5" t="n">
        <x:v>29.41</x:v>
      </x:c>
      <x:c r="I246" s="5" t="n">
        <x:v>5.68</x:v>
      </x:c>
      <x:c r="J246" s="5" t="n">
        <x:v>58.4</x:v>
      </x:c>
      <x:c r="K246" s="5" t="n">
        <x:v>35.5</x:v>
      </x:c>
      <x:c r="L246" s="5" t="n">
        <x:v>2.32</x:v>
      </x:c>
      <x:c r="M246" s="1" t="n">
        <x:v>0</x:v>
      </x:c>
      <x:c r="N246" s="6" t="n">
        <x:v>0.926</x:v>
      </x:c>
      <x:c r="O246" s="1" t="str">
        <x:v>합격</x:v>
      </x:c>
      <x:c r="P246" s="1"/>
      <x:c r="Q246" s="1" t="n">
        <x:v>37</x:v>
      </x:c>
      <x:c r="R246" s="1" t="str">
        <x:v>N</x:v>
      </x:c>
      <x:c r="S246" s="1" t="n">
        <x:v>0</x:v>
      </x:c>
      <x:c r="T246" s="1" t="str">
        <x:v>합격</x:v>
      </x:c>
    </x:row>
    <x:row r="247" ht="22" customHeight="1">
      <x:c r="A247" s="1" t="str">
        <x:v>R00246</x:v>
      </x:c>
      <x:c r="B247" s="4" t="n">
        <x:v>46232.87293981481</x:v>
      </x:c>
      <x:c r="C247" s="1" t="str">
        <x:v>야간</x:v>
      </x:c>
      <x:c r="D247" s="1" t="str">
        <x:v>L2</x:v>
      </x:c>
      <x:c r="E247" s="1" t="str">
        <x:v>P2</x:v>
      </x:c>
      <x:c r="F247" s="1" t="str">
        <x:v>M01</x:v>
      </x:c>
      <x:c r="G247" s="1" t="str">
        <x:v>G06</x:v>
      </x:c>
      <x:c r="H247" s="5" t="n">
        <x:v>27.64</x:v>
      </x:c>
      <x:c r="I247" s="5" t="n">
        <x:v>5.89</x:v>
      </x:c>
      <x:c r="J247" s="5" t="n">
        <x:v>51.4</x:v>
      </x:c>
      <x:c r="K247" s="5" t="n">
        <x:v>36.5</x:v>
      </x:c>
      <x:c r="L247" s="5" t="n">
        <x:v>2.03</x:v>
      </x:c>
      <x:c r="M247" s="1" t="n">
        <x:v>0</x:v>
      </x:c>
      <x:c r="N247" s="6" t="n">
        <x:v>0.944</x:v>
      </x:c>
      <x:c r="O247" s="1" t="str">
        <x:v>합격</x:v>
      </x:c>
      <x:c r="P247" s="1"/>
      <x:c r="Q247" s="1" t="n">
        <x:v>43</x:v>
      </x:c>
      <x:c r="R247" s="1" t="str">
        <x:v>N</x:v>
      </x:c>
      <x:c r="S247" s="1" t="n">
        <x:v>0</x:v>
      </x:c>
      <x:c r="T247" s="1" t="str">
        <x:v>합격</x:v>
      </x:c>
    </x:row>
    <x:row r="248" ht="22" customHeight="1">
      <x:c r="A248" s="1" t="str">
        <x:v>R00247</x:v>
      </x:c>
      <x:c r="B248" s="4" t="n">
        <x:v>46233.09107638889</x:v>
      </x:c>
      <x:c r="C248" s="1" t="str">
        <x:v>야간</x:v>
      </x:c>
      <x:c r="D248" s="1" t="str">
        <x:v>L1</x:v>
      </x:c>
      <x:c r="E248" s="1" t="str">
        <x:v>P1</x:v>
      </x:c>
      <x:c r="F248" s="1" t="str">
        <x:v>M03</x:v>
      </x:c>
      <x:c r="G248" s="1" t="str">
        <x:v>G01</x:v>
      </x:c>
      <x:c r="H248" s="5" t="n">
        <x:v>34.09</x:v>
      </x:c>
      <x:c r="I248" s="5" t="n">
        <x:v>5.83</x:v>
      </x:c>
      <x:c r="J248" s="5" t="n">
        <x:v>55.4</x:v>
      </x:c>
      <x:c r="K248" s="5" t="n">
        <x:v>36</x:v>
      </x:c>
      <x:c r="L248" s="5" t="n">
        <x:v>1.9</x:v>
      </x:c>
      <x:c r="M248" s="1" t="n">
        <x:v>1</x:v>
      </x:c>
      <x:c r="N248" s="6" t="n">
        <x:v>0.932</x:v>
      </x:c>
      <x:c r="O248" s="1" t="str">
        <x:v>합격</x:v>
      </x:c>
      <x:c r="P248" s="1"/>
      <x:c r="Q248" s="1" t="n">
        <x:v>48</x:v>
      </x:c>
      <x:c r="R248" s="1" t="str">
        <x:v>N</x:v>
      </x:c>
      <x:c r="S248" s="1" t="n">
        <x:v>0</x:v>
      </x:c>
      <x:c r="T248" s="1" t="str">
        <x:v>합격</x:v>
      </x:c>
    </x:row>
    <x:row r="249" ht="22" customHeight="1">
      <x:c r="A249" s="1" t="str">
        <x:v>R00248</x:v>
      </x:c>
      <x:c r="B249" s="4" t="n">
        <x:v>46234.62229166667</x:v>
      </x:c>
      <x:c r="C249" s="1" t="str">
        <x:v>주간</x:v>
      </x:c>
      <x:c r="D249" s="1" t="str">
        <x:v>L1</x:v>
      </x:c>
      <x:c r="E249" s="1" t="str">
        <x:v>P1</x:v>
      </x:c>
      <x:c r="F249" s="1" t="str">
        <x:v>M03</x:v>
      </x:c>
      <x:c r="G249" s="1" t="str">
        <x:v>G02</x:v>
      </x:c>
      <x:c r="H249" s="5" t="n">
        <x:v>29.74</x:v>
      </x:c>
      <x:c r="I249" s="5" t="n">
        <x:v>5.73</x:v>
      </x:c>
      <x:c r="J249" s="5" t="n">
        <x:v>55.5</x:v>
      </x:c>
      <x:c r="K249" s="5" t="n">
        <x:v>38.9</x:v>
      </x:c>
      <x:c r="L249" s="5" t="n">
        <x:v>1.75</x:v>
      </x:c>
      <x:c r="M249" s="1" t="n">
        <x:v>0</x:v>
      </x:c>
      <x:c r="N249" s="6" t="n">
        <x:v>0.862</x:v>
      </x:c>
      <x:c r="O249" s="1" t="str">
        <x:v>합격</x:v>
      </x:c>
      <x:c r="P249" s="1"/>
      <x:c r="Q249" s="1" t="n">
        <x:v>37</x:v>
      </x:c>
      <x:c r="R249" s="1" t="str">
        <x:v>N</x:v>
      </x:c>
      <x:c r="S249" s="1" t="n">
        <x:v>0</x:v>
      </x:c>
      <x:c r="T249" s="1" t="str">
        <x:v>합격</x:v>
      </x:c>
    </x:row>
    <x:row r="250" ht="22" customHeight="1">
      <x:c r="A250" s="1" t="str">
        <x:v>R00249</x:v>
      </x:c>
      <x:c r="B250" s="4" t="n">
        <x:v>46204.467997685184</x:v>
      </x:c>
      <x:c r="C250" s="1" t="str">
        <x:v>주간</x:v>
      </x:c>
      <x:c r="D250" s="1" t="str">
        <x:v>L1</x:v>
      </x:c>
      <x:c r="E250" s="1" t="str">
        <x:v>P1</x:v>
      </x:c>
      <x:c r="F250" s="1" t="str">
        <x:v>M03</x:v>
      </x:c>
      <x:c r="G250" s="1" t="str">
        <x:v>G03</x:v>
      </x:c>
      <x:c r="H250" s="5" t="n">
        <x:v>29.85</x:v>
      </x:c>
      <x:c r="I250" s="5" t="n">
        <x:v>5.97</x:v>
      </x:c>
      <x:c r="J250" s="5" t="n">
        <x:v>57.9</x:v>
      </x:c>
      <x:c r="K250" s="5" t="n">
        <x:v>35.7</x:v>
      </x:c>
      <x:c r="L250" s="5" t="n">
        <x:v>2.21</x:v>
      </x:c>
      <x:c r="M250" s="1" t="n">
        <x:v>0</x:v>
      </x:c>
      <x:c r="N250" s="6" t="n">
        <x:v>0.926</x:v>
      </x:c>
      <x:c r="O250" s="1" t="str">
        <x:v>합격</x:v>
      </x:c>
      <x:c r="P250" s="1"/>
      <x:c r="Q250" s="1" t="n">
        <x:v>47</x:v>
      </x:c>
      <x:c r="R250" s="1" t="str">
        <x:v>N</x:v>
      </x:c>
      <x:c r="S250" s="1" t="n">
        <x:v>0</x:v>
      </x:c>
      <x:c r="T250" s="1" t="str">
        <x:v>합격</x:v>
      </x:c>
    </x:row>
    <x:row r="251" ht="22" customHeight="1">
      <x:c r="A251" s="1" t="str">
        <x:v>R00250</x:v>
      </x:c>
      <x:c r="B251" s="4" t="n">
        <x:v>46205.61356481481</x:v>
      </x:c>
      <x:c r="C251" s="1" t="str">
        <x:v>주간</x:v>
      </x:c>
      <x:c r="D251" s="1" t="str">
        <x:v>L1</x:v>
      </x:c>
      <x:c r="E251" s="1" t="str">
        <x:v>P1</x:v>
      </x:c>
      <x:c r="F251" s="1" t="str">
        <x:v>M03</x:v>
      </x:c>
      <x:c r="G251" s="1" t="str">
        <x:v>G04</x:v>
      </x:c>
      <x:c r="H251" s="5" t="n">
        <x:v>28.4</x:v>
      </x:c>
      <x:c r="I251" s="5" t="n">
        <x:v>5.67</x:v>
      </x:c>
      <x:c r="J251" s="5" t="n">
        <x:v>50.1</x:v>
      </x:c>
      <x:c r="K251" s="5" t="n">
        <x:v>35.7</x:v>
      </x:c>
      <x:c r="L251" s="5" t="n">
        <x:v>1.99</x:v>
      </x:c>
      <x:c r="M251" s="1" t="n">
        <x:v>0</x:v>
      </x:c>
      <x:c r="N251" s="6" t="n">
        <x:v>0.873</x:v>
      </x:c>
      <x:c r="O251" s="1" t="str">
        <x:v>합격</x:v>
      </x:c>
      <x:c r="P251" s="1"/>
      <x:c r="Q251" s="1" t="n">
        <x:v>42</x:v>
      </x:c>
      <x:c r="R251" s="1" t="str">
        <x:v>N</x:v>
      </x:c>
      <x:c r="S251" s="1" t="n">
        <x:v>0</x:v>
      </x:c>
      <x:c r="T251" s="1" t="str">
        <x:v>합격</x:v>
      </x:c>
    </x:row>
    <x:row r="252" ht="22" customHeight="1">
      <x:c r="A252" s="1" t="str">
        <x:v>R00251</x:v>
      </x:c>
      <x:c r="B252" s="4" t="n">
        <x:v>46206.04981481482</x:v>
      </x:c>
      <x:c r="C252" s="1" t="str">
        <x:v>야간</x:v>
      </x:c>
      <x:c r="D252" s="1" t="str">
        <x:v>L2</x:v>
      </x:c>
      <x:c r="E252" s="1" t="str">
        <x:v>P2</x:v>
      </x:c>
      <x:c r="F252" s="1" t="str">
        <x:v>M01</x:v>
      </x:c>
      <x:c r="G252" s="1" t="str">
        <x:v>G05</x:v>
      </x:c>
      <x:c r="H252" s="5" t="n">
        <x:v>30.41</x:v>
      </x:c>
      <x:c r="I252" s="5" t="n">
        <x:v>5.63</x:v>
      </x:c>
      <x:c r="J252" s="5" t="n">
        <x:v>57.1</x:v>
      </x:c>
      <x:c r="K252" s="5" t="n">
        <x:v>35.6</x:v>
      </x:c>
      <x:c r="L252" s="5" t="n">
        <x:v>1.85</x:v>
      </x:c>
      <x:c r="M252" s="1" t="n">
        <x:v>1</x:v>
      </x:c>
      <x:c r="N252" s="6" t="n">
        <x:v>1.043</x:v>
      </x:c>
      <x:c r="O252" s="1" t="str">
        <x:v>합격</x:v>
      </x:c>
      <x:c r="P252" s="1"/>
      <x:c r="Q252" s="1" t="n">
        <x:v>41</x:v>
      </x:c>
      <x:c r="R252" s="1" t="str">
        <x:v>N</x:v>
      </x:c>
      <x:c r="S252" s="1" t="n">
        <x:v>0</x:v>
      </x:c>
      <x:c r="T252" s="1" t="str">
        <x:v>합격</x:v>
      </x:c>
    </x:row>
    <x:row r="253" ht="22" customHeight="1">
      <x:c r="A253" s="1" t="str">
        <x:v>R00252</x:v>
      </x:c>
      <x:c r="B253" s="4" t="n">
        <x:v>46207.977789351855</x:v>
      </x:c>
      <x:c r="C253" s="1" t="str">
        <x:v>야간</x:v>
      </x:c>
      <x:c r="D253" s="1" t="str">
        <x:v>L1</x:v>
      </x:c>
      <x:c r="E253" s="1" t="str">
        <x:v>P1</x:v>
      </x:c>
      <x:c r="F253" s="1" t="str">
        <x:v>M04</x:v>
      </x:c>
      <x:c r="G253" s="1" t="str">
        <x:v>G06</x:v>
      </x:c>
      <x:c r="H253" s="5" t="n">
        <x:v>29.41</x:v>
      </x:c>
      <x:c r="I253" s="5" t="n">
        <x:v>5.68</x:v>
      </x:c>
      <x:c r="J253" s="5" t="n">
        <x:v>56</x:v>
      </x:c>
      <x:c r="K253" s="5" t="n">
        <x:v>37.2</x:v>
      </x:c>
      <x:c r="L253" s="5" t="n">
        <x:v>2.3</x:v>
      </x:c>
      <x:c r="M253" s="1" t="n">
        <x:v>1</x:v>
      </x:c>
      <x:c r="N253" s="6" t="n">
        <x:v>0.96</x:v>
      </x:c>
      <x:c r="O253" s="1" t="str">
        <x:v>합격</x:v>
      </x:c>
      <x:c r="P253" s="1"/>
      <x:c r="Q253" s="1" t="n">
        <x:v>40</x:v>
      </x:c>
      <x:c r="R253" s="1" t="str">
        <x:v>N</x:v>
      </x:c>
      <x:c r="S253" s="1" t="n">
        <x:v>0</x:v>
      </x:c>
      <x:c r="T253" s="1" t="str">
        <x:v>합격</x:v>
      </x:c>
    </x:row>
    <x:row r="254" ht="22" customHeight="1">
      <x:c r="A254" s="1" t="str">
        <x:v>R00253</x:v>
      </x:c>
      <x:c r="B254" s="4" t="n">
        <x:v>46208.0284837963</x:v>
      </x:c>
      <x:c r="C254" s="1" t="str">
        <x:v>야간</x:v>
      </x:c>
      <x:c r="D254" s="1" t="str">
        <x:v>L2</x:v>
      </x:c>
      <x:c r="E254" s="1" t="str">
        <x:v>P2</x:v>
      </x:c>
      <x:c r="F254" s="1" t="str">
        <x:v>M01</x:v>
      </x:c>
      <x:c r="G254" s="1" t="str">
        <x:v>G01</x:v>
      </x:c>
      <x:c r="H254" s="5" t="n">
        <x:v>31.7</x:v>
      </x:c>
      <x:c r="I254" s="5" t="n">
        <x:v>5.99</x:v>
      </x:c>
      <x:c r="J254" s="5" t="n">
        <x:v>53.7</x:v>
      </x:c>
      <x:c r="K254" s="5" t="n">
        <x:v>39</x:v>
      </x:c>
      <x:c r="L254" s="5" t="n">
        <x:v>2.34</x:v>
      </x:c>
      <x:c r="M254" s="1" t="n">
        <x:v>0</x:v>
      </x:c>
      <x:c r="N254" s="6" t="n">
        <x:v>0.897</x:v>
      </x:c>
      <x:c r="O254" s="1" t="str">
        <x:v>합격</x:v>
      </x:c>
      <x:c r="P254" s="1"/>
      <x:c r="Q254" s="1" t="n">
        <x:v>37</x:v>
      </x:c>
      <x:c r="R254" s="1" t="str">
        <x:v>N</x:v>
      </x:c>
      <x:c r="S254" s="1" t="n">
        <x:v>0</x:v>
      </x:c>
      <x:c r="T254" s="1" t="str">
        <x:v>합격</x:v>
      </x:c>
    </x:row>
    <x:row r="255" ht="22" customHeight="1">
      <x:c r="A255" s="1" t="str">
        <x:v>R00254</x:v>
      </x:c>
      <x:c r="B255" s="4" t="n">
        <x:v>46209.45747685185</x:v>
      </x:c>
      <x:c r="C255" s="1" t="str">
        <x:v>주간</x:v>
      </x:c>
      <x:c r="D255" s="1" t="str">
        <x:v>L1</x:v>
      </x:c>
      <x:c r="E255" s="1" t="str">
        <x:v>P1</x:v>
      </x:c>
      <x:c r="F255" s="1" t="str">
        <x:v>M03</x:v>
      </x:c>
      <x:c r="G255" s="1" t="str">
        <x:v>G02</x:v>
      </x:c>
      <x:c r="H255" s="5" t="n">
        <x:v>32.3</x:v>
      </x:c>
      <x:c r="I255" s="5" t="n">
        <x:v>5.64</x:v>
      </x:c>
      <x:c r="J255" s="5" t="n">
        <x:v>55.2</x:v>
      </x:c>
      <x:c r="K255" s="5" t="n">
        <x:v>38.4</x:v>
      </x:c>
      <x:c r="L255" s="5" t="n">
        <x:v>1.42</x:v>
      </x:c>
      <x:c r="M255" s="1" t="n">
        <x:v>1</x:v>
      </x:c>
      <x:c r="N255" s="6" t="n">
        <x:v>0.916</x:v>
      </x:c>
      <x:c r="O255" s="1" t="str">
        <x:v>합격</x:v>
      </x:c>
      <x:c r="P255" s="1"/>
      <x:c r="Q255" s="1" t="n">
        <x:v>46</x:v>
      </x:c>
      <x:c r="R255" s="1" t="str">
        <x:v>N</x:v>
      </x:c>
      <x:c r="S255" s="1" t="n">
        <x:v>0</x:v>
      </x:c>
      <x:c r="T255" s="1" t="str">
        <x:v>합격</x:v>
      </x:c>
    </x:row>
    <x:row r="256" ht="22" customHeight="1">
      <x:c r="A256" s="1" t="str">
        <x:v>R00255</x:v>
      </x:c>
      <x:c r="B256" s="4" t="n">
        <x:v>46210.10519675926</x:v>
      </x:c>
      <x:c r="C256" s="1" t="str">
        <x:v>야간</x:v>
      </x:c>
      <x:c r="D256" s="1" t="str">
        <x:v>L1</x:v>
      </x:c>
      <x:c r="E256" s="1" t="str">
        <x:v>P1</x:v>
      </x:c>
      <x:c r="F256" s="1" t="str">
        <x:v>M04</x:v>
      </x:c>
      <x:c r="G256" s="1" t="str">
        <x:v>G03</x:v>
      </x:c>
      <x:c r="H256" s="5" t="n">
        <x:v>30.42</x:v>
      </x:c>
      <x:c r="I256" s="5" t="n">
        <x:v>5.87</x:v>
      </x:c>
      <x:c r="J256" s="5" t="n">
        <x:v>55.4</x:v>
      </x:c>
      <x:c r="K256" s="5" t="n">
        <x:v>41.7</x:v>
      </x:c>
      <x:c r="L256" s="5" t="n">
        <x:v>2.27</x:v>
      </x:c>
      <x:c r="M256" s="1" t="n">
        <x:v>0</x:v>
      </x:c>
      <x:c r="N256" s="6" t="n">
        <x:v>0.967</x:v>
      </x:c>
      <x:c r="O256" s="1" t="str">
        <x:v>합격</x:v>
      </x:c>
      <x:c r="P256" s="1"/>
      <x:c r="Q256" s="1" t="n">
        <x:v>37</x:v>
      </x:c>
      <x:c r="R256" s="1" t="str">
        <x:v>N</x:v>
      </x:c>
      <x:c r="S256" s="1" t="n">
        <x:v>0</x:v>
      </x:c>
      <x:c r="T256" s="1" t="str">
        <x:v>합격</x:v>
      </x:c>
    </x:row>
    <x:row r="257" ht="22" customHeight="1">
      <x:c r="A257" s="1" t="str">
        <x:v>R00256</x:v>
      </x:c>
      <x:c r="B257" s="4" t="n">
        <x:v>46211.09112268518</x:v>
      </x:c>
      <x:c r="C257" s="1" t="str">
        <x:v>야간</x:v>
      </x:c>
      <x:c r="D257" s="1" t="str">
        <x:v>L2</x:v>
      </x:c>
      <x:c r="E257" s="1" t="str">
        <x:v>P2</x:v>
      </x:c>
      <x:c r="F257" s="1" t="str">
        <x:v>M02</x:v>
      </x:c>
      <x:c r="G257" s="1" t="str">
        <x:v>G04</x:v>
      </x:c>
      <x:c r="H257" s="5" t="n">
        <x:v>28.42</x:v>
      </x:c>
      <x:c r="I257" s="5" t="n">
        <x:v>5.95</x:v>
      </x:c>
      <x:c r="J257" s="5" t="n">
        <x:v>50.5</x:v>
      </x:c>
      <x:c r="K257" s="5" t="n">
        <x:v>37.5</x:v>
      </x:c>
      <x:c r="L257" s="5" t="n">
        <x:v>2.02</x:v>
      </x:c>
      <x:c r="M257" s="1" t="n">
        <x:v>1</x:v>
      </x:c>
      <x:c r="N257" s="6" t="n">
        <x:v>1.023</x:v>
      </x:c>
      <x:c r="O257" s="1" t="str">
        <x:v>합격</x:v>
      </x:c>
      <x:c r="P257" s="1"/>
      <x:c r="Q257" s="1" t="n">
        <x:v>37</x:v>
      </x:c>
      <x:c r="R257" s="1" t="str">
        <x:v>N</x:v>
      </x:c>
      <x:c r="S257" s="1" t="n">
        <x:v>0</x:v>
      </x:c>
      <x:c r="T257" s="1" t="str">
        <x:v>합격</x:v>
      </x:c>
    </x:row>
    <x:row r="258" ht="22" customHeight="1">
      <x:c r="A258" s="1" t="str">
        <x:v>R00257</x:v>
      </x:c>
      <x:c r="B258" s="4" t="n">
        <x:v>46212.34532407407</x:v>
      </x:c>
      <x:c r="C258" s="1" t="str">
        <x:v>주간</x:v>
      </x:c>
      <x:c r="D258" s="1" t="str">
        <x:v>L1</x:v>
      </x:c>
      <x:c r="E258" s="1" t="str">
        <x:v>P1</x:v>
      </x:c>
      <x:c r="F258" s="1" t="str">
        <x:v>M03</x:v>
      </x:c>
      <x:c r="G258" s="1" t="str">
        <x:v>G05</x:v>
      </x:c>
      <x:c r="H258" s="5" t="n">
        <x:v>31.01</x:v>
      </x:c>
      <x:c r="I258" s="5" t="n">
        <x:v>5.92</x:v>
      </x:c>
      <x:c r="J258" s="5" t="n">
        <x:v>55.2</x:v>
      </x:c>
      <x:c r="K258" s="5" t="n">
        <x:v>35.7</x:v>
      </x:c>
      <x:c r="L258" s="5" t="n">
        <x:v>1.91</x:v>
      </x:c>
      <x:c r="M258" s="1" t="n">
        <x:v>1</x:v>
      </x:c>
      <x:c r="N258" s="6" t="n">
        <x:v>1.046</x:v>
      </x:c>
      <x:c r="O258" s="1" t="str">
        <x:v>합격</x:v>
      </x:c>
      <x:c r="P258" s="1"/>
      <x:c r="Q258" s="1" t="n">
        <x:v>36</x:v>
      </x:c>
      <x:c r="R258" s="1" t="str">
        <x:v>N</x:v>
      </x:c>
      <x:c r="S258" s="1" t="n">
        <x:v>0</x:v>
      </x:c>
      <x:c r="T258" s="1" t="str">
        <x:v>합격</x:v>
      </x:c>
    </x:row>
    <x:row r="259" ht="22" customHeight="1">
      <x:c r="A259" s="1" t="str">
        <x:v>R00258</x:v>
      </x:c>
      <x:c r="B259" s="4" t="n">
        <x:v>46213.56380787037</x:v>
      </x:c>
      <x:c r="C259" s="1" t="str">
        <x:v>주간</x:v>
      </x:c>
      <x:c r="D259" s="1" t="str">
        <x:v>L2</x:v>
      </x:c>
      <x:c r="E259" s="1" t="str">
        <x:v>P2</x:v>
      </x:c>
      <x:c r="F259" s="1" t="str">
        <x:v>M02</x:v>
      </x:c>
      <x:c r="G259" s="1" t="str">
        <x:v>G06</x:v>
      </x:c>
      <x:c r="H259" s="5" t="n">
        <x:v>32.57</x:v>
      </x:c>
      <x:c r="I259" s="5" t="n">
        <x:v>5.66</x:v>
      </x:c>
      <x:c r="J259" s="5" t="n">
        <x:v>55.1</x:v>
      </x:c>
      <x:c r="K259" s="5" t="n">
        <x:v>40.8</x:v>
      </x:c>
      <x:c r="L259" s="5" t="n">
        <x:v>2.67</x:v>
      </x:c>
      <x:c r="M259" s="1" t="n">
        <x:v>0</x:v>
      </x:c>
      <x:c r="N259" s="6" t="n">
        <x:v>0.943</x:v>
      </x:c>
      <x:c r="O259" s="1" t="str">
        <x:v>합격</x:v>
      </x:c>
      <x:c r="P259" s="1"/>
      <x:c r="Q259" s="1" t="n">
        <x:v>42</x:v>
      </x:c>
      <x:c r="R259" s="1" t="str">
        <x:v>N</x:v>
      </x:c>
      <x:c r="S259" s="1" t="n">
        <x:v>0</x:v>
      </x:c>
      <x:c r="T259" s="1" t="str">
        <x:v>합격</x:v>
      </x:c>
    </x:row>
    <x:row r="260" ht="22" customHeight="1">
      <x:c r="A260" s="1" t="str">
        <x:v>R00259</x:v>
      </x:c>
      <x:c r="B260" s="4" t="n">
        <x:v>46214.46328703704</x:v>
      </x:c>
      <x:c r="C260" s="1" t="str">
        <x:v>주간</x:v>
      </x:c>
      <x:c r="D260" s="1" t="str">
        <x:v>L1</x:v>
      </x:c>
      <x:c r="E260" s="1" t="str">
        <x:v>P1</x:v>
      </x:c>
      <x:c r="F260" s="1" t="str">
        <x:v>M01</x:v>
      </x:c>
      <x:c r="G260" s="1" t="str">
        <x:v>G01</x:v>
      </x:c>
      <x:c r="H260" s="5" t="n">
        <x:v>32.76</x:v>
      </x:c>
      <x:c r="I260" s="5" t="n">
        <x:v>5.88</x:v>
      </x:c>
      <x:c r="J260" s="5" t="n">
        <x:v>56.8</x:v>
      </x:c>
      <x:c r="K260" s="5" t="n">
        <x:v>40.4</x:v>
      </x:c>
      <x:c r="L260" s="5" t="n">
        <x:v>1.65</x:v>
      </x:c>
      <x:c r="M260" s="1" t="n">
        <x:v>1</x:v>
      </x:c>
      <x:c r="N260" s="6" t="n">
        <x:v>0.982</x:v>
      </x:c>
      <x:c r="O260" s="1" t="str">
        <x:v>합격</x:v>
      </x:c>
      <x:c r="P260" s="1"/>
      <x:c r="Q260" s="1" t="n">
        <x:v>46</x:v>
      </x:c>
      <x:c r="R260" s="1" t="str">
        <x:v>N</x:v>
      </x:c>
      <x:c r="S260" s="1" t="n">
        <x:v>0</x:v>
      </x:c>
      <x:c r="T260" s="1" t="str">
        <x:v>합격</x:v>
      </x:c>
    </x:row>
    <x:row r="261" ht="22" customHeight="1">
      <x:c r="A261" s="1" t="str">
        <x:v>R00260</x:v>
      </x:c>
      <x:c r="B261" s="4" t="n">
        <x:v>46215.00575231481</x:v>
      </x:c>
      <x:c r="C261" s="1" t="str">
        <x:v>야간</x:v>
      </x:c>
      <x:c r="D261" s="1" t="str">
        <x:v>L1</x:v>
      </x:c>
      <x:c r="E261" s="1" t="str">
        <x:v>P1</x:v>
      </x:c>
      <x:c r="F261" s="1" t="str">
        <x:v>M03</x:v>
      </x:c>
      <x:c r="G261" s="1" t="str">
        <x:v>G02</x:v>
      </x:c>
      <x:c r="H261" s="5" t="n">
        <x:v>26.58</x:v>
      </x:c>
      <x:c r="I261" s="5" t="n">
        <x:v>5.85</x:v>
      </x:c>
      <x:c r="J261" s="5" t="n">
        <x:v>53.7</x:v>
      </x:c>
      <x:c r="K261" s="5" t="n">
        <x:v>41.8</x:v>
      </x:c>
      <x:c r="L261" s="5" t="n">
        <x:v>2.64</x:v>
      </x:c>
      <x:c r="M261" s="1" t="n">
        <x:v>1</x:v>
      </x:c>
      <x:c r="N261" s="6" t="n">
        <x:v>0.957</x:v>
      </x:c>
      <x:c r="O261" s="1" t="str">
        <x:v>합격</x:v>
      </x:c>
      <x:c r="P261" s="1"/>
      <x:c r="Q261" s="1" t="n">
        <x:v>45</x:v>
      </x:c>
      <x:c r="R261" s="1" t="str">
        <x:v>N</x:v>
      </x:c>
      <x:c r="S261" s="1" t="n">
        <x:v>0</x:v>
      </x:c>
      <x:c r="T261" s="1" t="str">
        <x:v>합격</x:v>
      </x:c>
    </x:row>
    <x:row r="262" ht="22" customHeight="1">
      <x:c r="A262" s="1" t="str">
        <x:v>R00261</x:v>
      </x:c>
      <x:c r="B262" s="4" t="n">
        <x:v>46216.049259259256</x:v>
      </x:c>
      <x:c r="C262" s="1" t="str">
        <x:v>야간</x:v>
      </x:c>
      <x:c r="D262" s="1" t="str">
        <x:v>L1</x:v>
      </x:c>
      <x:c r="E262" s="1" t="str">
        <x:v>P1</x:v>
      </x:c>
      <x:c r="F262" s="1" t="str">
        <x:v>M04</x:v>
      </x:c>
      <x:c r="G262" s="1" t="str">
        <x:v>G03</x:v>
      </x:c>
      <x:c r="H262" s="5" t="n">
        <x:v>30.16</x:v>
      </x:c>
      <x:c r="I262" s="5" t="n">
        <x:v>5.89</x:v>
      </x:c>
      <x:c r="J262" s="5" t="n">
        <x:v>48.3</x:v>
      </x:c>
      <x:c r="K262" s="5" t="n">
        <x:v>41</x:v>
      </x:c>
      <x:c r="L262" s="5" t="n">
        <x:v>1.35</x:v>
      </x:c>
      <x:c r="M262" s="1" t="n">
        <x:v>0</x:v>
      </x:c>
      <x:c r="N262" s="6" t="n">
        <x:v>0.872</x:v>
      </x:c>
      <x:c r="O262" s="1" t="str">
        <x:v>합격</x:v>
      </x:c>
      <x:c r="P262" s="1"/>
      <x:c r="Q262" s="1" t="n">
        <x:v>40</x:v>
      </x:c>
      <x:c r="R262" s="1" t="str">
        <x:v>N</x:v>
      </x:c>
      <x:c r="S262" s="1" t="n">
        <x:v>0</x:v>
      </x:c>
      <x:c r="T262" s="1" t="str">
        <x:v>합격</x:v>
      </x:c>
    </x:row>
    <x:row r="263" ht="22" customHeight="1">
      <x:c r="A263" s="1" t="str">
        <x:v>R00262</x:v>
      </x:c>
      <x:c r="B263" s="4" t="n">
        <x:v>46217.66017361111</x:v>
      </x:c>
      <x:c r="C263" s="1" t="str">
        <x:v>주간</x:v>
      </x:c>
      <x:c r="D263" s="1" t="str">
        <x:v>L1</x:v>
      </x:c>
      <x:c r="E263" s="1" t="str">
        <x:v>P1</x:v>
      </x:c>
      <x:c r="F263" s="1" t="str">
        <x:v>M03</x:v>
      </x:c>
      <x:c r="G263" s="1" t="str">
        <x:v>G04</x:v>
      </x:c>
      <x:c r="H263" s="5" t="n">
        <x:v>29.96</x:v>
      </x:c>
      <x:c r="I263" s="5" t="n">
        <x:v>5.88</x:v>
      </x:c>
      <x:c r="J263" s="5" t="n">
        <x:v>52.1</x:v>
      </x:c>
      <x:c r="K263" s="5" t="n">
        <x:v>35.9</x:v>
      </x:c>
      <x:c r="L263" s="5" t="n">
        <x:v>2.31</x:v>
      </x:c>
      <x:c r="M263" s="1" t="n">
        <x:v>1</x:v>
      </x:c>
      <x:c r="N263" s="6" t="n">
        <x:v>0.95</x:v>
      </x:c>
      <x:c r="O263" s="1" t="str">
        <x:v>합격</x:v>
      </x:c>
      <x:c r="P263" s="1"/>
      <x:c r="Q263" s="1" t="n">
        <x:v>40</x:v>
      </x:c>
      <x:c r="R263" s="1" t="str">
        <x:v>N</x:v>
      </x:c>
      <x:c r="S263" s="1" t="n">
        <x:v>0</x:v>
      </x:c>
      <x:c r="T263" s="1" t="str">
        <x:v>합격</x:v>
      </x:c>
    </x:row>
    <x:row r="264" ht="22" customHeight="1">
      <x:c r="A264" s="1" t="str">
        <x:v>R00263</x:v>
      </x:c>
      <x:c r="B264" s="4" t="n">
        <x:v>46218.12892361111</x:v>
      </x:c>
      <x:c r="C264" s="1" t="str">
        <x:v>야간</x:v>
      </x:c>
      <x:c r="D264" s="1" t="str">
        <x:v>L1</x:v>
      </x:c>
      <x:c r="E264" s="1" t="str">
        <x:v>P1</x:v>
      </x:c>
      <x:c r="F264" s="1" t="str">
        <x:v>M04</x:v>
      </x:c>
      <x:c r="G264" s="1" t="str">
        <x:v>G05</x:v>
      </x:c>
      <x:c r="H264" s="5" t="n">
        <x:v>27.56</x:v>
      </x:c>
      <x:c r="I264" s="5" t="n">
        <x:v>5.87</x:v>
      </x:c>
      <x:c r="J264" s="5" t="n">
        <x:v>52.3</x:v>
      </x:c>
      <x:c r="K264" s="5" t="n">
        <x:v>38.8</x:v>
      </x:c>
      <x:c r="L264" s="5" t="n">
        <x:v>1.92</x:v>
      </x:c>
      <x:c r="M264" s="1" t="n">
        <x:v>0</x:v>
      </x:c>
      <x:c r="N264" s="6" t="n">
        <x:v>0.927</x:v>
      </x:c>
      <x:c r="O264" s="1" t="str">
        <x:v>합격</x:v>
      </x:c>
      <x:c r="P264" s="1"/>
      <x:c r="Q264" s="1" t="n">
        <x:v>49</x:v>
      </x:c>
      <x:c r="R264" s="1" t="str">
        <x:v>N</x:v>
      </x:c>
      <x:c r="S264" s="1" t="n">
        <x:v>0</x:v>
      </x:c>
      <x:c r="T264" s="1" t="str">
        <x:v>합격</x:v>
      </x:c>
    </x:row>
    <x:row r="265" ht="22" customHeight="1">
      <x:c r="A265" s="1" t="str">
        <x:v>R00264</x:v>
      </x:c>
      <x:c r="B265" s="4" t="n">
        <x:v>46219.887557870374</x:v>
      </x:c>
      <x:c r="C265" s="1" t="str">
        <x:v>야간</x:v>
      </x:c>
      <x:c r="D265" s="1" t="str">
        <x:v>L2</x:v>
      </x:c>
      <x:c r="E265" s="1" t="str">
        <x:v>P2</x:v>
      </x:c>
      <x:c r="F265" s="1" t="str">
        <x:v>M02</x:v>
      </x:c>
      <x:c r="G265" s="1" t="str">
        <x:v>G06</x:v>
      </x:c>
      <x:c r="H265" s="5" t="n">
        <x:v>28.68</x:v>
      </x:c>
      <x:c r="I265" s="5" t="n">
        <x:v>6</x:v>
      </x:c>
      <x:c r="J265" s="5" t="n">
        <x:v>49.5</x:v>
      </x:c>
      <x:c r="K265" s="5" t="n">
        <x:v>37.2</x:v>
      </x:c>
      <x:c r="L265" s="5" t="n">
        <x:v>2.57</x:v>
      </x:c>
      <x:c r="M265" s="1" t="n">
        <x:v>0</x:v>
      </x:c>
      <x:c r="N265" s="6" t="n">
        <x:v>0.863</x:v>
      </x:c>
      <x:c r="O265" s="1" t="str">
        <x:v>합격</x:v>
      </x:c>
      <x:c r="P265" s="1"/>
      <x:c r="Q265" s="1" t="n">
        <x:v>37</x:v>
      </x:c>
      <x:c r="R265" s="1" t="str">
        <x:v>N</x:v>
      </x:c>
      <x:c r="S265" s="1" t="n">
        <x:v>0</x:v>
      </x:c>
      <x:c r="T265" s="1" t="str">
        <x:v>합격</x:v>
      </x:c>
    </x:row>
    <x:row r="266" ht="22" customHeight="1">
      <x:c r="A266" s="1" t="str">
        <x:v>R00265</x:v>
      </x:c>
      <x:c r="B266" s="4" t="n">
        <x:v>46220.49787037037</x:v>
      </x:c>
      <x:c r="C266" s="1" t="str">
        <x:v>주간</x:v>
      </x:c>
      <x:c r="D266" s="1" t="str">
        <x:v>L1</x:v>
      </x:c>
      <x:c r="E266" s="1" t="str">
        <x:v>P1</x:v>
      </x:c>
      <x:c r="F266" s="1" t="str">
        <x:v>M03</x:v>
      </x:c>
      <x:c r="G266" s="1" t="str">
        <x:v>G01</x:v>
      </x:c>
      <x:c r="H266" s="5" t="n">
        <x:v>30.97</x:v>
      </x:c>
      <x:c r="I266" s="5" t="n">
        <x:v>5.94</x:v>
      </x:c>
      <x:c r="J266" s="5" t="n">
        <x:v>54.2</x:v>
      </x:c>
      <x:c r="K266" s="5" t="n">
        <x:v>35.8</x:v>
      </x:c>
      <x:c r="L266" s="5" t="n">
        <x:v>2.27</x:v>
      </x:c>
      <x:c r="M266" s="1" t="n">
        <x:v>1</x:v>
      </x:c>
      <x:c r="N266" s="6" t="n">
        <x:v>0.939</x:v>
      </x:c>
      <x:c r="O266" s="1" t="str">
        <x:v>합격</x:v>
      </x:c>
      <x:c r="P266" s="1"/>
      <x:c r="Q266" s="1" t="n">
        <x:v>44</x:v>
      </x:c>
      <x:c r="R266" s="1" t="str">
        <x:v>N</x:v>
      </x:c>
      <x:c r="S266" s="1" t="n">
        <x:v>0</x:v>
      </x:c>
      <x:c r="T266" s="1" t="str">
        <x:v>합격</x:v>
      </x:c>
    </x:row>
    <x:row r="267" ht="22" customHeight="1">
      <x:c r="A267" s="1" t="str">
        <x:v>R00266</x:v>
      </x:c>
      <x:c r="B267" s="4" t="n">
        <x:v>46221.40310185185</x:v>
      </x:c>
      <x:c r="C267" s="1" t="str">
        <x:v>주간</x:v>
      </x:c>
      <x:c r="D267" s="1" t="str">
        <x:v>L2</x:v>
      </x:c>
      <x:c r="E267" s="1" t="str">
        <x:v>P2</x:v>
      </x:c>
      <x:c r="F267" s="1" t="str">
        <x:v>M04</x:v>
      </x:c>
      <x:c r="G267" s="1" t="str">
        <x:v>G02</x:v>
      </x:c>
      <x:c r="H267" s="5" t="n">
        <x:v>28.56</x:v>
      </x:c>
      <x:c r="I267" s="5" t="n">
        <x:v>5.97</x:v>
      </x:c>
      <x:c r="J267" s="5" t="n">
        <x:v>54.4</x:v>
      </x:c>
      <x:c r="K267" s="5" t="n">
        <x:v>35.7</x:v>
      </x:c>
      <x:c r="L267" s="5" t="n">
        <x:v>1.58</x:v>
      </x:c>
      <x:c r="M267" s="1" t="n">
        <x:v>1</x:v>
      </x:c>
      <x:c r="N267" s="6" t="n">
        <x:v>0.927</x:v>
      </x:c>
      <x:c r="O267" s="1" t="str">
        <x:v>합격</x:v>
      </x:c>
      <x:c r="P267" s="1"/>
      <x:c r="Q267" s="1" t="n">
        <x:v>43</x:v>
      </x:c>
      <x:c r="R267" s="1" t="str">
        <x:v>N</x:v>
      </x:c>
      <x:c r="S267" s="1" t="n">
        <x:v>0</x:v>
      </x:c>
      <x:c r="T267" s="1" t="str">
        <x:v>합격</x:v>
      </x:c>
    </x:row>
    <x:row r="268" ht="22" customHeight="1">
      <x:c r="A268" s="1" t="str">
        <x:v>R00267</x:v>
      </x:c>
      <x:c r="B268" s="4" t="n">
        <x:v>46222.503171296295</x:v>
      </x:c>
      <x:c r="C268" s="1" t="str">
        <x:v>주간</x:v>
      </x:c>
      <x:c r="D268" s="1" t="str">
        <x:v>L1</x:v>
      </x:c>
      <x:c r="E268" s="1" t="str">
        <x:v>P1</x:v>
      </x:c>
      <x:c r="F268" s="1" t="str">
        <x:v>M01</x:v>
      </x:c>
      <x:c r="G268" s="1" t="str">
        <x:v>G03</x:v>
      </x:c>
      <x:c r="H268" s="5" t="n">
        <x:v>28.53</x:v>
      </x:c>
      <x:c r="I268" s="5" t="n">
        <x:v>5.83</x:v>
      </x:c>
      <x:c r="J268" s="5" t="n">
        <x:v>57.1</x:v>
      </x:c>
      <x:c r="K268" s="5" t="n">
        <x:v>37.1</x:v>
      </x:c>
      <x:c r="L268" s="5" t="n">
        <x:v>1.86</x:v>
      </x:c>
      <x:c r="M268" s="1" t="n">
        <x:v>1</x:v>
      </x:c>
      <x:c r="N268" s="6" t="n">
        <x:v>0.867</x:v>
      </x:c>
      <x:c r="O268" s="1" t="str">
        <x:v>합격</x:v>
      </x:c>
      <x:c r="P268" s="1"/>
      <x:c r="Q268" s="1" t="n">
        <x:v>49</x:v>
      </x:c>
      <x:c r="R268" s="1" t="str">
        <x:v>N</x:v>
      </x:c>
      <x:c r="S268" s="1" t="n">
        <x:v>0</x:v>
      </x:c>
      <x:c r="T268" s="1" t="str">
        <x:v>합격</x:v>
      </x:c>
    </x:row>
    <x:row r="269" ht="22" customHeight="1">
      <x:c r="A269" s="1" t="str">
        <x:v>R00268</x:v>
      </x:c>
      <x:c r="B269" s="4" t="n">
        <x:v>46223.406805555554</x:v>
      </x:c>
      <x:c r="C269" s="1" t="str">
        <x:v>주간</x:v>
      </x:c>
      <x:c r="D269" s="1" t="str">
        <x:v>L1</x:v>
      </x:c>
      <x:c r="E269" s="1" t="str">
        <x:v>P1</x:v>
      </x:c>
      <x:c r="F269" s="1" t="str">
        <x:v>M01</x:v>
      </x:c>
      <x:c r="G269" s="1" t="str">
        <x:v>G04</x:v>
      </x:c>
      <x:c r="H269" s="5"/>
      <x:c r="I269" s="5" t="n">
        <x:v>5.96</x:v>
      </x:c>
      <x:c r="J269" s="5" t="n">
        <x:v>50.1</x:v>
      </x:c>
      <x:c r="K269" s="5" t="n">
        <x:v>41.1</x:v>
      </x:c>
      <x:c r="L269" s="5" t="n">
        <x:v>1.66</x:v>
      </x:c>
      <x:c r="M269" s="1" t="n">
        <x:v>0</x:v>
      </x:c>
      <x:c r="N269" s="6" t="n">
        <x:v>0.892</x:v>
      </x:c>
      <x:c r="O269" s="1" t="str">
        <x:v>합격</x:v>
      </x:c>
      <x:c r="P269" s="1"/>
      <x:c r="Q269" s="1" t="n">
        <x:v>49</x:v>
      </x:c>
      <x:c r="R269" s="1" t="str">
        <x:v>N</x:v>
      </x:c>
      <x:c r="S269" s="1" t="n">
        <x:v>0</x:v>
      </x:c>
      <x:c r="T269" s="1" t="str">
        <x:v>합격</x:v>
      </x:c>
    </x:row>
    <x:row r="270" ht="22" customHeight="1">
      <x:c r="A270" s="1" t="str">
        <x:v>R00269</x:v>
      </x:c>
      <x:c r="B270" s="4" t="n">
        <x:v>46224.54313657407</x:v>
      </x:c>
      <x:c r="C270" s="1" t="str">
        <x:v>주간</x:v>
      </x:c>
      <x:c r="D270" s="1" t="str">
        <x:v>L1</x:v>
      </x:c>
      <x:c r="E270" s="1" t="str">
        <x:v>P1</x:v>
      </x:c>
      <x:c r="F270" s="1" t="str">
        <x:v>M01</x:v>
      </x:c>
      <x:c r="G270" s="1" t="str">
        <x:v>G05</x:v>
      </x:c>
      <x:c r="H270" s="5" t="n">
        <x:v>30.87</x:v>
      </x:c>
      <x:c r="I270" s="5" t="n">
        <x:v>5.8</x:v>
      </x:c>
      <x:c r="J270" s="5" t="n">
        <x:v>52.8</x:v>
      </x:c>
      <x:c r="K270" s="5" t="n">
        <x:v>35.7</x:v>
      </x:c>
      <x:c r="L270" s="5" t="n">
        <x:v>2.6</x:v>
      </x:c>
      <x:c r="M270" s="1" t="n">
        <x:v>0</x:v>
      </x:c>
      <x:c r="N270" s="6" t="n">
        <x:v>0.902</x:v>
      </x:c>
      <x:c r="O270" s="1" t="str">
        <x:v>합격</x:v>
      </x:c>
      <x:c r="P270" s="1"/>
      <x:c r="Q270" s="1" t="n">
        <x:v>38</x:v>
      </x:c>
      <x:c r="R270" s="1" t="str">
        <x:v>N</x:v>
      </x:c>
      <x:c r="S270" s="1" t="n">
        <x:v>0</x:v>
      </x:c>
      <x:c r="T270" s="1" t="str">
        <x:v>합격</x:v>
      </x:c>
    </x:row>
    <x:row r="271" ht="22" customHeight="1">
      <x:c r="A271" s="1" t="str">
        <x:v>R00270</x:v>
      </x:c>
      <x:c r="B271" s="4" t="n">
        <x:v>46225.97956018519</x:v>
      </x:c>
      <x:c r="C271" s="1" t="str">
        <x:v>야간</x:v>
      </x:c>
      <x:c r="D271" s="1" t="str">
        <x:v>L1</x:v>
      </x:c>
      <x:c r="E271" s="1" t="str">
        <x:v>P1</x:v>
      </x:c>
      <x:c r="F271" s="1" t="str">
        <x:v>M03</x:v>
      </x:c>
      <x:c r="G271" s="1" t="str">
        <x:v>G06</x:v>
      </x:c>
      <x:c r="H271" s="5" t="n">
        <x:v>25.89</x:v>
      </x:c>
      <x:c r="I271" s="5" t="n">
        <x:v>5.92</x:v>
      </x:c>
      <x:c r="J271" s="5" t="n">
        <x:v>54.2</x:v>
      </x:c>
      <x:c r="K271" s="5" t="n">
        <x:v>35.5</x:v>
      </x:c>
      <x:c r="L271" s="5" t="n">
        <x:v>2.55</x:v>
      </x:c>
      <x:c r="M271" s="1" t="n">
        <x:v>1</x:v>
      </x:c>
      <x:c r="N271" s="6" t="n">
        <x:v>0.975</x:v>
      </x:c>
      <x:c r="O271" s="1" t="str">
        <x:v>합격</x:v>
      </x:c>
      <x:c r="P271" s="1"/>
      <x:c r="Q271" s="1" t="n">
        <x:v>45</x:v>
      </x:c>
      <x:c r="R271" s="1" t="str">
        <x:v>N</x:v>
      </x:c>
      <x:c r="S271" s="1" t="n">
        <x:v>0</x:v>
      </x:c>
      <x:c r="T271" s="1" t="str">
        <x:v>합격</x:v>
      </x:c>
    </x:row>
    <x:row r="272" ht="22" customHeight="1">
      <x:c r="A272" s="1" t="str">
        <x:v>R00271</x:v>
      </x:c>
      <x:c r="B272" s="4" t="n">
        <x:v>46226.633356481485</x:v>
      </x:c>
      <x:c r="C272" s="1" t="str">
        <x:v>주간</x:v>
      </x:c>
      <x:c r="D272" s="1" t="str">
        <x:v>L2</x:v>
      </x:c>
      <x:c r="E272" s="1" t="str">
        <x:v>P2</x:v>
      </x:c>
      <x:c r="F272" s="1" t="str">
        <x:v>M02</x:v>
      </x:c>
      <x:c r="G272" s="1" t="str">
        <x:v>G01</x:v>
      </x:c>
      <x:c r="H272" s="5" t="n">
        <x:v>30.78</x:v>
      </x:c>
      <x:c r="I272" s="5" t="n">
        <x:v>5.75</x:v>
      </x:c>
      <x:c r="J272" s="5" t="n">
        <x:v>57.1</x:v>
      </x:c>
      <x:c r="K272" s="5" t="n">
        <x:v>37.9</x:v>
      </x:c>
      <x:c r="L272" s="5" t="n">
        <x:v>2.26</x:v>
      </x:c>
      <x:c r="M272" s="1" t="n">
        <x:v>1</x:v>
      </x:c>
      <x:c r="N272" s="6" t="n">
        <x:v>1.024</x:v>
      </x:c>
      <x:c r="O272" s="1" t="str">
        <x:v>합격</x:v>
      </x:c>
      <x:c r="P272" s="1"/>
      <x:c r="Q272" s="1" t="n">
        <x:v>49</x:v>
      </x:c>
      <x:c r="R272" s="1" t="str">
        <x:v>N</x:v>
      </x:c>
      <x:c r="S272" s="1" t="n">
        <x:v>0</x:v>
      </x:c>
      <x:c r="T272" s="1" t="str">
        <x:v>합격</x:v>
      </x:c>
    </x:row>
    <x:row r="273" ht="22" customHeight="1">
      <x:c r="A273" s="1" t="str">
        <x:v>R00272</x:v>
      </x:c>
      <x:c r="B273" s="4" t="n">
        <x:v>46227.08814814815</x:v>
      </x:c>
      <x:c r="C273" s="1" t="str">
        <x:v>야간</x:v>
      </x:c>
      <x:c r="D273" s="1" t="str">
        <x:v>L2</x:v>
      </x:c>
      <x:c r="E273" s="1" t="str">
        <x:v>P2</x:v>
      </x:c>
      <x:c r="F273" s="1" t="str">
        <x:v>M01</x:v>
      </x:c>
      <x:c r="G273" s="1" t="str">
        <x:v>G02</x:v>
      </x:c>
      <x:c r="H273" s="5" t="n">
        <x:v>30.91</x:v>
      </x:c>
      <x:c r="I273" s="5" t="n">
        <x:v>5.8</x:v>
      </x:c>
      <x:c r="J273" s="5" t="n">
        <x:v>47.9</x:v>
      </x:c>
      <x:c r="K273" s="5" t="n">
        <x:v>41.8</x:v>
      </x:c>
      <x:c r="L273" s="5" t="n">
        <x:v>1.43</x:v>
      </x:c>
      <x:c r="M273" s="1" t="n">
        <x:v>0</x:v>
      </x:c>
      <x:c r="N273" s="6" t="n">
        <x:v>0.893</x:v>
      </x:c>
      <x:c r="O273" s="1" t="str">
        <x:v>합격</x:v>
      </x:c>
      <x:c r="P273" s="1"/>
      <x:c r="Q273" s="1" t="n">
        <x:v>43</x:v>
      </x:c>
      <x:c r="R273" s="1" t="str">
        <x:v>N</x:v>
      </x:c>
      <x:c r="S273" s="1" t="n">
        <x:v>0</x:v>
      </x:c>
      <x:c r="T273" s="1" t="str">
        <x:v>합격</x:v>
      </x:c>
    </x:row>
    <x:row r="274" ht="22" customHeight="1">
      <x:c r="A274" s="1" t="str">
        <x:v>R00273</x:v>
      </x:c>
      <x:c r="B274" s="4" t="n">
        <x:v>46228.63334490741</x:v>
      </x:c>
      <x:c r="C274" s="1" t="str">
        <x:v>주간</x:v>
      </x:c>
      <x:c r="D274" s="1" t="str">
        <x:v>L1</x:v>
      </x:c>
      <x:c r="E274" s="1" t="str">
        <x:v>P1</x:v>
      </x:c>
      <x:c r="F274" s="1" t="str">
        <x:v>M01</x:v>
      </x:c>
      <x:c r="G274" s="1" t="str">
        <x:v>G03</x:v>
      </x:c>
      <x:c r="H274" s="5" t="n">
        <x:v>28.84</x:v>
      </x:c>
      <x:c r="I274" s="5" t="n">
        <x:v>5.68</x:v>
      </x:c>
      <x:c r="J274" s="5" t="n">
        <x:v>49.4</x:v>
      </x:c>
      <x:c r="K274" s="5" t="n">
        <x:v>37.9</x:v>
      </x:c>
      <x:c r="L274" s="5" t="n">
        <x:v>1.43</x:v>
      </x:c>
      <x:c r="M274" s="1" t="n">
        <x:v>1</x:v>
      </x:c>
      <x:c r="N274" s="6" t="n">
        <x:v>1.047</x:v>
      </x:c>
      <x:c r="O274" s="1" t="str">
        <x:v>합격</x:v>
      </x:c>
      <x:c r="P274" s="1"/>
      <x:c r="Q274" s="1" t="n">
        <x:v>41</x:v>
      </x:c>
      <x:c r="R274" s="1" t="str">
        <x:v>N</x:v>
      </x:c>
      <x:c r="S274" s="1" t="n">
        <x:v>0</x:v>
      </x:c>
      <x:c r="T274" s="1" t="str">
        <x:v>합격</x:v>
      </x:c>
    </x:row>
    <x:row r="275" ht="22" customHeight="1">
      <x:c r="A275" s="1" t="str">
        <x:v>R00274</x:v>
      </x:c>
      <x:c r="B275" s="4" t="n">
        <x:v>46229.90241898148</x:v>
      </x:c>
      <x:c r="C275" s="1" t="str">
        <x:v>야간</x:v>
      </x:c>
      <x:c r="D275" s="1" t="str">
        <x:v>L1</x:v>
      </x:c>
      <x:c r="E275" s="1" t="str">
        <x:v>P1</x:v>
      </x:c>
      <x:c r="F275" s="1" t="str">
        <x:v>M03</x:v>
      </x:c>
      <x:c r="G275" s="1" t="str">
        <x:v>G04</x:v>
      </x:c>
      <x:c r="H275" s="5" t="n">
        <x:v>28.77</x:v>
      </x:c>
      <x:c r="I275" s="5" t="n">
        <x:v>5.82</x:v>
      </x:c>
      <x:c r="J275" s="5" t="n">
        <x:v>57.4</x:v>
      </x:c>
      <x:c r="K275" s="5" t="n">
        <x:v>40.7</x:v>
      </x:c>
      <x:c r="L275" s="5" t="n">
        <x:v>2.38</x:v>
      </x:c>
      <x:c r="M275" s="1" t="n">
        <x:v>1</x:v>
      </x:c>
      <x:c r="N275" s="6" t="n">
        <x:v>0.986</x:v>
      </x:c>
      <x:c r="O275" s="1" t="str">
        <x:v>합격</x:v>
      </x:c>
      <x:c r="P275" s="1"/>
      <x:c r="Q275" s="1" t="n">
        <x:v>39</x:v>
      </x:c>
      <x:c r="R275" s="1" t="str">
        <x:v>N</x:v>
      </x:c>
      <x:c r="S275" s="1" t="n">
        <x:v>0</x:v>
      </x:c>
      <x:c r="T275" s="1" t="str">
        <x:v>합격</x:v>
      </x:c>
    </x:row>
    <x:row r="276" ht="22" customHeight="1">
      <x:c r="A276" s="1" t="str">
        <x:v>R00275</x:v>
      </x:c>
      <x:c r="B276" s="4" t="n">
        <x:v>46230.38271990741</x:v>
      </x:c>
      <x:c r="C276" s="1" t="str">
        <x:v>주간</x:v>
      </x:c>
      <x:c r="D276" s="1" t="str">
        <x:v>L1</x:v>
      </x:c>
      <x:c r="E276" s="1" t="str">
        <x:v>P1</x:v>
      </x:c>
      <x:c r="F276" s="1" t="str">
        <x:v>M01</x:v>
      </x:c>
      <x:c r="G276" s="1" t="str">
        <x:v>G05</x:v>
      </x:c>
      <x:c r="H276" s="5" t="n">
        <x:v>30.65</x:v>
      </x:c>
      <x:c r="I276" s="5" t="n">
        <x:v>5.74</x:v>
      </x:c>
      <x:c r="J276" s="5" t="n">
        <x:v>55.8</x:v>
      </x:c>
      <x:c r="K276" s="5" t="n">
        <x:v>36.6</x:v>
      </x:c>
      <x:c r="L276" s="5" t="n">
        <x:v>2.28</x:v>
      </x:c>
      <x:c r="M276" s="1" t="n">
        <x:v>1</x:v>
      </x:c>
      <x:c r="N276" s="6" t="n">
        <x:v>0.873</x:v>
      </x:c>
      <x:c r="O276" s="1" t="str">
        <x:v>합격</x:v>
      </x:c>
      <x:c r="P276" s="1"/>
      <x:c r="Q276" s="1" t="n">
        <x:v>42</x:v>
      </x:c>
      <x:c r="R276" s="1" t="str">
        <x:v>N</x:v>
      </x:c>
      <x:c r="S276" s="1" t="n">
        <x:v>0</x:v>
      </x:c>
      <x:c r="T276" s="1" t="str">
        <x:v>합격</x:v>
      </x:c>
    </x:row>
    <x:row r="277" ht="22" customHeight="1">
      <x:c r="A277" s="1" t="str">
        <x:v>R00276</x:v>
      </x:c>
      <x:c r="B277" s="4" t="n">
        <x:v>46231.574479166666</x:v>
      </x:c>
      <x:c r="C277" s="1" t="str">
        <x:v>주간</x:v>
      </x:c>
      <x:c r="D277" s="1" t="str">
        <x:v>L1</x:v>
      </x:c>
      <x:c r="E277" s="1" t="str">
        <x:v>P1</x:v>
      </x:c>
      <x:c r="F277" s="1" t="str">
        <x:v>M03</x:v>
      </x:c>
      <x:c r="G277" s="1" t="str">
        <x:v>G06</x:v>
      </x:c>
      <x:c r="H277" s="5" t="n">
        <x:v>31.18</x:v>
      </x:c>
      <x:c r="I277" s="5" t="n">
        <x:v>5.7</x:v>
      </x:c>
      <x:c r="J277" s="5" t="n">
        <x:v>57.8</x:v>
      </x:c>
      <x:c r="K277" s="5" t="n">
        <x:v>40.9</x:v>
      </x:c>
      <x:c r="L277" s="5" t="n">
        <x:v>2.2</x:v>
      </x:c>
      <x:c r="M277" s="1" t="n">
        <x:v>1</x:v>
      </x:c>
      <x:c r="N277" s="6" t="n">
        <x:v>0.993</x:v>
      </x:c>
      <x:c r="O277" s="1" t="str">
        <x:v>합격</x:v>
      </x:c>
      <x:c r="P277" s="1"/>
      <x:c r="Q277" s="1" t="n">
        <x:v>44</x:v>
      </x:c>
      <x:c r="R277" s="1" t="str">
        <x:v>N</x:v>
      </x:c>
      <x:c r="S277" s="1" t="n">
        <x:v>0</x:v>
      </x:c>
      <x:c r="T277" s="1" t="str">
        <x:v>합격</x:v>
      </x:c>
    </x:row>
    <x:row r="278" ht="22" customHeight="1">
      <x:c r="A278" s="1" t="str">
        <x:v>R00277</x:v>
      </x:c>
      <x:c r="B278" s="4" t="n">
        <x:v>46232.11350694444</x:v>
      </x:c>
      <x:c r="C278" s="1" t="str">
        <x:v>야간</x:v>
      </x:c>
      <x:c r="D278" s="1" t="str">
        <x:v>L1</x:v>
      </x:c>
      <x:c r="E278" s="1" t="str">
        <x:v>P1</x:v>
      </x:c>
      <x:c r="F278" s="1" t="str">
        <x:v>M04</x:v>
      </x:c>
      <x:c r="G278" s="1" t="str">
        <x:v>G01</x:v>
      </x:c>
      <x:c r="H278" s="5" t="n">
        <x:v>31.28</x:v>
      </x:c>
      <x:c r="I278" s="5" t="n">
        <x:v>5.99</x:v>
      </x:c>
      <x:c r="J278" s="5" t="n">
        <x:v>49.1</x:v>
      </x:c>
      <x:c r="K278" s="5" t="n">
        <x:v>40.2</x:v>
      </x:c>
      <x:c r="L278" s="5" t="n">
        <x:v>1.73</x:v>
      </x:c>
      <x:c r="M278" s="1" t="n">
        <x:v>0</x:v>
      </x:c>
      <x:c r="N278" s="6" t="n">
        <x:v>1.008</x:v>
      </x:c>
      <x:c r="O278" s="1" t="str">
        <x:v>합격</x:v>
      </x:c>
      <x:c r="P278" s="1"/>
      <x:c r="Q278" s="1" t="n">
        <x:v>46</x:v>
      </x:c>
      <x:c r="R278" s="1" t="str">
        <x:v>N</x:v>
      </x:c>
      <x:c r="S278" s="1" t="n">
        <x:v>0</x:v>
      </x:c>
      <x:c r="T278" s="1" t="str">
        <x:v>합격</x:v>
      </x:c>
    </x:row>
    <x:row r="279" ht="22" customHeight="1">
      <x:c r="A279" s="1" t="str">
        <x:v>R00278</x:v>
      </x:c>
      <x:c r="B279" s="4" t="n">
        <x:v>46233.61927083333</x:v>
      </x:c>
      <x:c r="C279" s="1" t="str">
        <x:v>주간</x:v>
      </x:c>
      <x:c r="D279" s="1" t="str">
        <x:v>L1</x:v>
      </x:c>
      <x:c r="E279" s="1" t="str">
        <x:v>P1</x:v>
      </x:c>
      <x:c r="F279" s="1" t="str">
        <x:v>M03</x:v>
      </x:c>
      <x:c r="G279" s="1" t="str">
        <x:v>G02</x:v>
      </x:c>
      <x:c r="H279" s="5" t="n">
        <x:v>30.32</x:v>
      </x:c>
      <x:c r="I279" s="5" t="n">
        <x:v>6</x:v>
      </x:c>
      <x:c r="J279" s="5" t="n">
        <x:v>52.6</x:v>
      </x:c>
      <x:c r="K279" s="5" t="n">
        <x:v>39.7</x:v>
      </x:c>
      <x:c r="L279" s="5" t="n">
        <x:v>2.64</x:v>
      </x:c>
      <x:c r="M279" s="1" t="n">
        <x:v>1</x:v>
      </x:c>
      <x:c r="N279" s="6" t="n">
        <x:v>0.869</x:v>
      </x:c>
      <x:c r="O279" s="1" t="str">
        <x:v>합격</x:v>
      </x:c>
      <x:c r="P279" s="1"/>
      <x:c r="Q279" s="1" t="n">
        <x:v>41</x:v>
      </x:c>
      <x:c r="R279" s="1" t="str">
        <x:v>N</x:v>
      </x:c>
      <x:c r="S279" s="1" t="n">
        <x:v>0</x:v>
      </x:c>
      <x:c r="T279" s="1" t="str">
        <x:v>합격</x:v>
      </x:c>
    </x:row>
    <x:row r="280" ht="22" customHeight="1">
      <x:c r="A280" s="1" t="str">
        <x:v>R00279</x:v>
      </x:c>
      <x:c r="B280" s="4" t="n">
        <x:v>46234.1328587963</x:v>
      </x:c>
      <x:c r="C280" s="1" t="str">
        <x:v>야간</x:v>
      </x:c>
      <x:c r="D280" s="1" t="str">
        <x:v>L1</x:v>
      </x:c>
      <x:c r="E280" s="1" t="str">
        <x:v>P1</x:v>
      </x:c>
      <x:c r="F280" s="1" t="str">
        <x:v>M03</x:v>
      </x:c>
      <x:c r="G280" s="1" t="str">
        <x:v>G03</x:v>
      </x:c>
      <x:c r="H280" s="5" t="n">
        <x:v>33.49</x:v>
      </x:c>
      <x:c r="I280" s="5" t="n">
        <x:v>5.9</x:v>
      </x:c>
      <x:c r="J280" s="5" t="n">
        <x:v>48.3</x:v>
      </x:c>
      <x:c r="K280" s="5" t="n">
        <x:v>40.5</x:v>
      </x:c>
      <x:c r="L280" s="5" t="n">
        <x:v>2.68</x:v>
      </x:c>
      <x:c r="M280" s="1" t="n">
        <x:v>0</x:v>
      </x:c>
      <x:c r="N280" s="6" t="n">
        <x:v>1.025</x:v>
      </x:c>
      <x:c r="O280" s="1" t="str">
        <x:v>합격</x:v>
      </x:c>
      <x:c r="P280" s="1"/>
      <x:c r="Q280" s="1" t="n">
        <x:v>37</x:v>
      </x:c>
      <x:c r="R280" s="1" t="str">
        <x:v>N</x:v>
      </x:c>
      <x:c r="S280" s="1" t="n">
        <x:v>0</x:v>
      </x:c>
      <x:c r="T280" s="1" t="str">
        <x:v>합격</x:v>
      </x:c>
    </x:row>
    <x:row r="281" ht="22" customHeight="1">
      <x:c r="A281" s="1" t="str">
        <x:v>R00280</x:v>
      </x:c>
      <x:c r="B281" s="4" t="n">
        <x:v>46204.36039351852</x:v>
      </x:c>
      <x:c r="C281" s="1" t="str">
        <x:v>주간</x:v>
      </x:c>
      <x:c r="D281" s="1" t="str">
        <x:v>L2</x:v>
      </x:c>
      <x:c r="E281" s="1" t="str">
        <x:v>P2</x:v>
      </x:c>
      <x:c r="F281" s="1" t="str">
        <x:v>M04</x:v>
      </x:c>
      <x:c r="G281" s="1" t="str">
        <x:v>G04</x:v>
      </x:c>
      <x:c r="H281" s="5" t="n">
        <x:v>30.06</x:v>
      </x:c>
      <x:c r="I281" s="5" t="n">
        <x:v>5.67</x:v>
      </x:c>
      <x:c r="J281" s="5" t="n">
        <x:v>52.7</x:v>
      </x:c>
      <x:c r="K281" s="5" t="n">
        <x:v>36.1</x:v>
      </x:c>
      <x:c r="L281" s="5" t="n">
        <x:v>1.85</x:v>
      </x:c>
      <x:c r="M281" s="1" t="n">
        <x:v>1</x:v>
      </x:c>
      <x:c r="N281" s="6" t="n">
        <x:v>0.985</x:v>
      </x:c>
      <x:c r="O281" s="1" t="str">
        <x:v>합격</x:v>
      </x:c>
      <x:c r="P281" s="1"/>
      <x:c r="Q281" s="1" t="n">
        <x:v>48</x:v>
      </x:c>
      <x:c r="R281" s="1" t="str">
        <x:v>N</x:v>
      </x:c>
      <x:c r="S281" s="1" t="n">
        <x:v>0</x:v>
      </x:c>
      <x:c r="T281" s="1" t="str">
        <x:v>합격</x:v>
      </x:c>
    </x:row>
    <x:row r="282" ht="22" customHeight="1">
      <x:c r="A282" s="1" t="str">
        <x:v>R00281</x:v>
      </x:c>
      <x:c r="B282" s="4" t="n">
        <x:v>46205.512766203705</x:v>
      </x:c>
      <x:c r="C282" s="1" t="str">
        <x:v>주간</x:v>
      </x:c>
      <x:c r="D282" s="1" t="str">
        <x:v>L2</x:v>
      </x:c>
      <x:c r="E282" s="1" t="str">
        <x:v>P2</x:v>
      </x:c>
      <x:c r="F282" s="1" t="str">
        <x:v>M02</x:v>
      </x:c>
      <x:c r="G282" s="1" t="str">
        <x:v>G05</x:v>
      </x:c>
      <x:c r="H282" s="5" t="n">
        <x:v>32.56</x:v>
      </x:c>
      <x:c r="I282" s="5" t="n">
        <x:v>5.85</x:v>
      </x:c>
      <x:c r="J282" s="5" t="n">
        <x:v>49.9</x:v>
      </x:c>
      <x:c r="K282" s="5" t="n">
        <x:v>39.7</x:v>
      </x:c>
      <x:c r="L282" s="5" t="n">
        <x:v>1.46</x:v>
      </x:c>
      <x:c r="M282" s="1" t="n">
        <x:v>1</x:v>
      </x:c>
      <x:c r="N282" s="6" t="n">
        <x:v>1.04</x:v>
      </x:c>
      <x:c r="O282" s="1" t="str">
        <x:v>합격</x:v>
      </x:c>
      <x:c r="P282" s="1"/>
      <x:c r="Q282" s="1" t="n">
        <x:v>38</x:v>
      </x:c>
      <x:c r="R282" s="1" t="str">
        <x:v>N</x:v>
      </x:c>
      <x:c r="S282" s="1" t="n">
        <x:v>0</x:v>
      </x:c>
      <x:c r="T282" s="1" t="str">
        <x:v>합격</x:v>
      </x:c>
    </x:row>
    <x:row r="283" ht="22" customHeight="1">
      <x:c r="A283" s="1" t="str">
        <x:v>R00282</x:v>
      </x:c>
      <x:c r="B283" s="4" t="n">
        <x:v>46206.6265162037</x:v>
      </x:c>
      <x:c r="C283" s="1" t="str">
        <x:v>주간</x:v>
      </x:c>
      <x:c r="D283" s="1" t="str">
        <x:v>L1</x:v>
      </x:c>
      <x:c r="E283" s="1" t="str">
        <x:v>P1</x:v>
      </x:c>
      <x:c r="F283" s="1" t="str">
        <x:v>M01</x:v>
      </x:c>
      <x:c r="G283" s="1" t="str">
        <x:v>G06</x:v>
      </x:c>
      <x:c r="H283" s="5" t="n">
        <x:v>31.99</x:v>
      </x:c>
      <x:c r="I283" s="5" t="n">
        <x:v>5.79</x:v>
      </x:c>
      <x:c r="J283" s="5" t="n">
        <x:v>47.4</x:v>
      </x:c>
      <x:c r="K283" s="5" t="n">
        <x:v>38.3</x:v>
      </x:c>
      <x:c r="L283" s="5" t="n">
        <x:v>1.62</x:v>
      </x:c>
      <x:c r="M283" s="1" t="n">
        <x:v>0</x:v>
      </x:c>
      <x:c r="N283" s="6" t="n">
        <x:v>0.957</x:v>
      </x:c>
      <x:c r="O283" s="1" t="str">
        <x:v>합격</x:v>
      </x:c>
      <x:c r="P283" s="1"/>
      <x:c r="Q283" s="1" t="n">
        <x:v>37</x:v>
      </x:c>
      <x:c r="R283" s="1" t="str">
        <x:v>N</x:v>
      </x:c>
      <x:c r="S283" s="1" t="n">
        <x:v>0</x:v>
      </x:c>
      <x:c r="T283" s="1" t="str">
        <x:v>합격</x:v>
      </x:c>
    </x:row>
    <x:row r="284" ht="22" customHeight="1">
      <x:c r="A284" s="1" t="str">
        <x:v>R00283</x:v>
      </x:c>
      <x:c r="B284" s="4" t="n">
        <x:v>46207.45355324074</x:v>
      </x:c>
      <x:c r="C284" s="1" t="str">
        <x:v>주간</x:v>
      </x:c>
      <x:c r="D284" s="1" t="str">
        <x:v>L2</x:v>
      </x:c>
      <x:c r="E284" s="1" t="str">
        <x:v>P2</x:v>
      </x:c>
      <x:c r="F284" s="1" t="str">
        <x:v>M02</x:v>
      </x:c>
      <x:c r="G284" s="1" t="str">
        <x:v>G01</x:v>
      </x:c>
      <x:c r="H284" s="5" t="n">
        <x:v>30.17</x:v>
      </x:c>
      <x:c r="I284" s="5" t="n">
        <x:v>5.61</x:v>
      </x:c>
      <x:c r="J284" s="5" t="n">
        <x:v>58.4</x:v>
      </x:c>
      <x:c r="K284" s="5" t="n">
        <x:v>41.6</x:v>
      </x:c>
      <x:c r="L284" s="5" t="n">
        <x:v>2.53</x:v>
      </x:c>
      <x:c r="M284" s="1" t="n">
        <x:v>1</x:v>
      </x:c>
      <x:c r="N284" s="6" t="n">
        <x:v>0.939</x:v>
      </x:c>
      <x:c r="O284" s="1" t="str">
        <x:v>합격</x:v>
      </x:c>
      <x:c r="P284" s="1"/>
      <x:c r="Q284" s="1" t="n">
        <x:v>38</x:v>
      </x:c>
      <x:c r="R284" s="1" t="str">
        <x:v>N</x:v>
      </x:c>
      <x:c r="S284" s="1" t="n">
        <x:v>0</x:v>
      </x:c>
      <x:c r="T284" s="1" t="str">
        <x:v>합격</x:v>
      </x:c>
    </x:row>
    <x:row r="285" ht="22" customHeight="1">
      <x:c r="A285" s="1" t="str">
        <x:v>R00284</x:v>
      </x:c>
      <x:c r="B285" s="4" t="n">
        <x:v>46208.07210648148</x:v>
      </x:c>
      <x:c r="C285" s="1" t="str">
        <x:v>야간</x:v>
      </x:c>
      <x:c r="D285" s="1" t="str">
        <x:v>L1</x:v>
      </x:c>
      <x:c r="E285" s="1" t="str">
        <x:v>P1</x:v>
      </x:c>
      <x:c r="F285" s="1" t="str">
        <x:v>M04</x:v>
      </x:c>
      <x:c r="G285" s="1" t="str">
        <x:v>G02</x:v>
      </x:c>
      <x:c r="H285" s="5" t="n">
        <x:v>31.09</x:v>
      </x:c>
      <x:c r="I285" s="5" t="n">
        <x:v>5.86</x:v>
      </x:c>
      <x:c r="J285" s="5" t="n">
        <x:v>48.2</x:v>
      </x:c>
      <x:c r="K285" s="5" t="n">
        <x:v>37.8</x:v>
      </x:c>
      <x:c r="L285" s="5" t="n">
        <x:v>2.4</x:v>
      </x:c>
      <x:c r="M285" s="1" t="n">
        <x:v>1</x:v>
      </x:c>
      <x:c r="N285" s="6" t="n">
        <x:v>0.866</x:v>
      </x:c>
      <x:c r="O285" s="1" t="str">
        <x:v>합격</x:v>
      </x:c>
      <x:c r="P285" s="1"/>
      <x:c r="Q285" s="1" t="n">
        <x:v>42</x:v>
      </x:c>
      <x:c r="R285" s="1" t="str">
        <x:v>N</x:v>
      </x:c>
      <x:c r="S285" s="1" t="n">
        <x:v>0</x:v>
      </x:c>
      <x:c r="T285" s="1" t="str">
        <x:v>합격</x:v>
      </x:c>
    </x:row>
    <x:row r="286" ht="22" customHeight="1">
      <x:c r="A286" s="1" t="str">
        <x:v>R00285</x:v>
      </x:c>
      <x:c r="B286" s="4" t="n">
        <x:v>46209.05305555555</x:v>
      </x:c>
      <x:c r="C286" s="1" t="str">
        <x:v>야간</x:v>
      </x:c>
      <x:c r="D286" s="1" t="str">
        <x:v>L1</x:v>
      </x:c>
      <x:c r="E286" s="1" t="str">
        <x:v>P1</x:v>
      </x:c>
      <x:c r="F286" s="1" t="str">
        <x:v>M03</x:v>
      </x:c>
      <x:c r="G286" s="1" t="str">
        <x:v>G03</x:v>
      </x:c>
      <x:c r="H286" s="5" t="n">
        <x:v>33.86</x:v>
      </x:c>
      <x:c r="I286" s="5" t="n">
        <x:v>5.66</x:v>
      </x:c>
      <x:c r="J286" s="5" t="n">
        <x:v>53.7</x:v>
      </x:c>
      <x:c r="K286" s="5" t="n">
        <x:v>40.7</x:v>
      </x:c>
      <x:c r="L286" s="5" t="n">
        <x:v>2.1</x:v>
      </x:c>
      <x:c r="M286" s="1" t="n">
        <x:v>1</x:v>
      </x:c>
      <x:c r="N286" s="6" t="n">
        <x:v>0.886</x:v>
      </x:c>
      <x:c r="O286" s="1" t="str">
        <x:v>합격</x:v>
      </x:c>
      <x:c r="P286" s="1"/>
      <x:c r="Q286" s="1" t="n">
        <x:v>35</x:v>
      </x:c>
      <x:c r="R286" s="1" t="str">
        <x:v>N</x:v>
      </x:c>
      <x:c r="S286" s="1" t="n">
        <x:v>0</x:v>
      </x:c>
      <x:c r="T286" s="1" t="str">
        <x:v>합격</x:v>
      </x:c>
    </x:row>
    <x:row r="287" ht="22" customHeight="1">
      <x:c r="A287" s="1" t="str">
        <x:v>R00286</x:v>
      </x:c>
      <x:c r="B287" s="4" t="n">
        <x:v>46210.65490740741</x:v>
      </x:c>
      <x:c r="C287" s="1" t="str">
        <x:v>주간</x:v>
      </x:c>
      <x:c r="D287" s="1" t="str">
        <x:v>L2</x:v>
      </x:c>
      <x:c r="E287" s="1" t="str">
        <x:v>P2</x:v>
      </x:c>
      <x:c r="F287" s="1" t="str">
        <x:v>M02</x:v>
      </x:c>
      <x:c r="G287" s="1" t="str">
        <x:v>G04</x:v>
      </x:c>
      <x:c r="H287" s="5" t="n">
        <x:v>27.95</x:v>
      </x:c>
      <x:c r="I287" s="5" t="n">
        <x:v>5.87</x:v>
      </x:c>
      <x:c r="J287" s="5" t="n">
        <x:v>52.7</x:v>
      </x:c>
      <x:c r="K287" s="5" t="n">
        <x:v>38.7</x:v>
      </x:c>
      <x:c r="L287" s="5" t="n">
        <x:v>2.66</x:v>
      </x:c>
      <x:c r="M287" s="1" t="n">
        <x:v>0</x:v>
      </x:c>
      <x:c r="N287" s="6" t="n">
        <x:v>0.912</x:v>
      </x:c>
      <x:c r="O287" s="1" t="str">
        <x:v>합격</x:v>
      </x:c>
      <x:c r="P287" s="1"/>
      <x:c r="Q287" s="1" t="n">
        <x:v>44</x:v>
      </x:c>
      <x:c r="R287" s="1" t="str">
        <x:v>N</x:v>
      </x:c>
      <x:c r="S287" s="1" t="n">
        <x:v>0</x:v>
      </x:c>
      <x:c r="T287" s="1" t="str">
        <x:v>합격</x:v>
      </x:c>
    </x:row>
    <x:row r="288" ht="22" customHeight="1">
      <x:c r="A288" s="1" t="str">
        <x:v>R00287</x:v>
      </x:c>
      <x:c r="B288" s="4" t="n">
        <x:v>46211.34835648148</x:v>
      </x:c>
      <x:c r="C288" s="1" t="str">
        <x:v>주간</x:v>
      </x:c>
      <x:c r="D288" s="1" t="str">
        <x:v>L2</x:v>
      </x:c>
      <x:c r="E288" s="1" t="str">
        <x:v>P2</x:v>
      </x:c>
      <x:c r="F288" s="1" t="str">
        <x:v>M04</x:v>
      </x:c>
      <x:c r="G288" s="1" t="str">
        <x:v>G05</x:v>
      </x:c>
      <x:c r="H288" s="5" t="n">
        <x:v>30.44</x:v>
      </x:c>
      <x:c r="I288" s="5" t="n">
        <x:v>5.83</x:v>
      </x:c>
      <x:c r="J288" s="5" t="n">
        <x:v>52.9</x:v>
      </x:c>
      <x:c r="K288" s="5" t="n">
        <x:v>35.3</x:v>
      </x:c>
      <x:c r="L288" s="5" t="n">
        <x:v>1.6</x:v>
      </x:c>
      <x:c r="M288" s="1" t="n">
        <x:v>1</x:v>
      </x:c>
      <x:c r="N288" s="6" t="n">
        <x:v>0.896</x:v>
      </x:c>
      <x:c r="O288" s="1" t="str">
        <x:v>합격</x:v>
      </x:c>
      <x:c r="P288" s="1"/>
      <x:c r="Q288" s="1" t="n">
        <x:v>46</x:v>
      </x:c>
      <x:c r="R288" s="1" t="str">
        <x:v>N</x:v>
      </x:c>
      <x:c r="S288" s="1" t="n">
        <x:v>0</x:v>
      </x:c>
      <x:c r="T288" s="1" t="str">
        <x:v>합격</x:v>
      </x:c>
    </x:row>
    <x:row r="289" ht="22" customHeight="1">
      <x:c r="A289" s="1" t="str">
        <x:v>R00288</x:v>
      </x:c>
      <x:c r="B289" s="4" t="n">
        <x:v>46212.62615740741</x:v>
      </x:c>
      <x:c r="C289" s="1" t="str">
        <x:v>주간</x:v>
      </x:c>
      <x:c r="D289" s="1" t="str">
        <x:v>L1</x:v>
      </x:c>
      <x:c r="E289" s="1" t="str">
        <x:v>P1</x:v>
      </x:c>
      <x:c r="F289" s="1" t="str">
        <x:v>M01</x:v>
      </x:c>
      <x:c r="G289" s="1" t="str">
        <x:v>G06</x:v>
      </x:c>
      <x:c r="H289" s="5" t="n">
        <x:v>29.37</x:v>
      </x:c>
      <x:c r="I289" s="5" t="n">
        <x:v>5.79</x:v>
      </x:c>
      <x:c r="J289" s="5" t="n">
        <x:v>56.4</x:v>
      </x:c>
      <x:c r="K289" s="5" t="n">
        <x:v>35.7</x:v>
      </x:c>
      <x:c r="L289" s="5" t="n">
        <x:v>2.58</x:v>
      </x:c>
      <x:c r="M289" s="1" t="n">
        <x:v>0</x:v>
      </x:c>
      <x:c r="N289" s="6" t="n">
        <x:v>0.99</x:v>
      </x:c>
      <x:c r="O289" s="1" t="str">
        <x:v>합격</x:v>
      </x:c>
      <x:c r="P289" s="1"/>
      <x:c r="Q289" s="1" t="n">
        <x:v>48</x:v>
      </x:c>
      <x:c r="R289" s="1" t="str">
        <x:v>N</x:v>
      </x:c>
      <x:c r="S289" s="1" t="n">
        <x:v>0</x:v>
      </x:c>
      <x:c r="T289" s="1" t="str">
        <x:v>합격</x:v>
      </x:c>
    </x:row>
    <x:row r="290" ht="22" customHeight="1">
      <x:c r="A290" s="1" t="str">
        <x:v>R00289</x:v>
      </x:c>
      <x:c r="B290" s="4" t="n">
        <x:v>46213.49668981481</x:v>
      </x:c>
      <x:c r="C290" s="1" t="str">
        <x:v>주간</x:v>
      </x:c>
      <x:c r="D290" s="1" t="str">
        <x:v>L2</x:v>
      </x:c>
      <x:c r="E290" s="1" t="str">
        <x:v>P2</x:v>
      </x:c>
      <x:c r="F290" s="1" t="str">
        <x:v>M02</x:v>
      </x:c>
      <x:c r="G290" s="1" t="str">
        <x:v>G01</x:v>
      </x:c>
      <x:c r="H290" s="5" t="n">
        <x:v>30.41</x:v>
      </x:c>
      <x:c r="I290" s="5" t="n">
        <x:v>5.93</x:v>
      </x:c>
      <x:c r="J290" s="5" t="n">
        <x:v>47.6</x:v>
      </x:c>
      <x:c r="K290" s="5" t="n">
        <x:v>35.3</x:v>
      </x:c>
      <x:c r="L290" s="5" t="n">
        <x:v>2.28</x:v>
      </x:c>
      <x:c r="M290" s="1" t="n">
        <x:v>0</x:v>
      </x:c>
      <x:c r="N290" s="6" t="n">
        <x:v>0.893</x:v>
      </x:c>
      <x:c r="O290" s="1" t="str">
        <x:v>합격</x:v>
      </x:c>
      <x:c r="P290" s="1"/>
      <x:c r="Q290" s="1" t="n">
        <x:v>48</x:v>
      </x:c>
      <x:c r="R290" s="1" t="str">
        <x:v>N</x:v>
      </x:c>
      <x:c r="S290" s="1" t="n">
        <x:v>0</x:v>
      </x:c>
      <x:c r="T290" s="1" t="str">
        <x:v>합격</x:v>
      </x:c>
    </x:row>
    <x:row r="291" ht="22" customHeight="1">
      <x:c r="A291" s="1" t="str">
        <x:v>R00290</x:v>
      </x:c>
      <x:c r="B291" s="4" t="n">
        <x:v>46214.616006944445</x:v>
      </x:c>
      <x:c r="C291" s="1" t="str">
        <x:v>주간</x:v>
      </x:c>
      <x:c r="D291" s="1" t="str">
        <x:v>L1</x:v>
      </x:c>
      <x:c r="E291" s="1" t="str">
        <x:v>P1</x:v>
      </x:c>
      <x:c r="F291" s="1" t="str">
        <x:v>M01</x:v>
      </x:c>
      <x:c r="G291" s="1" t="str">
        <x:v>G02</x:v>
      </x:c>
      <x:c r="H291" s="5"/>
      <x:c r="I291" s="5" t="n">
        <x:v>5.67</x:v>
      </x:c>
      <x:c r="J291" s="5" t="n">
        <x:v>51.4</x:v>
      </x:c>
      <x:c r="K291" s="5" t="n">
        <x:v>37.3</x:v>
      </x:c>
      <x:c r="L291" s="5" t="n">
        <x:v>1.3</x:v>
      </x:c>
      <x:c r="M291" s="1" t="n">
        <x:v>0</x:v>
      </x:c>
      <x:c r="N291" s="6" t="n">
        <x:v>0.857</x:v>
      </x:c>
      <x:c r="O291" s="1" t="str">
        <x:v>합격</x:v>
      </x:c>
      <x:c r="P291" s="1"/>
      <x:c r="Q291" s="1" t="n">
        <x:v>35</x:v>
      </x:c>
      <x:c r="R291" s="1" t="str">
        <x:v>N</x:v>
      </x:c>
      <x:c r="S291" s="1" t="n">
        <x:v>0</x:v>
      </x:c>
      <x:c r="T291" s="1" t="str">
        <x:v>합격</x:v>
      </x:c>
    </x:row>
    <x:row r="292" ht="22" customHeight="1">
      <x:c r="A292" s="1" t="str">
        <x:v>R00291</x:v>
      </x:c>
      <x:c r="B292" s="4" t="n">
        <x:v>46215.35753472222</x:v>
      </x:c>
      <x:c r="C292" s="1" t="str">
        <x:v>주간</x:v>
      </x:c>
      <x:c r="D292" s="1" t="str">
        <x:v>L2</x:v>
      </x:c>
      <x:c r="E292" s="1" t="str">
        <x:v>P2</x:v>
      </x:c>
      <x:c r="F292" s="1" t="str">
        <x:v>M02</x:v>
      </x:c>
      <x:c r="G292" s="1" t="str">
        <x:v>G03</x:v>
      </x:c>
      <x:c r="H292" s="5" t="n">
        <x:v>31</x:v>
      </x:c>
      <x:c r="I292" s="5" t="n">
        <x:v>5.86</x:v>
      </x:c>
      <x:c r="J292" s="5" t="n">
        <x:v>58.2</x:v>
      </x:c>
      <x:c r="K292" s="5" t="n">
        <x:v>37.4</x:v>
      </x:c>
      <x:c r="L292" s="5" t="n">
        <x:v>1.38</x:v>
      </x:c>
      <x:c r="M292" s="1" t="n">
        <x:v>0</x:v>
      </x:c>
      <x:c r="N292" s="6" t="n">
        <x:v>1.017</x:v>
      </x:c>
      <x:c r="O292" s="1" t="str">
        <x:v>합격</x:v>
      </x:c>
      <x:c r="P292" s="1"/>
      <x:c r="Q292" s="1" t="n">
        <x:v>42</x:v>
      </x:c>
      <x:c r="R292" s="1" t="str">
        <x:v>N</x:v>
      </x:c>
      <x:c r="S292" s="1" t="n">
        <x:v>0</x:v>
      </x:c>
      <x:c r="T292" s="1" t="str">
        <x:v>합격</x:v>
      </x:c>
    </x:row>
    <x:row r="293" ht="22" customHeight="1">
      <x:c r="A293" s="1" t="str">
        <x:v>R00292</x:v>
      </x:c>
      <x:c r="B293" s="4" t="n">
        <x:v>46216.386342592596</x:v>
      </x:c>
      <x:c r="C293" s="1" t="str">
        <x:v>주간</x:v>
      </x:c>
      <x:c r="D293" s="1" t="str">
        <x:v>L1</x:v>
      </x:c>
      <x:c r="E293" s="1" t="str">
        <x:v>P1</x:v>
      </x:c>
      <x:c r="F293" s="1" t="str">
        <x:v>M03</x:v>
      </x:c>
      <x:c r="G293" s="1" t="str">
        <x:v>G04</x:v>
      </x:c>
      <x:c r="H293" s="5" t="n">
        <x:v>30.06</x:v>
      </x:c>
      <x:c r="I293" s="5" t="n">
        <x:v>5.63</x:v>
      </x:c>
      <x:c r="J293" s="5" t="n">
        <x:v>52.3</x:v>
      </x:c>
      <x:c r="K293" s="5" t="n">
        <x:v>38.2</x:v>
      </x:c>
      <x:c r="L293" s="5" t="n">
        <x:v>2.66</x:v>
      </x:c>
      <x:c r="M293" s="1" t="n">
        <x:v>0</x:v>
      </x:c>
      <x:c r="N293" s="6" t="n">
        <x:v>0.853</x:v>
      </x:c>
      <x:c r="O293" s="1" t="str">
        <x:v>합격</x:v>
      </x:c>
      <x:c r="P293" s="1"/>
      <x:c r="Q293" s="1" t="n">
        <x:v>38</x:v>
      </x:c>
      <x:c r="R293" s="1" t="str">
        <x:v>N</x:v>
      </x:c>
      <x:c r="S293" s="1" t="n">
        <x:v>0</x:v>
      </x:c>
      <x:c r="T293" s="1" t="str">
        <x:v>합격</x:v>
      </x:c>
    </x:row>
    <x:row r="294" ht="22" customHeight="1">
      <x:c r="A294" s="1" t="str">
        <x:v>R00293</x:v>
      </x:c>
      <x:c r="B294" s="4" t="n">
        <x:v>46217.958506944444</x:v>
      </x:c>
      <x:c r="C294" s="1" t="str">
        <x:v>야간</x:v>
      </x:c>
      <x:c r="D294" s="1" t="str">
        <x:v>L1</x:v>
      </x:c>
      <x:c r="E294" s="1" t="str">
        <x:v>P1</x:v>
      </x:c>
      <x:c r="F294" s="1" t="str">
        <x:v>M03</x:v>
      </x:c>
      <x:c r="G294" s="1" t="str">
        <x:v>G05</x:v>
      </x:c>
      <x:c r="H294" s="5" t="n">
        <x:v>33.37</x:v>
      </x:c>
      <x:c r="I294" s="5" t="n">
        <x:v>5.62</x:v>
      </x:c>
      <x:c r="J294" s="5" t="n">
        <x:v>49.5</x:v>
      </x:c>
      <x:c r="K294" s="5" t="n">
        <x:v>35.6</x:v>
      </x:c>
      <x:c r="L294" s="5" t="n">
        <x:v>2.04</x:v>
      </x:c>
      <x:c r="M294" s="1" t="n">
        <x:v>1</x:v>
      </x:c>
      <x:c r="N294" s="6" t="n">
        <x:v>0.982</x:v>
      </x:c>
      <x:c r="O294" s="1" t="str">
        <x:v>합격</x:v>
      </x:c>
      <x:c r="P294" s="1"/>
      <x:c r="Q294" s="1" t="n">
        <x:v>44</x:v>
      </x:c>
      <x:c r="R294" s="1" t="str">
        <x:v>N</x:v>
      </x:c>
      <x:c r="S294" s="1" t="n">
        <x:v>0</x:v>
      </x:c>
      <x:c r="T294" s="1" t="str">
        <x:v>합격</x:v>
      </x:c>
    </x:row>
    <x:row r="295" ht="22" customHeight="1">
      <x:c r="A295" s="1" t="str">
        <x:v>R00294</x:v>
      </x:c>
      <x:c r="B295" s="4" t="n">
        <x:v>46218.95773148148</x:v>
      </x:c>
      <x:c r="C295" s="1" t="str">
        <x:v>야간</x:v>
      </x:c>
      <x:c r="D295" s="1" t="str">
        <x:v>L1</x:v>
      </x:c>
      <x:c r="E295" s="1" t="str">
        <x:v>P1</x:v>
      </x:c>
      <x:c r="F295" s="1" t="str">
        <x:v>M04</x:v>
      </x:c>
      <x:c r="G295" s="1" t="str">
        <x:v>G06</x:v>
      </x:c>
      <x:c r="H295" s="5" t="n">
        <x:v>30.31</x:v>
      </x:c>
      <x:c r="I295" s="5" t="n">
        <x:v>6</x:v>
      </x:c>
      <x:c r="J295" s="5" t="n">
        <x:v>48.3</x:v>
      </x:c>
      <x:c r="K295" s="5" t="n">
        <x:v>38.8</x:v>
      </x:c>
      <x:c r="L295" s="5" t="n">
        <x:v>2.36</x:v>
      </x:c>
      <x:c r="M295" s="1" t="n">
        <x:v>1</x:v>
      </x:c>
      <x:c r="N295" s="6" t="n">
        <x:v>1.033</x:v>
      </x:c>
      <x:c r="O295" s="1" t="str">
        <x:v>합격</x:v>
      </x:c>
      <x:c r="P295" s="1"/>
      <x:c r="Q295" s="1" t="n">
        <x:v>35</x:v>
      </x:c>
      <x:c r="R295" s="1" t="str">
        <x:v>N</x:v>
      </x:c>
      <x:c r="S295" s="1" t="n">
        <x:v>0</x:v>
      </x:c>
      <x:c r="T295" s="1" t="str">
        <x:v>합격</x:v>
      </x:c>
    </x:row>
    <x:row r="296" ht="22" customHeight="1">
      <x:c r="A296" s="1" t="str">
        <x:v>R00295</x:v>
      </x:c>
      <x:c r="B296" s="4" t="n">
        <x:v>46219.96733796296</x:v>
      </x:c>
      <x:c r="C296" s="1" t="str">
        <x:v>야간</x:v>
      </x:c>
      <x:c r="D296" s="1" t="str">
        <x:v>L2</x:v>
      </x:c>
      <x:c r="E296" s="1" t="str">
        <x:v>P2</x:v>
      </x:c>
      <x:c r="F296" s="1" t="str">
        <x:v>M01</x:v>
      </x:c>
      <x:c r="G296" s="1" t="str">
        <x:v>G01</x:v>
      </x:c>
      <x:c r="H296" s="5" t="n">
        <x:v>32.22</x:v>
      </x:c>
      <x:c r="I296" s="5" t="n">
        <x:v>5.89</x:v>
      </x:c>
      <x:c r="J296" s="5" t="n">
        <x:v>57.5</x:v>
      </x:c>
      <x:c r="K296" s="5" t="n">
        <x:v>35.2</x:v>
      </x:c>
      <x:c r="L296" s="5" t="n">
        <x:v>1.47</x:v>
      </x:c>
      <x:c r="M296" s="1" t="n">
        <x:v>1</x:v>
      </x:c>
      <x:c r="N296" s="6" t="n">
        <x:v>0.874</x:v>
      </x:c>
      <x:c r="O296" s="1" t="str">
        <x:v>합격</x:v>
      </x:c>
      <x:c r="P296" s="1"/>
      <x:c r="Q296" s="1" t="n">
        <x:v>49</x:v>
      </x:c>
      <x:c r="R296" s="1" t="str">
        <x:v>N</x:v>
      </x:c>
      <x:c r="S296" s="1" t="n">
        <x:v>0</x:v>
      </x:c>
      <x:c r="T296" s="1" t="str">
        <x:v>합격</x:v>
      </x:c>
    </x:row>
    <x:row r="297" ht="22" customHeight="1">
      <x:c r="A297" s="1" t="str">
        <x:v>R00296</x:v>
      </x:c>
      <x:c r="B297" s="4" t="n">
        <x:v>46220.35556712963</x:v>
      </x:c>
      <x:c r="C297" s="1" t="str">
        <x:v>주간</x:v>
      </x:c>
      <x:c r="D297" s="1" t="str">
        <x:v>L1</x:v>
      </x:c>
      <x:c r="E297" s="1" t="str">
        <x:v>P1</x:v>
      </x:c>
      <x:c r="F297" s="1" t="str">
        <x:v>M01</x:v>
      </x:c>
      <x:c r="G297" s="1" t="str">
        <x:v>G02</x:v>
      </x:c>
      <x:c r="H297" s="5" t="n">
        <x:v>30.41</x:v>
      </x:c>
      <x:c r="I297" s="5" t="n">
        <x:v>5.82</x:v>
      </x:c>
      <x:c r="J297" s="5" t="n">
        <x:v>57.6</x:v>
      </x:c>
      <x:c r="K297" s="5" t="n">
        <x:v>41.8</x:v>
      </x:c>
      <x:c r="L297" s="5" t="n">
        <x:v>2.27</x:v>
      </x:c>
      <x:c r="M297" s="1" t="n">
        <x:v>1</x:v>
      </x:c>
      <x:c r="N297" s="6" t="n">
        <x:v>0.893</x:v>
      </x:c>
      <x:c r="O297" s="1" t="str">
        <x:v>합격</x:v>
      </x:c>
      <x:c r="P297" s="1"/>
      <x:c r="Q297" s="1" t="n">
        <x:v>42</x:v>
      </x:c>
      <x:c r="R297" s="1" t="str">
        <x:v>N</x:v>
      </x:c>
      <x:c r="S297" s="1" t="n">
        <x:v>0</x:v>
      </x:c>
      <x:c r="T297" s="1" t="str">
        <x:v>합격</x:v>
      </x:c>
    </x:row>
    <x:row r="298" ht="22" customHeight="1">
      <x:c r="A298" s="1" t="str">
        <x:v>R00297</x:v>
      </x:c>
      <x:c r="B298" s="4" t="n">
        <x:v>46221.45071759259</x:v>
      </x:c>
      <x:c r="C298" s="1" t="str">
        <x:v>주간</x:v>
      </x:c>
      <x:c r="D298" s="1" t="str">
        <x:v>L1</x:v>
      </x:c>
      <x:c r="E298" s="1" t="str">
        <x:v>P1</x:v>
      </x:c>
      <x:c r="F298" s="1" t="str">
        <x:v>M03</x:v>
      </x:c>
      <x:c r="G298" s="1" t="str">
        <x:v>G03</x:v>
      </x:c>
      <x:c r="H298" s="5" t="n">
        <x:v>27.99</x:v>
      </x:c>
      <x:c r="I298" s="5" t="n">
        <x:v>5.66</x:v>
      </x:c>
      <x:c r="J298" s="5" t="n">
        <x:v>54.5</x:v>
      </x:c>
      <x:c r="K298" s="5" t="n">
        <x:v>37.4</x:v>
      </x:c>
      <x:c r="L298" s="5" t="n">
        <x:v>2.18</x:v>
      </x:c>
      <x:c r="M298" s="1" t="n">
        <x:v>0</x:v>
      </x:c>
      <x:c r="N298" s="6" t="n">
        <x:v>0.963</x:v>
      </x:c>
      <x:c r="O298" s="1" t="str">
        <x:v>합격</x:v>
      </x:c>
      <x:c r="P298" s="1"/>
      <x:c r="Q298" s="1" t="n">
        <x:v>41</x:v>
      </x:c>
      <x:c r="R298" s="1" t="str">
        <x:v>N</x:v>
      </x:c>
      <x:c r="S298" s="1" t="n">
        <x:v>0</x:v>
      </x:c>
      <x:c r="T298" s="1" t="str">
        <x:v>합격</x:v>
      </x:c>
    </x:row>
    <x:row r="299" ht="22" customHeight="1">
      <x:c r="A299" s="1" t="str">
        <x:v>R00298</x:v>
      </x:c>
      <x:c r="B299" s="4" t="n">
        <x:v>46222.657326388886</x:v>
      </x:c>
      <x:c r="C299" s="1" t="str">
        <x:v>주간</x:v>
      </x:c>
      <x:c r="D299" s="1" t="str">
        <x:v>L1</x:v>
      </x:c>
      <x:c r="E299" s="1" t="str">
        <x:v>P1</x:v>
      </x:c>
      <x:c r="F299" s="1" t="str">
        <x:v>M01</x:v>
      </x:c>
      <x:c r="G299" s="1" t="str">
        <x:v>G04</x:v>
      </x:c>
      <x:c r="H299" s="5" t="n">
        <x:v>30.02</x:v>
      </x:c>
      <x:c r="I299" s="5" t="n">
        <x:v>5.74</x:v>
      </x:c>
      <x:c r="J299" s="5" t="n">
        <x:v>54.1</x:v>
      </x:c>
      <x:c r="K299" s="5" t="n">
        <x:v>36.5</x:v>
      </x:c>
      <x:c r="L299" s="5" t="n">
        <x:v>1.84</x:v>
      </x:c>
      <x:c r="M299" s="1" t="n">
        <x:v>0</x:v>
      </x:c>
      <x:c r="N299" s="6" t="n">
        <x:v>1.019</x:v>
      </x:c>
      <x:c r="O299" s="1" t="str">
        <x:v>합격</x:v>
      </x:c>
      <x:c r="P299" s="1"/>
      <x:c r="Q299" s="1" t="n">
        <x:v>46</x:v>
      </x:c>
      <x:c r="R299" s="1" t="str">
        <x:v>N</x:v>
      </x:c>
      <x:c r="S299" s="1" t="n">
        <x:v>0</x:v>
      </x:c>
      <x:c r="T299" s="1" t="str">
        <x:v>합격</x:v>
      </x:c>
    </x:row>
    <x:row r="300" ht="22" customHeight="1">
      <x:c r="A300" s="1" t="str">
        <x:v>R00299</x:v>
      </x:c>
      <x:c r="B300" s="4" t="n">
        <x:v>46223.06113425926</x:v>
      </x:c>
      <x:c r="C300" s="1" t="str">
        <x:v>야간</x:v>
      </x:c>
      <x:c r="D300" s="1" t="str">
        <x:v>L2</x:v>
      </x:c>
      <x:c r="E300" s="1" t="str">
        <x:v>P2</x:v>
      </x:c>
      <x:c r="F300" s="1" t="str">
        <x:v>M02</x:v>
      </x:c>
      <x:c r="G300" s="1" t="str">
        <x:v>G05</x:v>
      </x:c>
      <x:c r="H300" s="5" t="n">
        <x:v>27.39</x:v>
      </x:c>
      <x:c r="I300" s="5" t="n">
        <x:v>5.73</x:v>
      </x:c>
      <x:c r="J300" s="5" t="n">
        <x:v>58.2</x:v>
      </x:c>
      <x:c r="K300" s="5" t="n">
        <x:v>36.9</x:v>
      </x:c>
      <x:c r="L300" s="5" t="n">
        <x:v>1.46</x:v>
      </x:c>
      <x:c r="M300" s="1" t="n">
        <x:v>1</x:v>
      </x:c>
      <x:c r="N300" s="6" t="n">
        <x:v>0.982</x:v>
      </x:c>
      <x:c r="O300" s="1" t="str">
        <x:v>합격</x:v>
      </x:c>
      <x:c r="P300" s="1"/>
      <x:c r="Q300" s="1" t="n">
        <x:v>49</x:v>
      </x:c>
      <x:c r="R300" s="1" t="str">
        <x:v>N</x:v>
      </x:c>
      <x:c r="S300" s="1" t="n">
        <x:v>0</x:v>
      </x:c>
      <x:c r="T300" s="1" t="str">
        <x:v>합격</x:v>
      </x:c>
    </x:row>
    <x:row r="301" ht="22" customHeight="1">
      <x:c r="A301" s="1" t="str">
        <x:v>R00300</x:v>
      </x:c>
      <x:c r="B301" s="4" t="n">
        <x:v>46224.45318287037</x:v>
      </x:c>
      <x:c r="C301" s="1" t="str">
        <x:v>주간</x:v>
      </x:c>
      <x:c r="D301" s="1" t="str">
        <x:v>L1</x:v>
      </x:c>
      <x:c r="E301" s="1" t="str">
        <x:v>P1</x:v>
      </x:c>
      <x:c r="F301" s="1" t="str">
        <x:v>M01</x:v>
      </x:c>
      <x:c r="G301" s="1" t="str">
        <x:v>G06</x:v>
      </x:c>
      <x:c r="H301" s="5" t="n">
        <x:v>30.99</x:v>
      </x:c>
      <x:c r="I301" s="5" t="n">
        <x:v>5.91</x:v>
      </x:c>
      <x:c r="J301" s="5" t="n">
        <x:v>58.3</x:v>
      </x:c>
      <x:c r="K301" s="5" t="n">
        <x:v>39</x:v>
      </x:c>
      <x:c r="L301" s="5" t="n">
        <x:v>2.41</x:v>
      </x:c>
      <x:c r="M301" s="1" t="n">
        <x:v>1</x:v>
      </x:c>
      <x:c r="N301" s="6" t="n">
        <x:v>0.971</x:v>
      </x:c>
      <x:c r="O301" s="1" t="str">
        <x:v>합격</x:v>
      </x:c>
      <x:c r="P301" s="1"/>
      <x:c r="Q301" s="1" t="n">
        <x:v>40</x:v>
      </x:c>
      <x:c r="R301" s="1" t="str">
        <x:v>N</x:v>
      </x:c>
      <x:c r="S301" s="1" t="n">
        <x:v>0</x:v>
      </x:c>
      <x:c r="T301" s="1" t="str">
        <x:v>합격</x:v>
      </x:c>
    </x:row>
    <x:row r="302" ht="22" customHeight="1">
      <x:c r="A302" s="1" t="str">
        <x:v>R00301</x:v>
      </x:c>
      <x:c r="B302" s="4" t="n">
        <x:v>46225.48384259259</x:v>
      </x:c>
      <x:c r="C302" s="1" t="str">
        <x:v>주간</x:v>
      </x:c>
      <x:c r="D302" s="1" t="str">
        <x:v>L1</x:v>
      </x:c>
      <x:c r="E302" s="1" t="str">
        <x:v>P1</x:v>
      </x:c>
      <x:c r="F302" s="1" t="str">
        <x:v>M03</x:v>
      </x:c>
      <x:c r="G302" s="1" t="str">
        <x:v>G01</x:v>
      </x:c>
      <x:c r="H302" s="5" t="n">
        <x:v>28.5</x:v>
      </x:c>
      <x:c r="I302" s="5" t="n">
        <x:v>5.89</x:v>
      </x:c>
      <x:c r="J302" s="5" t="n">
        <x:v>56.1</x:v>
      </x:c>
      <x:c r="K302" s="5" t="n">
        <x:v>40.3</x:v>
      </x:c>
      <x:c r="L302" s="5" t="n">
        <x:v>1.83</x:v>
      </x:c>
      <x:c r="M302" s="1" t="n">
        <x:v>0</x:v>
      </x:c>
      <x:c r="N302" s="6" t="n">
        <x:v>1.043</x:v>
      </x:c>
      <x:c r="O302" s="1" t="str">
        <x:v>합격</x:v>
      </x:c>
      <x:c r="P302" s="1"/>
      <x:c r="Q302" s="1" t="n">
        <x:v>41</x:v>
      </x:c>
      <x:c r="R302" s="1" t="str">
        <x:v>N</x:v>
      </x:c>
      <x:c r="S302" s="1" t="n">
        <x:v>0</x:v>
      </x:c>
      <x:c r="T302" s="1" t="str">
        <x:v>합격</x:v>
      </x:c>
    </x:row>
    <x:row r="303" ht="22" customHeight="1">
      <x:c r="A303" s="1" t="str">
        <x:v>R00302</x:v>
      </x:c>
      <x:c r="B303" s="4" t="n">
        <x:v>46226.5015625</x:v>
      </x:c>
      <x:c r="C303" s="1" t="str">
        <x:v>주간</x:v>
      </x:c>
      <x:c r="D303" s="1" t="str">
        <x:v>L2</x:v>
      </x:c>
      <x:c r="E303" s="1" t="str">
        <x:v>P2</x:v>
      </x:c>
      <x:c r="F303" s="1" t="str">
        <x:v>M02</x:v>
      </x:c>
      <x:c r="G303" s="1" t="str">
        <x:v>G02</x:v>
      </x:c>
      <x:c r="H303" s="5" t="n">
        <x:v>29.1</x:v>
      </x:c>
      <x:c r="I303" s="5" t="n">
        <x:v>5.99</x:v>
      </x:c>
      <x:c r="J303" s="5" t="n">
        <x:v>58.6</x:v>
      </x:c>
      <x:c r="K303" s="5" t="n">
        <x:v>38</x:v>
      </x:c>
      <x:c r="L303" s="5" t="n">
        <x:v>2.19</x:v>
      </x:c>
      <x:c r="M303" s="1" t="n">
        <x:v>1</x:v>
      </x:c>
      <x:c r="N303" s="6" t="n">
        <x:v>1.02</x:v>
      </x:c>
      <x:c r="O303" s="1" t="str">
        <x:v>합격</x:v>
      </x:c>
      <x:c r="P303" s="1"/>
      <x:c r="Q303" s="1" t="n">
        <x:v>48</x:v>
      </x:c>
      <x:c r="R303" s="1" t="str">
        <x:v>N</x:v>
      </x:c>
      <x:c r="S303" s="1" t="n">
        <x:v>0</x:v>
      </x:c>
      <x:c r="T303" s="1" t="str">
        <x:v>합격</x:v>
      </x:c>
    </x:row>
    <x:row r="304" ht="22" customHeight="1">
      <x:c r="A304" s="1" t="str">
        <x:v>R00303</x:v>
      </x:c>
      <x:c r="B304" s="4" t="n">
        <x:v>46227.96078703704</x:v>
      </x:c>
      <x:c r="C304" s="1" t="str">
        <x:v>야간</x:v>
      </x:c>
      <x:c r="D304" s="1" t="str">
        <x:v>L2</x:v>
      </x:c>
      <x:c r="E304" s="1" t="str">
        <x:v>P2</x:v>
      </x:c>
      <x:c r="F304" s="1" t="str">
        <x:v>M01</x:v>
      </x:c>
      <x:c r="G304" s="1" t="str">
        <x:v>G03</x:v>
      </x:c>
      <x:c r="H304" s="5" t="n">
        <x:v>30.59</x:v>
      </x:c>
      <x:c r="I304" s="5" t="n">
        <x:v>5.78</x:v>
      </x:c>
      <x:c r="J304" s="5" t="n">
        <x:v>49.9</x:v>
      </x:c>
      <x:c r="K304" s="5" t="n">
        <x:v>39.5</x:v>
      </x:c>
      <x:c r="L304" s="5" t="n">
        <x:v>1.45</x:v>
      </x:c>
      <x:c r="M304" s="1" t="n">
        <x:v>1</x:v>
      </x:c>
      <x:c r="N304" s="6" t="n">
        <x:v>0.941</x:v>
      </x:c>
      <x:c r="O304" s="1" t="str">
        <x:v>합격</x:v>
      </x:c>
      <x:c r="P304" s="1"/>
      <x:c r="Q304" s="1" t="n">
        <x:v>49</x:v>
      </x:c>
      <x:c r="R304" s="1" t="str">
        <x:v>N</x:v>
      </x:c>
      <x:c r="S304" s="1" t="n">
        <x:v>0</x:v>
      </x:c>
      <x:c r="T304" s="1" t="str">
        <x:v>합격</x:v>
      </x:c>
    </x:row>
    <x:row r="305" ht="22" customHeight="1">
      <x:c r="A305" s="1" t="str">
        <x:v>R00304</x:v>
      </x:c>
      <x:c r="B305" s="4" t="n">
        <x:v>46228.06806712963</x:v>
      </x:c>
      <x:c r="C305" s="1" t="str">
        <x:v>야간</x:v>
      </x:c>
      <x:c r="D305" s="1" t="str">
        <x:v>L1</x:v>
      </x:c>
      <x:c r="E305" s="1" t="str">
        <x:v>P1</x:v>
      </x:c>
      <x:c r="F305" s="1" t="str">
        <x:v>M04</x:v>
      </x:c>
      <x:c r="G305" s="1" t="str">
        <x:v>G04</x:v>
      </x:c>
      <x:c r="H305" s="5" t="n">
        <x:v>31.25</x:v>
      </x:c>
      <x:c r="I305" s="5" t="n">
        <x:v>5.86</x:v>
      </x:c>
      <x:c r="J305" s="5" t="n">
        <x:v>51</x:v>
      </x:c>
      <x:c r="K305" s="5" t="n">
        <x:v>37</x:v>
      </x:c>
      <x:c r="L305" s="5" t="n">
        <x:v>2.53</x:v>
      </x:c>
      <x:c r="M305" s="1" t="n">
        <x:v>1</x:v>
      </x:c>
      <x:c r="N305" s="6" t="n">
        <x:v>0.895</x:v>
      </x:c>
      <x:c r="O305" s="1" t="str">
        <x:v>합격</x:v>
      </x:c>
      <x:c r="P305" s="1"/>
      <x:c r="Q305" s="1" t="n">
        <x:v>35</x:v>
      </x:c>
      <x:c r="R305" s="1" t="str">
        <x:v>N</x:v>
      </x:c>
      <x:c r="S305" s="1" t="n">
        <x:v>0</x:v>
      </x:c>
      <x:c r="T305" s="1" t="str">
        <x:v>합격</x:v>
      </x:c>
    </x:row>
    <x:row r="306" ht="22" customHeight="1">
      <x:c r="A306" s="1" t="str">
        <x:v>R00305</x:v>
      </x:c>
      <x:c r="B306" s="4" t="n">
        <x:v>46229.909050925926</x:v>
      </x:c>
      <x:c r="C306" s="1" t="str">
        <x:v>야간</x:v>
      </x:c>
      <x:c r="D306" s="1" t="str">
        <x:v>L1</x:v>
      </x:c>
      <x:c r="E306" s="1" t="str">
        <x:v>P1</x:v>
      </x:c>
      <x:c r="F306" s="1" t="str">
        <x:v>M04</x:v>
      </x:c>
      <x:c r="G306" s="1" t="str">
        <x:v>G05</x:v>
      </x:c>
      <x:c r="H306" s="5" t="n">
        <x:v>31.23</x:v>
      </x:c>
      <x:c r="I306" s="5" t="n">
        <x:v>5.83</x:v>
      </x:c>
      <x:c r="J306" s="5" t="n">
        <x:v>57.4</x:v>
      </x:c>
      <x:c r="K306" s="5" t="n">
        <x:v>36.9</x:v>
      </x:c>
      <x:c r="L306" s="5" t="n">
        <x:v>1.53</x:v>
      </x:c>
      <x:c r="M306" s="1" t="n">
        <x:v>1</x:v>
      </x:c>
      <x:c r="N306" s="6" t="n">
        <x:v>1.042</x:v>
      </x:c>
      <x:c r="O306" s="1" t="str">
        <x:v>합격</x:v>
      </x:c>
      <x:c r="P306" s="1"/>
      <x:c r="Q306" s="1" t="n">
        <x:v>40</x:v>
      </x:c>
      <x:c r="R306" s="1" t="str">
        <x:v>N</x:v>
      </x:c>
      <x:c r="S306" s="1" t="n">
        <x:v>0</x:v>
      </x:c>
      <x:c r="T306" s="1" t="str">
        <x:v>합격</x:v>
      </x:c>
    </x:row>
    <x:row r="307" ht="22" customHeight="1">
      <x:c r="A307" s="1" t="str">
        <x:v>R00306</x:v>
      </x:c>
      <x:c r="B307" s="4" t="n">
        <x:v>46230.85486111111</x:v>
      </x:c>
      <x:c r="C307" s="1" t="str">
        <x:v>야간</x:v>
      </x:c>
      <x:c r="D307" s="1" t="str">
        <x:v>L2</x:v>
      </x:c>
      <x:c r="E307" s="1" t="str">
        <x:v>P2</x:v>
      </x:c>
      <x:c r="F307" s="1" t="str">
        <x:v>M01</x:v>
      </x:c>
      <x:c r="G307" s="1" t="str">
        <x:v>G06</x:v>
      </x:c>
      <x:c r="H307" s="5" t="n">
        <x:v>29.79</x:v>
      </x:c>
      <x:c r="I307" s="5" t="n">
        <x:v>5.69</x:v>
      </x:c>
      <x:c r="J307" s="5" t="n">
        <x:v>47.5</x:v>
      </x:c>
      <x:c r="K307" s="5" t="n">
        <x:v>35.2</x:v>
      </x:c>
      <x:c r="L307" s="5" t="n">
        <x:v>1.39</x:v>
      </x:c>
      <x:c r="M307" s="1" t="n">
        <x:v>0</x:v>
      </x:c>
      <x:c r="N307" s="6" t="n">
        <x:v>1.01</x:v>
      </x:c>
      <x:c r="O307" s="1" t="str">
        <x:v>합격</x:v>
      </x:c>
      <x:c r="P307" s="1"/>
      <x:c r="Q307" s="1" t="n">
        <x:v>43</x:v>
      </x:c>
      <x:c r="R307" s="1" t="str">
        <x:v>N</x:v>
      </x:c>
      <x:c r="S307" s="1" t="n">
        <x:v>0</x:v>
      </x:c>
      <x:c r="T307" s="1" t="str">
        <x:v>합격</x:v>
      </x:c>
    </x:row>
    <x:row r="308" ht="22" customHeight="1">
      <x:c r="A308" s="1" t="str">
        <x:v>R00307</x:v>
      </x:c>
      <x:c r="B308" s="4" t="n">
        <x:v>46231.91658564815</x:v>
      </x:c>
      <x:c r="C308" s="1" t="str">
        <x:v>야간</x:v>
      </x:c>
      <x:c r="D308" s="1" t="str">
        <x:v>L2</x:v>
      </x:c>
      <x:c r="E308" s="1" t="str">
        <x:v>P2</x:v>
      </x:c>
      <x:c r="F308" s="1" t="str">
        <x:v>M02</x:v>
      </x:c>
      <x:c r="G308" s="1" t="str">
        <x:v>G01</x:v>
      </x:c>
      <x:c r="H308" s="5" t="n">
        <x:v>28.03</x:v>
      </x:c>
      <x:c r="I308" s="5" t="n">
        <x:v>5.68</x:v>
      </x:c>
      <x:c r="J308" s="5" t="n">
        <x:v>53.9</x:v>
      </x:c>
      <x:c r="K308" s="5" t="n">
        <x:v>36.3</x:v>
      </x:c>
      <x:c r="L308" s="5" t="n">
        <x:v>2.5</x:v>
      </x:c>
      <x:c r="M308" s="1" t="n">
        <x:v>0</x:v>
      </x:c>
      <x:c r="N308" s="6" t="n">
        <x:v>1.028</x:v>
      </x:c>
      <x:c r="O308" s="1" t="str">
        <x:v>합격</x:v>
      </x:c>
      <x:c r="P308" s="1"/>
      <x:c r="Q308" s="1" t="n">
        <x:v>43</x:v>
      </x:c>
      <x:c r="R308" s="1" t="str">
        <x:v>N</x:v>
      </x:c>
      <x:c r="S308" s="1" t="n">
        <x:v>0</x:v>
      </x:c>
      <x:c r="T308" s="1" t="str">
        <x:v>합격</x:v>
      </x:c>
    </x:row>
    <x:row r="309" ht="22" customHeight="1">
      <x:c r="A309" s="1" t="str">
        <x:v>R00308</x:v>
      </x:c>
      <x:c r="B309" s="4" t="n">
        <x:v>46232.450891203705</x:v>
      </x:c>
      <x:c r="C309" s="1" t="str">
        <x:v>주간</x:v>
      </x:c>
      <x:c r="D309" s="1" t="str">
        <x:v>L2</x:v>
      </x:c>
      <x:c r="E309" s="1" t="str">
        <x:v>P2</x:v>
      </x:c>
      <x:c r="F309" s="1" t="str">
        <x:v>M02</x:v>
      </x:c>
      <x:c r="G309" s="1" t="str">
        <x:v>G02</x:v>
      </x:c>
      <x:c r="H309" s="5" t="n">
        <x:v>30.41</x:v>
      </x:c>
      <x:c r="I309" s="5" t="n">
        <x:v>5.61</x:v>
      </x:c>
      <x:c r="J309" s="5" t="n">
        <x:v>49.3</x:v>
      </x:c>
      <x:c r="K309" s="5" t="n">
        <x:v>35.1</x:v>
      </x:c>
      <x:c r="L309" s="5" t="n">
        <x:v>2.12</x:v>
      </x:c>
      <x:c r="M309" s="1" t="n">
        <x:v>1</x:v>
      </x:c>
      <x:c r="N309" s="6" t="n">
        <x:v>0.981</x:v>
      </x:c>
      <x:c r="O309" s="1" t="str">
        <x:v>합격</x:v>
      </x:c>
      <x:c r="P309" s="1"/>
      <x:c r="Q309" s="1" t="n">
        <x:v>48</x:v>
      </x:c>
      <x:c r="R309" s="1" t="str">
        <x:v>N</x:v>
      </x:c>
      <x:c r="S309" s="1" t="n">
        <x:v>0</x:v>
      </x:c>
      <x:c r="T309" s="1" t="str">
        <x:v>합격</x:v>
      </x:c>
    </x:row>
    <x:row r="310" ht="22" customHeight="1">
      <x:c r="A310" s="1" t="str">
        <x:v>R00309</x:v>
      </x:c>
      <x:c r="B310" s="4" t="n">
        <x:v>46233.56988425926</x:v>
      </x:c>
      <x:c r="C310" s="1" t="str">
        <x:v>주간</x:v>
      </x:c>
      <x:c r="D310" s="1" t="str">
        <x:v>L1</x:v>
      </x:c>
      <x:c r="E310" s="1" t="str">
        <x:v>P1</x:v>
      </x:c>
      <x:c r="F310" s="1" t="str">
        <x:v>M01</x:v>
      </x:c>
      <x:c r="G310" s="1" t="str">
        <x:v>G03</x:v>
      </x:c>
      <x:c r="H310" s="5" t="n">
        <x:v>32.59</x:v>
      </x:c>
      <x:c r="I310" s="5" t="n">
        <x:v>5.6</x:v>
      </x:c>
      <x:c r="J310" s="5" t="n">
        <x:v>51</x:v>
      </x:c>
      <x:c r="K310" s="5" t="n">
        <x:v>37.1</x:v>
      </x:c>
      <x:c r="L310" s="5" t="n">
        <x:v>2.1</x:v>
      </x:c>
      <x:c r="M310" s="1" t="n">
        <x:v>0</x:v>
      </x:c>
      <x:c r="N310" s="6" t="n">
        <x:v>1.011</x:v>
      </x:c>
      <x:c r="O310" s="1" t="str">
        <x:v>합격</x:v>
      </x:c>
      <x:c r="P310" s="1"/>
      <x:c r="Q310" s="1" t="n">
        <x:v>45</x:v>
      </x:c>
      <x:c r="R310" s="1" t="str">
        <x:v>N</x:v>
      </x:c>
      <x:c r="S310" s="1" t="n">
        <x:v>0</x:v>
      </x:c>
      <x:c r="T310" s="1" t="str">
        <x:v>합격</x:v>
      </x:c>
    </x:row>
    <x:row r="311" ht="22" customHeight="1">
      <x:c r="A311" s="1" t="str">
        <x:v>R00310</x:v>
      </x:c>
      <x:c r="B311" s="4" t="n">
        <x:v>46234.93434027778</x:v>
      </x:c>
      <x:c r="C311" s="1" t="str">
        <x:v>야간</x:v>
      </x:c>
      <x:c r="D311" s="1" t="str">
        <x:v>L1</x:v>
      </x:c>
      <x:c r="E311" s="1" t="str">
        <x:v>P1</x:v>
      </x:c>
      <x:c r="F311" s="1" t="str">
        <x:v>M04</x:v>
      </x:c>
      <x:c r="G311" s="1" t="str">
        <x:v>G04</x:v>
      </x:c>
      <x:c r="H311" s="5" t="n">
        <x:v>31.17</x:v>
      </x:c>
      <x:c r="I311" s="5" t="n">
        <x:v>5.69</x:v>
      </x:c>
      <x:c r="J311" s="5" t="n">
        <x:v>53.7</x:v>
      </x:c>
      <x:c r="K311" s="5" t="n">
        <x:v>35.5</x:v>
      </x:c>
      <x:c r="L311" s="5" t="n">
        <x:v>1.5</x:v>
      </x:c>
      <x:c r="M311" s="1" t="n">
        <x:v>0</x:v>
      </x:c>
      <x:c r="N311" s="6" t="n">
        <x:v>0.924</x:v>
      </x:c>
      <x:c r="O311" s="1" t="str">
        <x:v>합격</x:v>
      </x:c>
      <x:c r="P311" s="1"/>
      <x:c r="Q311" s="1" t="n">
        <x:v>43</x:v>
      </x:c>
      <x:c r="R311" s="1" t="str">
        <x:v>N</x:v>
      </x:c>
      <x:c r="S311" s="1" t="n">
        <x:v>0</x:v>
      </x:c>
      <x:c r="T311" s="1" t="str">
        <x:v>합격</x:v>
      </x:c>
    </x:row>
    <x:row r="312" ht="22" customHeight="1">
      <x:c r="A312" s="1" t="str">
        <x:v>R00311</x:v>
      </x:c>
      <x:c r="B312" s="4" t="n">
        <x:v>46204.44818287037</x:v>
      </x:c>
      <x:c r="C312" s="1" t="str">
        <x:v>주간</x:v>
      </x:c>
      <x:c r="D312" s="1" t="str">
        <x:v>L1</x:v>
      </x:c>
      <x:c r="E312" s="1" t="str">
        <x:v>P1</x:v>
      </x:c>
      <x:c r="F312" s="1" t="str">
        <x:v>M03</x:v>
      </x:c>
      <x:c r="G312" s="1" t="str">
        <x:v>G05</x:v>
      </x:c>
      <x:c r="H312" s="5" t="n">
        <x:v>32.49</x:v>
      </x:c>
      <x:c r="I312" s="5" t="n">
        <x:v>5.87</x:v>
      </x:c>
      <x:c r="J312" s="5" t="n">
        <x:v>59</x:v>
      </x:c>
      <x:c r="K312" s="5" t="n">
        <x:v>38.7</x:v>
      </x:c>
      <x:c r="L312" s="5" t="n">
        <x:v>2.4</x:v>
      </x:c>
      <x:c r="M312" s="1" t="n">
        <x:v>1</x:v>
      </x:c>
      <x:c r="N312" s="6" t="n">
        <x:v>0.881</x:v>
      </x:c>
      <x:c r="O312" s="1" t="str">
        <x:v>합격</x:v>
      </x:c>
      <x:c r="P312" s="1"/>
      <x:c r="Q312" s="1" t="n">
        <x:v>42</x:v>
      </x:c>
      <x:c r="R312" s="1" t="str">
        <x:v>N</x:v>
      </x:c>
      <x:c r="S312" s="1" t="n">
        <x:v>0</x:v>
      </x:c>
      <x:c r="T312" s="1" t="str">
        <x:v>합격</x:v>
      </x:c>
    </x:row>
    <x:row r="313" ht="22" customHeight="1">
      <x:c r="A313" s="1" t="str">
        <x:v>R00312</x:v>
      </x:c>
      <x:c r="B313" s="4" t="n">
        <x:v>46205.955196759256</x:v>
      </x:c>
      <x:c r="C313" s="1" t="str">
        <x:v>야간</x:v>
      </x:c>
      <x:c r="D313" s="1" t="str">
        <x:v>L2</x:v>
      </x:c>
      <x:c r="E313" s="1" t="str">
        <x:v>P2</x:v>
      </x:c>
      <x:c r="F313" s="1" t="str">
        <x:v>M03</x:v>
      </x:c>
      <x:c r="G313" s="1" t="str">
        <x:v>G06</x:v>
      </x:c>
      <x:c r="H313" s="5" t="n">
        <x:v>30.84</x:v>
      </x:c>
      <x:c r="I313" s="5" t="n">
        <x:v>5.72</x:v>
      </x:c>
      <x:c r="J313" s="5" t="n">
        <x:v>51.5</x:v>
      </x:c>
      <x:c r="K313" s="5" t="n">
        <x:v>40.8</x:v>
      </x:c>
      <x:c r="L313" s="5" t="n">
        <x:v>1.71</x:v>
      </x:c>
      <x:c r="M313" s="1" t="n">
        <x:v>1</x:v>
      </x:c>
      <x:c r="N313" s="6" t="n">
        <x:v>0.96</x:v>
      </x:c>
      <x:c r="O313" s="1" t="str">
        <x:v>불합격</x:v>
      </x:c>
      <x:c r="P313" s="1" t="str">
        <x:v>체결불량</x:v>
      </x:c>
      <x:c r="Q313" s="1" t="n">
        <x:v>35</x:v>
      </x:c>
      <x:c r="R313" s="1" t="str">
        <x:v>Y</x:v>
      </x:c>
      <x:c r="S313" s="1" t="n">
        <x:v>9</x:v>
      </x:c>
      <x:c r="T313" s="1" t="str">
        <x:v>재작업후합격</x:v>
      </x:c>
    </x:row>
    <x:row r="314" ht="22" customHeight="1">
      <x:c r="A314" s="1" t="str">
        <x:v>R00313</x:v>
      </x:c>
      <x:c r="B314" s="4" t="n">
        <x:v>46206.57027777778</x:v>
      </x:c>
      <x:c r="C314" s="1" t="str">
        <x:v>주간</x:v>
      </x:c>
      <x:c r="D314" s="1" t="str">
        <x:v>L1</x:v>
      </x:c>
      <x:c r="E314" s="1" t="str">
        <x:v>P1</x:v>
      </x:c>
      <x:c r="F314" s="1" t="str">
        <x:v>M03</x:v>
      </x:c>
      <x:c r="G314" s="1" t="str">
        <x:v>G01</x:v>
      </x:c>
      <x:c r="H314" s="5" t="n">
        <x:v>27.52</x:v>
      </x:c>
      <x:c r="I314" s="5" t="n">
        <x:v>5.93</x:v>
      </x:c>
      <x:c r="J314" s="5" t="n">
        <x:v>55.7</x:v>
      </x:c>
      <x:c r="K314" s="5" t="n">
        <x:v>41.7</x:v>
      </x:c>
      <x:c r="L314" s="5" t="n">
        <x:v>1.88</x:v>
      </x:c>
      <x:c r="M314" s="1" t="n">
        <x:v>0</x:v>
      </x:c>
      <x:c r="N314" s="6" t="n">
        <x:v>0.864</x:v>
      </x:c>
      <x:c r="O314" s="1" t="str">
        <x:v>합격</x:v>
      </x:c>
      <x:c r="P314" s="1"/>
      <x:c r="Q314" s="1" t="n">
        <x:v>44</x:v>
      </x:c>
      <x:c r="R314" s="1" t="str">
        <x:v>N</x:v>
      </x:c>
      <x:c r="S314" s="1" t="n">
        <x:v>0</x:v>
      </x:c>
      <x:c r="T314" s="1" t="str">
        <x:v>합격</x:v>
      </x:c>
    </x:row>
    <x:row r="315" ht="22" customHeight="1">
      <x:c r="A315" s="1" t="str">
        <x:v>R00314</x:v>
      </x:c>
      <x:c r="B315" s="4" t="n">
        <x:v>46207.977314814816</x:v>
      </x:c>
      <x:c r="C315" s="1" t="str">
        <x:v>야간</x:v>
      </x:c>
      <x:c r="D315" s="1" t="str">
        <x:v>L1</x:v>
      </x:c>
      <x:c r="E315" s="1" t="str">
        <x:v>P1</x:v>
      </x:c>
      <x:c r="F315" s="1" t="str">
        <x:v>M04</x:v>
      </x:c>
      <x:c r="G315" s="1" t="str">
        <x:v>G02</x:v>
      </x:c>
      <x:c r="H315" s="5" t="n">
        <x:v>29.26</x:v>
      </x:c>
      <x:c r="I315" s="5" t="n">
        <x:v>5.86</x:v>
      </x:c>
      <x:c r="J315" s="5" t="n">
        <x:v>51.1</x:v>
      </x:c>
      <x:c r="K315" s="5" t="n">
        <x:v>40.4</x:v>
      </x:c>
      <x:c r="L315" s="5" t="n">
        <x:v>2.15</x:v>
      </x:c>
      <x:c r="M315" s="1" t="n">
        <x:v>0</x:v>
      </x:c>
      <x:c r="N315" s="6" t="n">
        <x:v>0.982</x:v>
      </x:c>
      <x:c r="O315" s="1" t="str">
        <x:v>합격</x:v>
      </x:c>
      <x:c r="P315" s="1"/>
      <x:c r="Q315" s="1" t="n">
        <x:v>49</x:v>
      </x:c>
      <x:c r="R315" s="1" t="str">
        <x:v>N</x:v>
      </x:c>
      <x:c r="S315" s="1" t="n">
        <x:v>0</x:v>
      </x:c>
      <x:c r="T315" s="1" t="str">
        <x:v>합격</x:v>
      </x:c>
    </x:row>
    <x:row r="316" ht="22" customHeight="1">
      <x:c r="A316" s="1" t="str">
        <x:v>R00315</x:v>
      </x:c>
      <x:c r="B316" s="4" t="n">
        <x:v>46208.35896990741</x:v>
      </x:c>
      <x:c r="C316" s="1" t="str">
        <x:v>주간</x:v>
      </x:c>
      <x:c r="D316" s="1" t="str">
        <x:v>L1</x:v>
      </x:c>
      <x:c r="E316" s="1" t="str">
        <x:v>P1</x:v>
      </x:c>
      <x:c r="F316" s="1" t="str">
        <x:v>M01</x:v>
      </x:c>
      <x:c r="G316" s="1" t="str">
        <x:v>G03</x:v>
      </x:c>
      <x:c r="H316" s="5" t="n">
        <x:v>27.73</x:v>
      </x:c>
      <x:c r="I316" s="5" t="n">
        <x:v>5.79</x:v>
      </x:c>
      <x:c r="J316" s="5" t="n">
        <x:v>56.8</x:v>
      </x:c>
      <x:c r="K316" s="5" t="n">
        <x:v>35.4</x:v>
      </x:c>
      <x:c r="L316" s="5" t="n">
        <x:v>2.68</x:v>
      </x:c>
      <x:c r="M316" s="1" t="n">
        <x:v>1</x:v>
      </x:c>
      <x:c r="N316" s="6" t="n">
        <x:v>1.04</x:v>
      </x:c>
      <x:c r="O316" s="1" t="str">
        <x:v>합격</x:v>
      </x:c>
      <x:c r="P316" s="1"/>
      <x:c r="Q316" s="1" t="n">
        <x:v>46</x:v>
      </x:c>
      <x:c r="R316" s="1" t="str">
        <x:v>N</x:v>
      </x:c>
      <x:c r="S316" s="1" t="n">
        <x:v>0</x:v>
      </x:c>
      <x:c r="T316" s="1" t="str">
        <x:v>합격</x:v>
      </x:c>
    </x:row>
    <x:row r="317" ht="22" customHeight="1">
      <x:c r="A317" s="1" t="str">
        <x:v>R00316</x:v>
      </x:c>
      <x:c r="B317" s="4" t="n">
        <x:v>46209.41337962963</x:v>
      </x:c>
      <x:c r="C317" s="1" t="str">
        <x:v>주간</x:v>
      </x:c>
      <x:c r="D317" s="1" t="str">
        <x:v>L1</x:v>
      </x:c>
      <x:c r="E317" s="1" t="str">
        <x:v>P1</x:v>
      </x:c>
      <x:c r="F317" s="1" t="str">
        <x:v>M03</x:v>
      </x:c>
      <x:c r="G317" s="1" t="str">
        <x:v>G04</x:v>
      </x:c>
      <x:c r="H317" s="5" t="n">
        <x:v>30.7</x:v>
      </x:c>
      <x:c r="I317" s="5" t="n">
        <x:v>5.98</x:v>
      </x:c>
      <x:c r="J317" s="5" t="n">
        <x:v>51.9</x:v>
      </x:c>
      <x:c r="K317" s="5" t="n">
        <x:v>37.9</x:v>
      </x:c>
      <x:c r="L317" s="5" t="n">
        <x:v>2.11</x:v>
      </x:c>
      <x:c r="M317" s="1" t="n">
        <x:v>0</x:v>
      </x:c>
      <x:c r="N317" s="6" t="n">
        <x:v>1.011</x:v>
      </x:c>
      <x:c r="O317" s="1" t="str">
        <x:v>합격</x:v>
      </x:c>
      <x:c r="P317" s="1"/>
      <x:c r="Q317" s="1" t="n">
        <x:v>38</x:v>
      </x:c>
      <x:c r="R317" s="1" t="str">
        <x:v>N</x:v>
      </x:c>
      <x:c r="S317" s="1" t="n">
        <x:v>0</x:v>
      </x:c>
      <x:c r="T317" s="1" t="str">
        <x:v>합격</x:v>
      </x:c>
    </x:row>
    <x:row r="318" ht="22" customHeight="1">
      <x:c r="A318" s="1" t="str">
        <x:v>R00317</x:v>
      </x:c>
      <x:c r="B318" s="4" t="n">
        <x:v>46210.51385416667</x:v>
      </x:c>
      <x:c r="C318" s="1" t="str">
        <x:v>주간</x:v>
      </x:c>
      <x:c r="D318" s="1" t="str">
        <x:v>L2</x:v>
      </x:c>
      <x:c r="E318" s="1" t="str">
        <x:v>P2</x:v>
      </x:c>
      <x:c r="F318" s="1" t="str">
        <x:v>M04</x:v>
      </x:c>
      <x:c r="G318" s="1" t="str">
        <x:v>G05</x:v>
      </x:c>
      <x:c r="H318" s="5" t="n">
        <x:v>32.5</x:v>
      </x:c>
      <x:c r="I318" s="5" t="n">
        <x:v>5.71</x:v>
      </x:c>
      <x:c r="J318" s="5" t="n">
        <x:v>53.3</x:v>
      </x:c>
      <x:c r="K318" s="5" t="n">
        <x:v>41.9</x:v>
      </x:c>
      <x:c r="L318" s="5" t="n">
        <x:v>1.8</x:v>
      </x:c>
      <x:c r="M318" s="1" t="n">
        <x:v>1</x:v>
      </x:c>
      <x:c r="N318" s="6" t="n">
        <x:v>1.038</x:v>
      </x:c>
      <x:c r="O318" s="1" t="str">
        <x:v>합격</x:v>
      </x:c>
      <x:c r="P318" s="1"/>
      <x:c r="Q318" s="1" t="n">
        <x:v>35</x:v>
      </x:c>
      <x:c r="R318" s="1" t="str">
        <x:v>N</x:v>
      </x:c>
      <x:c r="S318" s="1" t="n">
        <x:v>0</x:v>
      </x:c>
      <x:c r="T318" s="1" t="str">
        <x:v>합격</x:v>
      </x:c>
    </x:row>
    <x:row r="319" ht="22" customHeight="1">
      <x:c r="A319" s="1" t="str">
        <x:v>R00318</x:v>
      </x:c>
      <x:c r="B319" s="4" t="n">
        <x:v>46211.0300462963</x:v>
      </x:c>
      <x:c r="C319" s="1" t="str">
        <x:v>야간</x:v>
      </x:c>
      <x:c r="D319" s="1" t="str">
        <x:v>L1</x:v>
      </x:c>
      <x:c r="E319" s="1" t="str">
        <x:v>P1</x:v>
      </x:c>
      <x:c r="F319" s="1" t="str">
        <x:v>M03</x:v>
      </x:c>
      <x:c r="G319" s="1" t="str">
        <x:v>G06</x:v>
      </x:c>
      <x:c r="H319" s="5" t="n">
        <x:v>26.14</x:v>
      </x:c>
      <x:c r="I319" s="5" t="n">
        <x:v>5.83</x:v>
      </x:c>
      <x:c r="J319" s="5" t="n">
        <x:v>58.2</x:v>
      </x:c>
      <x:c r="K319" s="5" t="n">
        <x:v>39.5</x:v>
      </x:c>
      <x:c r="L319" s="5" t="n">
        <x:v>1.85</x:v>
      </x:c>
      <x:c r="M319" s="1" t="n">
        <x:v>0</x:v>
      </x:c>
      <x:c r="N319" s="6" t="n">
        <x:v>1.033</x:v>
      </x:c>
      <x:c r="O319" s="1" t="str">
        <x:v>합격</x:v>
      </x:c>
      <x:c r="P319" s="1"/>
      <x:c r="Q319" s="1" t="n">
        <x:v>44</x:v>
      </x:c>
      <x:c r="R319" s="1" t="str">
        <x:v>N</x:v>
      </x:c>
      <x:c r="S319" s="1" t="n">
        <x:v>0</x:v>
      </x:c>
      <x:c r="T319" s="1" t="str">
        <x:v>합격</x:v>
      </x:c>
    </x:row>
    <x:row r="320" ht="22" customHeight="1">
      <x:c r="A320" s="1" t="str">
        <x:v>R00319</x:v>
      </x:c>
      <x:c r="B320" s="4" t="n">
        <x:v>46212.04416666667</x:v>
      </x:c>
      <x:c r="C320" s="1" t="str">
        <x:v>야간</x:v>
      </x:c>
      <x:c r="D320" s="1" t="str">
        <x:v>L2</x:v>
      </x:c>
      <x:c r="E320" s="1" t="str">
        <x:v>P2</x:v>
      </x:c>
      <x:c r="F320" s="1" t="str">
        <x:v>M01</x:v>
      </x:c>
      <x:c r="G320" s="1" t="str">
        <x:v>G01</x:v>
      </x:c>
      <x:c r="H320" s="5" t="n">
        <x:v>32.12</x:v>
      </x:c>
      <x:c r="I320" s="5" t="n">
        <x:v>5.83</x:v>
      </x:c>
      <x:c r="J320" s="5" t="n">
        <x:v>57.9</x:v>
      </x:c>
      <x:c r="K320" s="5" t="n">
        <x:v>41.3</x:v>
      </x:c>
      <x:c r="L320" s="5" t="n">
        <x:v>2.48</x:v>
      </x:c>
      <x:c r="M320" s="1" t="n">
        <x:v>0</x:v>
      </x:c>
      <x:c r="N320" s="6" t="n">
        <x:v>0.938</x:v>
      </x:c>
      <x:c r="O320" s="1" t="str">
        <x:v>합격</x:v>
      </x:c>
      <x:c r="P320" s="1"/>
      <x:c r="Q320" s="1" t="n">
        <x:v>45</x:v>
      </x:c>
      <x:c r="R320" s="1" t="str">
        <x:v>N</x:v>
      </x:c>
      <x:c r="S320" s="1" t="n">
        <x:v>0</x:v>
      </x:c>
      <x:c r="T320" s="1" t="str">
        <x:v>합격</x:v>
      </x:c>
    </x:row>
    <x:row r="321" ht="22" customHeight="1">
      <x:c r="A321" s="1" t="str">
        <x:v>R00320</x:v>
      </x:c>
      <x:c r="B321" s="4" t="n">
        <x:v>46213.37856481481</x:v>
      </x:c>
      <x:c r="C321" s="1" t="str">
        <x:v>주간</x:v>
      </x:c>
      <x:c r="D321" s="1" t="str">
        <x:v>L1</x:v>
      </x:c>
      <x:c r="E321" s="1" t="str">
        <x:v>P1</x:v>
      </x:c>
      <x:c r="F321" s="1" t="str">
        <x:v>M03</x:v>
      </x:c>
      <x:c r="G321" s="1" t="str">
        <x:v>G02</x:v>
      </x:c>
      <x:c r="H321" s="5" t="n">
        <x:v>27.62</x:v>
      </x:c>
      <x:c r="I321" s="5" t="n">
        <x:v>5.94</x:v>
      </x:c>
      <x:c r="J321" s="5" t="n">
        <x:v>48.9</x:v>
      </x:c>
      <x:c r="K321" s="5" t="n">
        <x:v>37.2</x:v>
      </x:c>
      <x:c r="L321" s="5" t="n">
        <x:v>2.54</x:v>
      </x:c>
      <x:c r="M321" s="1" t="n">
        <x:v>0</x:v>
      </x:c>
      <x:c r="N321" s="6" t="n">
        <x:v>1.007</x:v>
      </x:c>
      <x:c r="O321" s="1" t="str">
        <x:v>합격</x:v>
      </x:c>
      <x:c r="P321" s="1"/>
      <x:c r="Q321" s="1" t="n">
        <x:v>42</x:v>
      </x:c>
      <x:c r="R321" s="1" t="str">
        <x:v>N</x:v>
      </x:c>
      <x:c r="S321" s="1" t="n">
        <x:v>0</x:v>
      </x:c>
      <x:c r="T321" s="1" t="str">
        <x:v>합격</x:v>
      </x:c>
    </x:row>
    <x:row r="322" ht="22" customHeight="1">
      <x:c r="A322" s="1" t="str">
        <x:v>R00321</x:v>
      </x:c>
      <x:c r="B322" s="4" t="n">
        <x:v>46214.916284722225</x:v>
      </x:c>
      <x:c r="C322" s="1" t="str">
        <x:v>야간</x:v>
      </x:c>
      <x:c r="D322" s="1" t="str">
        <x:v>L2</x:v>
      </x:c>
      <x:c r="E322" s="1" t="str">
        <x:v>P2</x:v>
      </x:c>
      <x:c r="F322" s="1" t="str">
        <x:v>M02</x:v>
      </x:c>
      <x:c r="G322" s="1" t="str">
        <x:v>G03</x:v>
      </x:c>
      <x:c r="H322" s="5" t="n">
        <x:v>30.37</x:v>
      </x:c>
      <x:c r="I322" s="5" t="n">
        <x:v>5.7</x:v>
      </x:c>
      <x:c r="J322" s="5" t="n">
        <x:v>47.7</x:v>
      </x:c>
      <x:c r="K322" s="5" t="n">
        <x:v>41.1</x:v>
      </x:c>
      <x:c r="L322" s="5" t="n">
        <x:v>1.65</x:v>
      </x:c>
      <x:c r="M322" s="1" t="n">
        <x:v>1</x:v>
      </x:c>
      <x:c r="N322" s="6" t="n">
        <x:v>0.973</x:v>
      </x:c>
      <x:c r="O322" s="1" t="str">
        <x:v>합격</x:v>
      </x:c>
      <x:c r="P322" s="1"/>
      <x:c r="Q322" s="1" t="n">
        <x:v>37</x:v>
      </x:c>
      <x:c r="R322" s="1" t="str">
        <x:v>N</x:v>
      </x:c>
      <x:c r="S322" s="1" t="n">
        <x:v>0</x:v>
      </x:c>
      <x:c r="T322" s="1" t="str">
        <x:v>합격</x:v>
      </x:c>
    </x:row>
    <x:row r="323" ht="22" customHeight="1">
      <x:c r="A323" s="1" t="str">
        <x:v>R00322</x:v>
      </x:c>
      <x:c r="B323" s="4" t="n">
        <x:v>46215.624976851854</x:v>
      </x:c>
      <x:c r="C323" s="1" t="str">
        <x:v>주간</x:v>
      </x:c>
      <x:c r="D323" s="1" t="str">
        <x:v>L2</x:v>
      </x:c>
      <x:c r="E323" s="1" t="str">
        <x:v>P2</x:v>
      </x:c>
      <x:c r="F323" s="1" t="str">
        <x:v>M02</x:v>
      </x:c>
      <x:c r="G323" s="1" t="str">
        <x:v>G04</x:v>
      </x:c>
      <x:c r="H323" s="5" t="n">
        <x:v>27.7</x:v>
      </x:c>
      <x:c r="I323" s="5" t="n">
        <x:v>5.98</x:v>
      </x:c>
      <x:c r="J323" s="5" t="n">
        <x:v>47.5</x:v>
      </x:c>
      <x:c r="K323" s="5" t="n">
        <x:v>38.1</x:v>
      </x:c>
      <x:c r="L323" s="5" t="n">
        <x:v>2.26</x:v>
      </x:c>
      <x:c r="M323" s="1" t="n">
        <x:v>0</x:v>
      </x:c>
      <x:c r="N323" s="6" t="n">
        <x:v>1.026</x:v>
      </x:c>
      <x:c r="O323" s="1" t="str">
        <x:v>합격</x:v>
      </x:c>
      <x:c r="P323" s="1"/>
      <x:c r="Q323" s="1" t="n">
        <x:v>46</x:v>
      </x:c>
      <x:c r="R323" s="1" t="str">
        <x:v>N</x:v>
      </x:c>
      <x:c r="S323" s="1" t="n">
        <x:v>0</x:v>
      </x:c>
      <x:c r="T323" s="1" t="str">
        <x:v>합격</x:v>
      </x:c>
    </x:row>
    <x:row r="324" ht="22" customHeight="1">
      <x:c r="A324" s="1" t="str">
        <x:v>R00323</x:v>
      </x:c>
      <x:c r="B324" s="4" t="n">
        <x:v>46216.83872685185</x:v>
      </x:c>
      <x:c r="C324" s="1" t="str">
        <x:v>야간</x:v>
      </x:c>
      <x:c r="D324" s="1" t="str">
        <x:v>L2</x:v>
      </x:c>
      <x:c r="E324" s="1" t="str">
        <x:v>P2</x:v>
      </x:c>
      <x:c r="F324" s="1" t="str">
        <x:v>M02</x:v>
      </x:c>
      <x:c r="G324" s="1" t="str">
        <x:v>G05</x:v>
      </x:c>
      <x:c r="H324" s="5" t="n">
        <x:v>31.58</x:v>
      </x:c>
      <x:c r="I324" s="5" t="n">
        <x:v>5.8</x:v>
      </x:c>
      <x:c r="J324" s="5" t="n">
        <x:v>48.1</x:v>
      </x:c>
      <x:c r="K324" s="5" t="n">
        <x:v>39.6</x:v>
      </x:c>
      <x:c r="L324" s="5" t="n">
        <x:v>1.87</x:v>
      </x:c>
      <x:c r="M324" s="1" t="n">
        <x:v>1</x:v>
      </x:c>
      <x:c r="N324" s="6" t="n">
        <x:v>0.984</x:v>
      </x:c>
      <x:c r="O324" s="1" t="str">
        <x:v>합격</x:v>
      </x:c>
      <x:c r="P324" s="1"/>
      <x:c r="Q324" s="1" t="n">
        <x:v>37</x:v>
      </x:c>
      <x:c r="R324" s="1" t="str">
        <x:v>N</x:v>
      </x:c>
      <x:c r="S324" s="1" t="n">
        <x:v>0</x:v>
      </x:c>
      <x:c r="T324" s="1" t="str">
        <x:v>합격</x:v>
      </x:c>
    </x:row>
    <x:row r="325" ht="22" customHeight="1">
      <x:c r="A325" s="1" t="str">
        <x:v>R00324</x:v>
      </x:c>
      <x:c r="B325" s="4" t="n">
        <x:v>46217.93876157407</x:v>
      </x:c>
      <x:c r="C325" s="1" t="str">
        <x:v>야간</x:v>
      </x:c>
      <x:c r="D325" s="1" t="str">
        <x:v>L1</x:v>
      </x:c>
      <x:c r="E325" s="1" t="str">
        <x:v>P1</x:v>
      </x:c>
      <x:c r="F325" s="1" t="str">
        <x:v>M03</x:v>
      </x:c>
      <x:c r="G325" s="1" t="str">
        <x:v>G06</x:v>
      </x:c>
      <x:c r="H325" s="5" t="n">
        <x:v>31.43</x:v>
      </x:c>
      <x:c r="I325" s="5" t="n">
        <x:v>5.86</x:v>
      </x:c>
      <x:c r="J325" s="5" t="n">
        <x:v>51</x:v>
      </x:c>
      <x:c r="K325" s="5" t="n">
        <x:v>39.6</x:v>
      </x:c>
      <x:c r="L325" s="5"/>
      <x:c r="M325" s="1" t="n">
        <x:v>1</x:v>
      </x:c>
      <x:c r="N325" s="6" t="n">
        <x:v>1.001</x:v>
      </x:c>
      <x:c r="O325" s="1" t="str">
        <x:v>합격</x:v>
      </x:c>
      <x:c r="P325" s="1"/>
      <x:c r="Q325" s="1" t="n">
        <x:v>37</x:v>
      </x:c>
      <x:c r="R325" s="1" t="str">
        <x:v>N</x:v>
      </x:c>
      <x:c r="S325" s="1" t="n">
        <x:v>0</x:v>
      </x:c>
      <x:c r="T325" s="1" t="str">
        <x:v>합격</x:v>
      </x:c>
    </x:row>
    <x:row r="326" ht="22" customHeight="1">
      <x:c r="A326" s="1" t="str">
        <x:v>R00325</x:v>
      </x:c>
      <x:c r="B326" s="4" t="n">
        <x:v>46218.943136574075</x:v>
      </x:c>
      <x:c r="C326" s="1" t="str">
        <x:v>야간</x:v>
      </x:c>
      <x:c r="D326" s="1" t="str">
        <x:v>L2</x:v>
      </x:c>
      <x:c r="E326" s="1" t="str">
        <x:v>P2</x:v>
      </x:c>
      <x:c r="F326" s="1" t="str">
        <x:v>M02</x:v>
      </x:c>
      <x:c r="G326" s="1" t="str">
        <x:v>G01</x:v>
      </x:c>
      <x:c r="H326" s="5" t="n">
        <x:v>30.64</x:v>
      </x:c>
      <x:c r="I326" s="5" t="n">
        <x:v>5.62</x:v>
      </x:c>
      <x:c r="J326" s="5" t="n">
        <x:v>56.2</x:v>
      </x:c>
      <x:c r="K326" s="5" t="n">
        <x:v>40</x:v>
      </x:c>
      <x:c r="L326" s="5" t="n">
        <x:v>2.29</x:v>
      </x:c>
      <x:c r="M326" s="1" t="n">
        <x:v>1</x:v>
      </x:c>
      <x:c r="N326" s="6" t="n">
        <x:v>1.013</x:v>
      </x:c>
      <x:c r="O326" s="1" t="str">
        <x:v>합격</x:v>
      </x:c>
      <x:c r="P326" s="1"/>
      <x:c r="Q326" s="1" t="n">
        <x:v>39</x:v>
      </x:c>
      <x:c r="R326" s="1" t="str">
        <x:v>N</x:v>
      </x:c>
      <x:c r="S326" s="1" t="n">
        <x:v>0</x:v>
      </x:c>
      <x:c r="T326" s="1" t="str">
        <x:v>합격</x:v>
      </x:c>
    </x:row>
    <x:row r="327" ht="22" customHeight="1">
      <x:c r="A327" s="1" t="str">
        <x:v>R00326</x:v>
      </x:c>
      <x:c r="B327" s="4" t="n">
        <x:v>46219.8434375</x:v>
      </x:c>
      <x:c r="C327" s="1" t="str">
        <x:v>야간</x:v>
      </x:c>
      <x:c r="D327" s="1" t="str">
        <x:v>L2</x:v>
      </x:c>
      <x:c r="E327" s="1" t="str">
        <x:v>P2</x:v>
      </x:c>
      <x:c r="F327" s="1" t="str">
        <x:v>M01</x:v>
      </x:c>
      <x:c r="G327" s="1" t="str">
        <x:v>G02</x:v>
      </x:c>
      <x:c r="H327" s="5" t="n">
        <x:v>28.44</x:v>
      </x:c>
      <x:c r="I327" s="5" t="n">
        <x:v>5.91</x:v>
      </x:c>
      <x:c r="J327" s="5" t="n">
        <x:v>50.3</x:v>
      </x:c>
      <x:c r="K327" s="5" t="n">
        <x:v>35.6</x:v>
      </x:c>
      <x:c r="L327" s="5" t="n">
        <x:v>2.44</x:v>
      </x:c>
      <x:c r="M327" s="1" t="n">
        <x:v>1</x:v>
      </x:c>
      <x:c r="N327" s="6" t="n">
        <x:v>0.894</x:v>
      </x:c>
      <x:c r="O327" s="1" t="str">
        <x:v>합격</x:v>
      </x:c>
      <x:c r="P327" s="1"/>
      <x:c r="Q327" s="1" t="n">
        <x:v>46</x:v>
      </x:c>
      <x:c r="R327" s="1" t="str">
        <x:v>N</x:v>
      </x:c>
      <x:c r="S327" s="1" t="n">
        <x:v>0</x:v>
      </x:c>
      <x:c r="T327" s="1" t="str">
        <x:v>합격</x:v>
      </x:c>
    </x:row>
    <x:row r="328" ht="22" customHeight="1">
      <x:c r="A328" s="1" t="str">
        <x:v>R00327</x:v>
      </x:c>
      <x:c r="B328" s="4" t="n">
        <x:v>46220.05059027778</x:v>
      </x:c>
      <x:c r="C328" s="1" t="str">
        <x:v>야간</x:v>
      </x:c>
      <x:c r="D328" s="1" t="str">
        <x:v>L2</x:v>
      </x:c>
      <x:c r="E328" s="1" t="str">
        <x:v>P2</x:v>
      </x:c>
      <x:c r="F328" s="1" t="str">
        <x:v>M01</x:v>
      </x:c>
      <x:c r="G328" s="1" t="str">
        <x:v>G03</x:v>
      </x:c>
      <x:c r="H328" s="5" t="n">
        <x:v>29.22</x:v>
      </x:c>
      <x:c r="I328" s="5" t="n">
        <x:v>5.88</x:v>
      </x:c>
      <x:c r="J328" s="5" t="n">
        <x:v>50.1</x:v>
      </x:c>
      <x:c r="K328" s="5" t="n">
        <x:v>40.9</x:v>
      </x:c>
      <x:c r="L328" s="5" t="n">
        <x:v>1.96</x:v>
      </x:c>
      <x:c r="M328" s="1" t="n">
        <x:v>1</x:v>
      </x:c>
      <x:c r="N328" s="6" t="n">
        <x:v>0.936</x:v>
      </x:c>
      <x:c r="O328" s="1" t="str">
        <x:v>합격</x:v>
      </x:c>
      <x:c r="P328" s="1"/>
      <x:c r="Q328" s="1" t="n">
        <x:v>36</x:v>
      </x:c>
      <x:c r="R328" s="1" t="str">
        <x:v>N</x:v>
      </x:c>
      <x:c r="S328" s="1" t="n">
        <x:v>0</x:v>
      </x:c>
      <x:c r="T328" s="1" t="str">
        <x:v>합격</x:v>
      </x:c>
    </x:row>
    <x:row r="329" ht="22" customHeight="1">
      <x:c r="A329" s="1" t="str">
        <x:v>R00328</x:v>
      </x:c>
      <x:c r="B329" s="4" t="n">
        <x:v>46221.95390046296</x:v>
      </x:c>
      <x:c r="C329" s="1" t="str">
        <x:v>야간</x:v>
      </x:c>
      <x:c r="D329" s="1" t="str">
        <x:v>L1</x:v>
      </x:c>
      <x:c r="E329" s="1" t="str">
        <x:v>P1</x:v>
      </x:c>
      <x:c r="F329" s="1" t="str">
        <x:v>M03</x:v>
      </x:c>
      <x:c r="G329" s="1" t="str">
        <x:v>G04</x:v>
      </x:c>
      <x:c r="H329" s="5" t="n">
        <x:v>29.11</x:v>
      </x:c>
      <x:c r="I329" s="5" t="n">
        <x:v>5.69</x:v>
      </x:c>
      <x:c r="J329" s="5" t="n">
        <x:v>54.9</x:v>
      </x:c>
      <x:c r="K329" s="5" t="n">
        <x:v>35.1</x:v>
      </x:c>
      <x:c r="L329" s="5" t="n">
        <x:v>2.41</x:v>
      </x:c>
      <x:c r="M329" s="1" t="n">
        <x:v>1</x:v>
      </x:c>
      <x:c r="N329" s="6" t="n">
        <x:v>0.877</x:v>
      </x:c>
      <x:c r="O329" s="1" t="str">
        <x:v>불합격</x:v>
      </x:c>
      <x:c r="P329" s="1" t="str">
        <x:v>외관불량</x:v>
      </x:c>
      <x:c r="Q329" s="1" t="n">
        <x:v>49</x:v>
      </x:c>
      <x:c r="R329" s="1" t="str">
        <x:v>Y</x:v>
      </x:c>
      <x:c r="S329" s="1" t="n">
        <x:v>7</x:v>
      </x:c>
      <x:c r="T329" s="1" t="str">
        <x:v>재작업후합격</x:v>
      </x:c>
    </x:row>
    <x:row r="330" ht="22" customHeight="1">
      <x:c r="A330" s="1" t="str">
        <x:v>R00329</x:v>
      </x:c>
      <x:c r="B330" s="4" t="n">
        <x:v>46222.126921296294</x:v>
      </x:c>
      <x:c r="C330" s="1" t="str">
        <x:v>야간</x:v>
      </x:c>
      <x:c r="D330" s="1" t="str">
        <x:v>L1</x:v>
      </x:c>
      <x:c r="E330" s="1" t="str">
        <x:v>P1</x:v>
      </x:c>
      <x:c r="F330" s="1" t="str">
        <x:v>M04</x:v>
      </x:c>
      <x:c r="G330" s="1" t="str">
        <x:v>G05</x:v>
      </x:c>
      <x:c r="H330" s="5" t="n">
        <x:v>28.46</x:v>
      </x:c>
      <x:c r="I330" s="5" t="n">
        <x:v>5.76</x:v>
      </x:c>
      <x:c r="J330" s="5" t="n">
        <x:v>49.4</x:v>
      </x:c>
      <x:c r="K330" s="5" t="n">
        <x:v>39.6</x:v>
      </x:c>
      <x:c r="L330" s="5" t="n">
        <x:v>2.59</x:v>
      </x:c>
      <x:c r="M330" s="1" t="n">
        <x:v>0</x:v>
      </x:c>
      <x:c r="N330" s="6" t="n">
        <x:v>0.982</x:v>
      </x:c>
      <x:c r="O330" s="1" t="str">
        <x:v>합격</x:v>
      </x:c>
      <x:c r="P330" s="1"/>
      <x:c r="Q330" s="1" t="n">
        <x:v>48</x:v>
      </x:c>
      <x:c r="R330" s="1" t="str">
        <x:v>N</x:v>
      </x:c>
      <x:c r="S330" s="1" t="n">
        <x:v>0</x:v>
      </x:c>
      <x:c r="T330" s="1" t="str">
        <x:v>합격</x:v>
      </x:c>
    </x:row>
    <x:row r="331" ht="22" customHeight="1">
      <x:c r="A331" s="1" t="str">
        <x:v>R00330</x:v>
      </x:c>
      <x:c r="B331" s="4" t="n">
        <x:v>46223.50170138889</x:v>
      </x:c>
      <x:c r="C331" s="1" t="str">
        <x:v>주간</x:v>
      </x:c>
      <x:c r="D331" s="1" t="str">
        <x:v>L1</x:v>
      </x:c>
      <x:c r="E331" s="1" t="str">
        <x:v>P1</x:v>
      </x:c>
      <x:c r="F331" s="1" t="str">
        <x:v>M01</x:v>
      </x:c>
      <x:c r="G331" s="1" t="str">
        <x:v>G06</x:v>
      </x:c>
      <x:c r="H331" s="5" t="n">
        <x:v>28.41</x:v>
      </x:c>
      <x:c r="I331" s="5" t="n">
        <x:v>5.6</x:v>
      </x:c>
      <x:c r="J331" s="5" t="n">
        <x:v>47.1</x:v>
      </x:c>
      <x:c r="K331" s="5" t="n">
        <x:v>35.3</x:v>
      </x:c>
      <x:c r="L331" s="5" t="n">
        <x:v>1.92</x:v>
      </x:c>
      <x:c r="M331" s="1" t="n">
        <x:v>0</x:v>
      </x:c>
      <x:c r="N331" s="6" t="n">
        <x:v>1.026</x:v>
      </x:c>
      <x:c r="O331" s="1" t="str">
        <x:v>합격</x:v>
      </x:c>
      <x:c r="P331" s="1"/>
      <x:c r="Q331" s="1" t="n">
        <x:v>45</x:v>
      </x:c>
      <x:c r="R331" s="1" t="str">
        <x:v>N</x:v>
      </x:c>
      <x:c r="S331" s="1" t="n">
        <x:v>0</x:v>
      </x:c>
      <x:c r="T331" s="1" t="str">
        <x:v>합격</x:v>
      </x:c>
    </x:row>
    <x:row r="332" ht="22" customHeight="1">
      <x:c r="A332" s="1" t="str">
        <x:v>R00331</x:v>
      </x:c>
      <x:c r="B332" s="4" t="n">
        <x:v>46224.918391203704</x:v>
      </x:c>
      <x:c r="C332" s="1" t="str">
        <x:v>야간</x:v>
      </x:c>
      <x:c r="D332" s="1" t="str">
        <x:v>L1</x:v>
      </x:c>
      <x:c r="E332" s="1" t="str">
        <x:v>P1</x:v>
      </x:c>
      <x:c r="F332" s="1" t="str">
        <x:v>M04</x:v>
      </x:c>
      <x:c r="G332" s="1" t="str">
        <x:v>G01</x:v>
      </x:c>
      <x:c r="H332" s="5" t="n">
        <x:v>27.4</x:v>
      </x:c>
      <x:c r="I332" s="5" t="n">
        <x:v>5.92</x:v>
      </x:c>
      <x:c r="J332" s="5" t="n">
        <x:v>48.1</x:v>
      </x:c>
      <x:c r="K332" s="5" t="n">
        <x:v>35.1</x:v>
      </x:c>
      <x:c r="L332" s="5" t="n">
        <x:v>1.94</x:v>
      </x:c>
      <x:c r="M332" s="1" t="n">
        <x:v>0</x:v>
      </x:c>
      <x:c r="N332" s="6" t="n">
        <x:v>0.873</x:v>
      </x:c>
      <x:c r="O332" s="1" t="str">
        <x:v>합격</x:v>
      </x:c>
      <x:c r="P332" s="1"/>
      <x:c r="Q332" s="1" t="n">
        <x:v>46</x:v>
      </x:c>
      <x:c r="R332" s="1" t="str">
        <x:v>N</x:v>
      </x:c>
      <x:c r="S332" s="1" t="n">
        <x:v>0</x:v>
      </x:c>
      <x:c r="T332" s="1" t="str">
        <x:v>합격</x:v>
      </x:c>
    </x:row>
    <x:row r="333" ht="22" customHeight="1">
      <x:c r="A333" s="1" t="str">
        <x:v>R00332</x:v>
      </x:c>
      <x:c r="B333" s="4" t="n">
        <x:v>46225.62065972222</x:v>
      </x:c>
      <x:c r="C333" s="1" t="str">
        <x:v>주간</x:v>
      </x:c>
      <x:c r="D333" s="1" t="str">
        <x:v>L1</x:v>
      </x:c>
      <x:c r="E333" s="1" t="str">
        <x:v>P1</x:v>
      </x:c>
      <x:c r="F333" s="1" t="str">
        <x:v>M01</x:v>
      </x:c>
      <x:c r="G333" s="1" t="str">
        <x:v>G02</x:v>
      </x:c>
      <x:c r="H333" s="5" t="n">
        <x:v>31.65</x:v>
      </x:c>
      <x:c r="I333" s="5" t="n">
        <x:v>5.68</x:v>
      </x:c>
      <x:c r="J333" s="5" t="n">
        <x:v>48</x:v>
      </x:c>
      <x:c r="K333" s="5" t="n">
        <x:v>39.8</x:v>
      </x:c>
      <x:c r="L333" s="5" t="n">
        <x:v>1.93</x:v>
      </x:c>
      <x:c r="M333" s="1" t="n">
        <x:v>0</x:v>
      </x:c>
      <x:c r="N333" s="6" t="n">
        <x:v>1.027</x:v>
      </x:c>
      <x:c r="O333" s="1" t="str">
        <x:v>합격</x:v>
      </x:c>
      <x:c r="P333" s="1"/>
      <x:c r="Q333" s="1" t="n">
        <x:v>45</x:v>
      </x:c>
      <x:c r="R333" s="1" t="str">
        <x:v>N</x:v>
      </x:c>
      <x:c r="S333" s="1" t="n">
        <x:v>0</x:v>
      </x:c>
      <x:c r="T333" s="1" t="str">
        <x:v>합격</x:v>
      </x:c>
    </x:row>
    <x:row r="334" ht="22" customHeight="1">
      <x:c r="A334" s="1" t="str">
        <x:v>R00333</x:v>
      </x:c>
      <x:c r="B334" s="4" t="n">
        <x:v>46226.374456018515</x:v>
      </x:c>
      <x:c r="C334" s="1" t="str">
        <x:v>주간</x:v>
      </x:c>
      <x:c r="D334" s="1" t="str">
        <x:v>L2</x:v>
      </x:c>
      <x:c r="E334" s="1" t="str">
        <x:v>P2</x:v>
      </x:c>
      <x:c r="F334" s="1" t="str">
        <x:v>M04</x:v>
      </x:c>
      <x:c r="G334" s="1" t="str">
        <x:v>G03</x:v>
      </x:c>
      <x:c r="H334" s="5" t="n">
        <x:v>31.67</x:v>
      </x:c>
      <x:c r="I334" s="5" t="n">
        <x:v>5.72</x:v>
      </x:c>
      <x:c r="J334" s="5" t="n">
        <x:v>54.8</x:v>
      </x:c>
      <x:c r="K334" s="5" t="n">
        <x:v>35.3</x:v>
      </x:c>
      <x:c r="L334" s="5" t="n">
        <x:v>2</x:v>
      </x:c>
      <x:c r="M334" s="1" t="n">
        <x:v>0</x:v>
      </x:c>
      <x:c r="N334" s="6" t="n">
        <x:v>0.982</x:v>
      </x:c>
      <x:c r="O334" s="1" t="str">
        <x:v>합격</x:v>
      </x:c>
      <x:c r="P334" s="1"/>
      <x:c r="Q334" s="1" t="n">
        <x:v>48</x:v>
      </x:c>
      <x:c r="R334" s="1" t="str">
        <x:v>N</x:v>
      </x:c>
      <x:c r="S334" s="1" t="n">
        <x:v>0</x:v>
      </x:c>
      <x:c r="T334" s="1" t="str">
        <x:v>합격</x:v>
      </x:c>
    </x:row>
    <x:row r="335" ht="22" customHeight="1">
      <x:c r="A335" s="1" t="str">
        <x:v>R00334</x:v>
      </x:c>
      <x:c r="B335" s="4" t="n">
        <x:v>46227.62613425926</x:v>
      </x:c>
      <x:c r="C335" s="1" t="str">
        <x:v>주간</x:v>
      </x:c>
      <x:c r="D335" s="1" t="str">
        <x:v>L2</x:v>
      </x:c>
      <x:c r="E335" s="1" t="str">
        <x:v>P2</x:v>
      </x:c>
      <x:c r="F335" s="1" t="str">
        <x:v>M02</x:v>
      </x:c>
      <x:c r="G335" s="1" t="str">
        <x:v>G04</x:v>
      </x:c>
      <x:c r="H335" s="5" t="n">
        <x:v>31.38</x:v>
      </x:c>
      <x:c r="I335" s="5" t="n">
        <x:v>5.82</x:v>
      </x:c>
      <x:c r="J335" s="5" t="n">
        <x:v>50.4</x:v>
      </x:c>
      <x:c r="K335" s="5" t="n">
        <x:v>38.4</x:v>
      </x:c>
      <x:c r="L335" s="5" t="n">
        <x:v>2.5</x:v>
      </x:c>
      <x:c r="M335" s="1" t="n">
        <x:v>0</x:v>
      </x:c>
      <x:c r="N335" s="6" t="n">
        <x:v>0.981</x:v>
      </x:c>
      <x:c r="O335" s="1" t="str">
        <x:v>합격</x:v>
      </x:c>
      <x:c r="P335" s="1"/>
      <x:c r="Q335" s="1" t="n">
        <x:v>43</x:v>
      </x:c>
      <x:c r="R335" s="1" t="str">
        <x:v>N</x:v>
      </x:c>
      <x:c r="S335" s="1" t="n">
        <x:v>0</x:v>
      </x:c>
      <x:c r="T335" s="1" t="str">
        <x:v>합격</x:v>
      </x:c>
    </x:row>
    <x:row r="336" ht="22" customHeight="1">
      <x:c r="A336" s="1" t="str">
        <x:v>R00335</x:v>
      </x:c>
      <x:c r="B336" s="4" t="n">
        <x:v>46228.95841435185</x:v>
      </x:c>
      <x:c r="C336" s="1" t="str">
        <x:v>야간</x:v>
      </x:c>
      <x:c r="D336" s="1" t="str">
        <x:v>L1</x:v>
      </x:c>
      <x:c r="E336" s="1" t="str">
        <x:v>P1</x:v>
      </x:c>
      <x:c r="F336" s="1" t="str">
        <x:v>M03</x:v>
      </x:c>
      <x:c r="G336" s="1" t="str">
        <x:v>G05</x:v>
      </x:c>
      <x:c r="H336" s="5" t="n">
        <x:v>30.26</x:v>
      </x:c>
      <x:c r="I336" s="5" t="n">
        <x:v>5.74</x:v>
      </x:c>
      <x:c r="J336" s="5" t="n">
        <x:v>51.7</x:v>
      </x:c>
      <x:c r="K336" s="5" t="n">
        <x:v>41.3</x:v>
      </x:c>
      <x:c r="L336" s="5" t="n">
        <x:v>2.11</x:v>
      </x:c>
      <x:c r="M336" s="1" t="n">
        <x:v>1</x:v>
      </x:c>
      <x:c r="N336" s="6" t="n">
        <x:v>0.894</x:v>
      </x:c>
      <x:c r="O336" s="1" t="str">
        <x:v>합격</x:v>
      </x:c>
      <x:c r="P336" s="1"/>
      <x:c r="Q336" s="1" t="n">
        <x:v>40</x:v>
      </x:c>
      <x:c r="R336" s="1" t="str">
        <x:v>N</x:v>
      </x:c>
      <x:c r="S336" s="1" t="n">
        <x:v>0</x:v>
      </x:c>
      <x:c r="T336" s="1" t="str">
        <x:v>합격</x:v>
      </x:c>
    </x:row>
    <x:row r="337" ht="22" customHeight="1">
      <x:c r="A337" s="1" t="str">
        <x:v>R00336</x:v>
      </x:c>
      <x:c r="B337" s="4" t="n">
        <x:v>46229.52118055556</x:v>
      </x:c>
      <x:c r="C337" s="1" t="str">
        <x:v>주간</x:v>
      </x:c>
      <x:c r="D337" s="1" t="str">
        <x:v>L1</x:v>
      </x:c>
      <x:c r="E337" s="1" t="str">
        <x:v>P1</x:v>
      </x:c>
      <x:c r="F337" s="1" t="str">
        <x:v>M03</x:v>
      </x:c>
      <x:c r="G337" s="1" t="str">
        <x:v>G06</x:v>
      </x:c>
      <x:c r="H337" s="5" t="n">
        <x:v>31.72</x:v>
      </x:c>
      <x:c r="I337" s="5" t="n">
        <x:v>5.9</x:v>
      </x:c>
      <x:c r="J337" s="5" t="n">
        <x:v>48.8</x:v>
      </x:c>
      <x:c r="K337" s="5" t="n">
        <x:v>36.2</x:v>
      </x:c>
      <x:c r="L337" s="5" t="n">
        <x:v>1.7</x:v>
      </x:c>
      <x:c r="M337" s="1" t="n">
        <x:v>1</x:v>
      </x:c>
      <x:c r="N337" s="6" t="n">
        <x:v>0.88</x:v>
      </x:c>
      <x:c r="O337" s="1" t="str">
        <x:v>합격</x:v>
      </x:c>
      <x:c r="P337" s="1"/>
      <x:c r="Q337" s="1" t="n">
        <x:v>47</x:v>
      </x:c>
      <x:c r="R337" s="1" t="str">
        <x:v>N</x:v>
      </x:c>
      <x:c r="S337" s="1" t="n">
        <x:v>0</x:v>
      </x:c>
      <x:c r="T337" s="1" t="str">
        <x:v>합격</x:v>
      </x:c>
    </x:row>
    <x:row r="338" ht="22" customHeight="1">
      <x:c r="A338" s="1" t="str">
        <x:v>R00337</x:v>
      </x:c>
      <x:c r="B338" s="4" t="n">
        <x:v>46230.14586805556</x:v>
      </x:c>
      <x:c r="C338" s="1" t="str">
        <x:v>야간</x:v>
      </x:c>
      <x:c r="D338" s="1" t="str">
        <x:v>L1</x:v>
      </x:c>
      <x:c r="E338" s="1" t="str">
        <x:v>P1</x:v>
      </x:c>
      <x:c r="F338" s="1" t="str">
        <x:v>M03</x:v>
      </x:c>
      <x:c r="G338" s="1" t="str">
        <x:v>G01</x:v>
      </x:c>
      <x:c r="H338" s="5" t="n">
        <x:v>33.29</x:v>
      </x:c>
      <x:c r="I338" s="5" t="n">
        <x:v>5.89</x:v>
      </x:c>
      <x:c r="J338" s="5" t="n">
        <x:v>50.9</x:v>
      </x:c>
      <x:c r="K338" s="5" t="n">
        <x:v>40.9</x:v>
      </x:c>
      <x:c r="L338" s="5" t="n">
        <x:v>2.46</x:v>
      </x:c>
      <x:c r="M338" s="1" t="n">
        <x:v>1</x:v>
      </x:c>
      <x:c r="N338" s="6" t="n">
        <x:v>0.88</x:v>
      </x:c>
      <x:c r="O338" s="1" t="str">
        <x:v>합격</x:v>
      </x:c>
      <x:c r="P338" s="1"/>
      <x:c r="Q338" s="1" t="n">
        <x:v>41</x:v>
      </x:c>
      <x:c r="R338" s="1" t="str">
        <x:v>N</x:v>
      </x:c>
      <x:c r="S338" s="1" t="n">
        <x:v>0</x:v>
      </x:c>
      <x:c r="T338" s="1" t="str">
        <x:v>합격</x:v>
      </x:c>
    </x:row>
    <x:row r="339" ht="22" customHeight="1">
      <x:c r="A339" s="1" t="str">
        <x:v>R00338</x:v>
      </x:c>
      <x:c r="B339" s="4" t="n">
        <x:v>46231.352997685186</x:v>
      </x:c>
      <x:c r="C339" s="1" t="str">
        <x:v>주간</x:v>
      </x:c>
      <x:c r="D339" s="1" t="str">
        <x:v>L2</x:v>
      </x:c>
      <x:c r="E339" s="1" t="str">
        <x:v>P2</x:v>
      </x:c>
      <x:c r="F339" s="1" t="str">
        <x:v>M04</x:v>
      </x:c>
      <x:c r="G339" s="1" t="str">
        <x:v>G02</x:v>
      </x:c>
      <x:c r="H339" s="5" t="n">
        <x:v>32.09</x:v>
      </x:c>
      <x:c r="I339" s="5" t="n">
        <x:v>5.83</x:v>
      </x:c>
      <x:c r="J339" s="5" t="n">
        <x:v>52.9</x:v>
      </x:c>
      <x:c r="K339" s="5" t="n">
        <x:v>40.8</x:v>
      </x:c>
      <x:c r="L339" s="5" t="n">
        <x:v>2.16</x:v>
      </x:c>
      <x:c r="M339" s="1" t="n">
        <x:v>1</x:v>
      </x:c>
      <x:c r="N339" s="6" t="n">
        <x:v>0.879</x:v>
      </x:c>
      <x:c r="O339" s="1" t="str">
        <x:v>합격</x:v>
      </x:c>
      <x:c r="P339" s="1"/>
      <x:c r="Q339" s="1" t="n">
        <x:v>49</x:v>
      </x:c>
      <x:c r="R339" s="1" t="str">
        <x:v>N</x:v>
      </x:c>
      <x:c r="S339" s="1" t="n">
        <x:v>0</x:v>
      </x:c>
      <x:c r="T339" s="1" t="str">
        <x:v>합격</x:v>
      </x:c>
    </x:row>
    <x:row r="340" ht="22" customHeight="1">
      <x:c r="A340" s="1" t="str">
        <x:v>R00339</x:v>
      </x:c>
      <x:c r="B340" s="4" t="n">
        <x:v>46232.533472222225</x:v>
      </x:c>
      <x:c r="C340" s="1" t="str">
        <x:v>주간</x:v>
      </x:c>
      <x:c r="D340" s="1" t="str">
        <x:v>L2</x:v>
      </x:c>
      <x:c r="E340" s="1" t="str">
        <x:v>P2</x:v>
      </x:c>
      <x:c r="F340" s="1" t="str">
        <x:v>M02</x:v>
      </x:c>
      <x:c r="G340" s="1" t="str">
        <x:v>G03</x:v>
      </x:c>
      <x:c r="H340" s="5" t="n">
        <x:v>31.53</x:v>
      </x:c>
      <x:c r="I340" s="5" t="n">
        <x:v>5.75</x:v>
      </x:c>
      <x:c r="J340" s="5" t="n">
        <x:v>54.4</x:v>
      </x:c>
      <x:c r="K340" s="5" t="n">
        <x:v>37.1</x:v>
      </x:c>
      <x:c r="L340" s="5" t="n">
        <x:v>1.96</x:v>
      </x:c>
      <x:c r="M340" s="1" t="n">
        <x:v>1</x:v>
      </x:c>
      <x:c r="N340" s="6" t="n">
        <x:v>1.004</x:v>
      </x:c>
      <x:c r="O340" s="1" t="str">
        <x:v>합격</x:v>
      </x:c>
      <x:c r="P340" s="1"/>
      <x:c r="Q340" s="1" t="n">
        <x:v>40</x:v>
      </x:c>
      <x:c r="R340" s="1" t="str">
        <x:v>N</x:v>
      </x:c>
      <x:c r="S340" s="1" t="n">
        <x:v>0</x:v>
      </x:c>
      <x:c r="T340" s="1" t="str">
        <x:v>합격</x:v>
      </x:c>
    </x:row>
    <x:row r="341" ht="22" customHeight="1">
      <x:c r="A341" s="1" t="str">
        <x:v>R00340</x:v>
      </x:c>
      <x:c r="B341" s="4" t="n">
        <x:v>46233.903020833335</x:v>
      </x:c>
      <x:c r="C341" s="1" t="str">
        <x:v>야간</x:v>
      </x:c>
      <x:c r="D341" s="1" t="str">
        <x:v>L2</x:v>
      </x:c>
      <x:c r="E341" s="1" t="str">
        <x:v>P2</x:v>
      </x:c>
      <x:c r="F341" s="1" t="str">
        <x:v>M02</x:v>
      </x:c>
      <x:c r="G341" s="1" t="str">
        <x:v>G04</x:v>
      </x:c>
      <x:c r="H341" s="5" t="n">
        <x:v>27.91</x:v>
      </x:c>
      <x:c r="I341" s="5" t="n">
        <x:v>5.99</x:v>
      </x:c>
      <x:c r="J341" s="5" t="n">
        <x:v>49.2</x:v>
      </x:c>
      <x:c r="K341" s="5" t="n">
        <x:v>40.3</x:v>
      </x:c>
      <x:c r="L341" s="5" t="n">
        <x:v>1.48</x:v>
      </x:c>
      <x:c r="M341" s="1" t="n">
        <x:v>1</x:v>
      </x:c>
      <x:c r="N341" s="6" t="n">
        <x:v>1.021</x:v>
      </x:c>
      <x:c r="O341" s="1" t="str">
        <x:v>합격</x:v>
      </x:c>
      <x:c r="P341" s="1"/>
      <x:c r="Q341" s="1" t="n">
        <x:v>42</x:v>
      </x:c>
      <x:c r="R341" s="1" t="str">
        <x:v>N</x:v>
      </x:c>
      <x:c r="S341" s="1" t="n">
        <x:v>0</x:v>
      </x:c>
      <x:c r="T341" s="1" t="str">
        <x:v>합격</x:v>
      </x:c>
    </x:row>
    <x:row r="342" ht="22" customHeight="1">
      <x:c r="A342" s="1" t="str">
        <x:v>R00341</x:v>
      </x:c>
      <x:c r="B342" s="4" t="n">
        <x:v>46234.841898148145</x:v>
      </x:c>
      <x:c r="C342" s="1" t="str">
        <x:v>야간</x:v>
      </x:c>
      <x:c r="D342" s="1" t="str">
        <x:v>L2</x:v>
      </x:c>
      <x:c r="E342" s="1" t="str">
        <x:v>P2</x:v>
      </x:c>
      <x:c r="F342" s="1" t="str">
        <x:v>M02</x:v>
      </x:c>
      <x:c r="G342" s="1" t="str">
        <x:v>G05</x:v>
      </x:c>
      <x:c r="H342" s="5" t="n">
        <x:v>32.75</x:v>
      </x:c>
      <x:c r="I342" s="5" t="n">
        <x:v>5.69</x:v>
      </x:c>
      <x:c r="J342" s="5" t="n">
        <x:v>54.2</x:v>
      </x:c>
      <x:c r="K342" s="5" t="n">
        <x:v>41.3</x:v>
      </x:c>
      <x:c r="L342" s="5" t="n">
        <x:v>2.06</x:v>
      </x:c>
      <x:c r="M342" s="1" t="n">
        <x:v>0</x:v>
      </x:c>
      <x:c r="N342" s="6" t="n">
        <x:v>1.01</x:v>
      </x:c>
      <x:c r="O342" s="1" t="str">
        <x:v>합격</x:v>
      </x:c>
      <x:c r="P342" s="1"/>
      <x:c r="Q342" s="1" t="n">
        <x:v>49</x:v>
      </x:c>
      <x:c r="R342" s="1" t="str">
        <x:v>N</x:v>
      </x:c>
      <x:c r="S342" s="1" t="n">
        <x:v>0</x:v>
      </x:c>
      <x:c r="T342" s="1" t="str">
        <x:v>합격</x:v>
      </x:c>
    </x:row>
    <x:row r="343" ht="22" customHeight="1">
      <x:c r="A343" s="1" t="str">
        <x:v>R00342</x:v>
      </x:c>
      <x:c r="B343" s="4" t="n">
        <x:v>46204.37355324074</x:v>
      </x:c>
      <x:c r="C343" s="1" t="str">
        <x:v>주간</x:v>
      </x:c>
      <x:c r="D343" s="1" t="str">
        <x:v>L1</x:v>
      </x:c>
      <x:c r="E343" s="1" t="str">
        <x:v>P1</x:v>
      </x:c>
      <x:c r="F343" s="1" t="str">
        <x:v>M01</x:v>
      </x:c>
      <x:c r="G343" s="1" t="str">
        <x:v>G06</x:v>
      </x:c>
      <x:c r="H343" s="5" t="n">
        <x:v>29.86</x:v>
      </x:c>
      <x:c r="I343" s="5" t="n">
        <x:v>5.62</x:v>
      </x:c>
      <x:c r="J343" s="5" t="n">
        <x:v>54.3</x:v>
      </x:c>
      <x:c r="K343" s="5" t="n">
        <x:v>38</x:v>
      </x:c>
      <x:c r="L343" s="5" t="n">
        <x:v>1.99</x:v>
      </x:c>
      <x:c r="M343" s="1" t="n">
        <x:v>0</x:v>
      </x:c>
      <x:c r="N343" s="6" t="n">
        <x:v>1.031</x:v>
      </x:c>
      <x:c r="O343" s="1" t="str">
        <x:v>합격</x:v>
      </x:c>
      <x:c r="P343" s="1"/>
      <x:c r="Q343" s="1" t="n">
        <x:v>40</x:v>
      </x:c>
      <x:c r="R343" s="1" t="str">
        <x:v>N</x:v>
      </x:c>
      <x:c r="S343" s="1" t="n">
        <x:v>0</x:v>
      </x:c>
      <x:c r="T343" s="1" t="str">
        <x:v>합격</x:v>
      </x:c>
    </x:row>
    <x:row r="344" ht="22" customHeight="1">
      <x:c r="A344" s="1" t="str">
        <x:v>R00343</x:v>
      </x:c>
      <x:c r="B344" s="4" t="n">
        <x:v>46205.56216435185</x:v>
      </x:c>
      <x:c r="C344" s="1" t="str">
        <x:v>주간</x:v>
      </x:c>
      <x:c r="D344" s="1" t="str">
        <x:v>L1</x:v>
      </x:c>
      <x:c r="E344" s="1" t="str">
        <x:v>P1</x:v>
      </x:c>
      <x:c r="F344" s="1" t="str">
        <x:v>M03</x:v>
      </x:c>
      <x:c r="G344" s="1" t="str">
        <x:v>G01</x:v>
      </x:c>
      <x:c r="H344" s="5" t="n">
        <x:v>28.78</x:v>
      </x:c>
      <x:c r="I344" s="5" t="n">
        <x:v>5.99</x:v>
      </x:c>
      <x:c r="J344" s="5" t="n">
        <x:v>58</x:v>
      </x:c>
      <x:c r="K344" s="5" t="n">
        <x:v>38</x:v>
      </x:c>
      <x:c r="L344" s="5" t="n">
        <x:v>2.57</x:v>
      </x:c>
      <x:c r="M344" s="1" t="n">
        <x:v>1</x:v>
      </x:c>
      <x:c r="N344" s="6" t="n">
        <x:v>0.984</x:v>
      </x:c>
      <x:c r="O344" s="1" t="str">
        <x:v>합격</x:v>
      </x:c>
      <x:c r="P344" s="1"/>
      <x:c r="Q344" s="1" t="n">
        <x:v>46</x:v>
      </x:c>
      <x:c r="R344" s="1" t="str">
        <x:v>N</x:v>
      </x:c>
      <x:c r="S344" s="1" t="n">
        <x:v>0</x:v>
      </x:c>
      <x:c r="T344" s="1" t="str">
        <x:v>합격</x:v>
      </x:c>
    </x:row>
    <x:row r="345" ht="22" customHeight="1">
      <x:c r="A345" s="1" t="str">
        <x:v>R00344</x:v>
      </x:c>
      <x:c r="B345" s="4" t="n">
        <x:v>46206.61138888889</x:v>
      </x:c>
      <x:c r="C345" s="1" t="str">
        <x:v>주간</x:v>
      </x:c>
      <x:c r="D345" s="1" t="str">
        <x:v>L2</x:v>
      </x:c>
      <x:c r="E345" s="1" t="str">
        <x:v>P2</x:v>
      </x:c>
      <x:c r="F345" s="1" t="str">
        <x:v>M02</x:v>
      </x:c>
      <x:c r="G345" s="1" t="str">
        <x:v>G02</x:v>
      </x:c>
      <x:c r="H345" s="5" t="n">
        <x:v>28.4</x:v>
      </x:c>
      <x:c r="I345" s="5" t="n">
        <x:v>5.85</x:v>
      </x:c>
      <x:c r="J345" s="5" t="n">
        <x:v>52.3</x:v>
      </x:c>
      <x:c r="K345" s="5" t="n">
        <x:v>39.4</x:v>
      </x:c>
      <x:c r="L345" s="5" t="n">
        <x:v>2.34</x:v>
      </x:c>
      <x:c r="M345" s="1" t="n">
        <x:v>0</x:v>
      </x:c>
      <x:c r="N345" s="6" t="n">
        <x:v>0.907</x:v>
      </x:c>
      <x:c r="O345" s="1" t="str">
        <x:v>합격</x:v>
      </x:c>
      <x:c r="P345" s="1"/>
      <x:c r="Q345" s="1" t="n">
        <x:v>48</x:v>
      </x:c>
      <x:c r="R345" s="1" t="str">
        <x:v>N</x:v>
      </x:c>
      <x:c r="S345" s="1" t="n">
        <x:v>0</x:v>
      </x:c>
      <x:c r="T345" s="1" t="str">
        <x:v>합격</x:v>
      </x:c>
    </x:row>
    <x:row r="346" ht="22" customHeight="1">
      <x:c r="A346" s="1" t="str">
        <x:v>R00345</x:v>
      </x:c>
      <x:c r="B346" s="4" t="n">
        <x:v>46207.022777777776</x:v>
      </x:c>
      <x:c r="C346" s="1" t="str">
        <x:v>야간</x:v>
      </x:c>
      <x:c r="D346" s="1" t="str">
        <x:v>L2</x:v>
      </x:c>
      <x:c r="E346" s="1" t="str">
        <x:v>P2</x:v>
      </x:c>
      <x:c r="F346" s="1" t="str">
        <x:v>M01</x:v>
      </x:c>
      <x:c r="G346" s="1" t="str">
        <x:v>G03</x:v>
      </x:c>
      <x:c r="H346" s="5" t="n">
        <x:v>31.44</x:v>
      </x:c>
      <x:c r="I346" s="5" t="n">
        <x:v>5.92</x:v>
      </x:c>
      <x:c r="J346" s="5" t="n">
        <x:v>58.1</x:v>
      </x:c>
      <x:c r="K346" s="5" t="n">
        <x:v>36.9</x:v>
      </x:c>
      <x:c r="L346" s="5" t="n">
        <x:v>2.39</x:v>
      </x:c>
      <x:c r="M346" s="1" t="n">
        <x:v>0</x:v>
      </x:c>
      <x:c r="N346" s="6" t="n">
        <x:v>0.855</x:v>
      </x:c>
      <x:c r="O346" s="1" t="str">
        <x:v>합격</x:v>
      </x:c>
      <x:c r="P346" s="1"/>
      <x:c r="Q346" s="1" t="n">
        <x:v>37</x:v>
      </x:c>
      <x:c r="R346" s="1" t="str">
        <x:v>N</x:v>
      </x:c>
      <x:c r="S346" s="1" t="n">
        <x:v>0</x:v>
      </x:c>
      <x:c r="T346" s="1" t="str">
        <x:v>합격</x:v>
      </x:c>
    </x:row>
    <x:row r="347" ht="22" customHeight="1">
      <x:c r="A347" s="1" t="str">
        <x:v>R00346</x:v>
      </x:c>
      <x:c r="B347" s="4" t="n">
        <x:v>46208.54614583333</x:v>
      </x:c>
      <x:c r="C347" s="1" t="str">
        <x:v>주간</x:v>
      </x:c>
      <x:c r="D347" s="1" t="str">
        <x:v>L1</x:v>
      </x:c>
      <x:c r="E347" s="1" t="str">
        <x:v>P1</x:v>
      </x:c>
      <x:c r="F347" s="1" t="str">
        <x:v>M01</x:v>
      </x:c>
      <x:c r="G347" s="1" t="str">
        <x:v>G04</x:v>
      </x:c>
      <x:c r="H347" s="5" t="n">
        <x:v>32.02</x:v>
      </x:c>
      <x:c r="I347" s="5" t="n">
        <x:v>5.68</x:v>
      </x:c>
      <x:c r="J347" s="5" t="n">
        <x:v>51.6</x:v>
      </x:c>
      <x:c r="K347" s="5" t="n">
        <x:v>37.8</x:v>
      </x:c>
      <x:c r="L347" s="5" t="n">
        <x:v>1.73</x:v>
      </x:c>
      <x:c r="M347" s="1" t="n">
        <x:v>0</x:v>
      </x:c>
      <x:c r="N347" s="6" t="n">
        <x:v>0.977</x:v>
      </x:c>
      <x:c r="O347" s="1" t="str">
        <x:v>합격</x:v>
      </x:c>
      <x:c r="P347" s="1"/>
      <x:c r="Q347" s="1" t="n">
        <x:v>39</x:v>
      </x:c>
      <x:c r="R347" s="1" t="str">
        <x:v>N</x:v>
      </x:c>
      <x:c r="S347" s="1" t="n">
        <x:v>0</x:v>
      </x:c>
      <x:c r="T347" s="1" t="str">
        <x:v>합격</x:v>
      </x:c>
    </x:row>
    <x:row r="348" ht="22" customHeight="1">
      <x:c r="A348" s="1" t="str">
        <x:v>R00347</x:v>
      </x:c>
      <x:c r="B348" s="4" t="n">
        <x:v>46209.58099537037</x:v>
      </x:c>
      <x:c r="C348" s="1" t="str">
        <x:v>주간</x:v>
      </x:c>
      <x:c r="D348" s="1" t="str">
        <x:v>L2</x:v>
      </x:c>
      <x:c r="E348" s="1" t="str">
        <x:v>P2</x:v>
      </x:c>
      <x:c r="F348" s="1" t="str">
        <x:v>M02</x:v>
      </x:c>
      <x:c r="G348" s="1" t="str">
        <x:v>G05</x:v>
      </x:c>
      <x:c r="H348" s="5" t="n">
        <x:v>31.99</x:v>
      </x:c>
      <x:c r="I348" s="5" t="n">
        <x:v>5.95</x:v>
      </x:c>
      <x:c r="J348" s="5" t="n">
        <x:v>56.3</x:v>
      </x:c>
      <x:c r="K348" s="5" t="n">
        <x:v>38.4</x:v>
      </x:c>
      <x:c r="L348" s="5" t="n">
        <x:v>1.88</x:v>
      </x:c>
      <x:c r="M348" s="1" t="n">
        <x:v>1</x:v>
      </x:c>
      <x:c r="N348" s="6" t="n">
        <x:v>0.873</x:v>
      </x:c>
      <x:c r="O348" s="1" t="str">
        <x:v>합격</x:v>
      </x:c>
      <x:c r="P348" s="1"/>
      <x:c r="Q348" s="1" t="n">
        <x:v>42</x:v>
      </x:c>
      <x:c r="R348" s="1" t="str">
        <x:v>N</x:v>
      </x:c>
      <x:c r="S348" s="1" t="n">
        <x:v>0</x:v>
      </x:c>
      <x:c r="T348" s="1" t="str">
        <x:v>합격</x:v>
      </x:c>
    </x:row>
    <x:row r="349" ht="22" customHeight="1">
      <x:c r="A349" s="1" t="str">
        <x:v>R00348</x:v>
      </x:c>
      <x:c r="B349" s="4" t="n">
        <x:v>46210.3828587963</x:v>
      </x:c>
      <x:c r="C349" s="1" t="str">
        <x:v>주간</x:v>
      </x:c>
      <x:c r="D349" s="1" t="str">
        <x:v>L1</x:v>
      </x:c>
      <x:c r="E349" s="1" t="str">
        <x:v>P1</x:v>
      </x:c>
      <x:c r="F349" s="1" t="str">
        <x:v>M01</x:v>
      </x:c>
      <x:c r="G349" s="1" t="str">
        <x:v>G06</x:v>
      </x:c>
      <x:c r="H349" s="5" t="n">
        <x:v>28.84</x:v>
      </x:c>
      <x:c r="I349" s="5" t="n">
        <x:v>5.89</x:v>
      </x:c>
      <x:c r="J349" s="5" t="n">
        <x:v>48.7</x:v>
      </x:c>
      <x:c r="K349" s="5" t="n">
        <x:v>41</x:v>
      </x:c>
      <x:c r="L349" s="5" t="n">
        <x:v>2.33</x:v>
      </x:c>
      <x:c r="M349" s="1" t="n">
        <x:v>1</x:v>
      </x:c>
      <x:c r="N349" s="6" t="n">
        <x:v>1.048</x:v>
      </x:c>
      <x:c r="O349" s="1" t="str">
        <x:v>합격</x:v>
      </x:c>
      <x:c r="P349" s="1"/>
      <x:c r="Q349" s="1" t="n">
        <x:v>46</x:v>
      </x:c>
      <x:c r="R349" s="1" t="str">
        <x:v>N</x:v>
      </x:c>
      <x:c r="S349" s="1" t="n">
        <x:v>0</x:v>
      </x:c>
      <x:c r="T349" s="1" t="str">
        <x:v>합격</x:v>
      </x:c>
    </x:row>
    <x:row r="350" ht="22" customHeight="1">
      <x:c r="A350" s="1" t="str">
        <x:v>R00349</x:v>
      </x:c>
      <x:c r="B350" s="4" t="n">
        <x:v>46211.564571759256</x:v>
      </x:c>
      <x:c r="C350" s="1" t="str">
        <x:v>주간</x:v>
      </x:c>
      <x:c r="D350" s="1" t="str">
        <x:v>L1</x:v>
      </x:c>
      <x:c r="E350" s="1" t="str">
        <x:v>P1</x:v>
      </x:c>
      <x:c r="F350" s="1" t="str">
        <x:v>M01</x:v>
      </x:c>
      <x:c r="G350" s="1" t="str">
        <x:v>G01</x:v>
      </x:c>
      <x:c r="H350" s="5"/>
      <x:c r="I350" s="5" t="n">
        <x:v>5.86</x:v>
      </x:c>
      <x:c r="J350" s="5" t="n">
        <x:v>53</x:v>
      </x:c>
      <x:c r="K350" s="5" t="n">
        <x:v>39.2</x:v>
      </x:c>
      <x:c r="L350" s="5" t="n">
        <x:v>1.95</x:v>
      </x:c>
      <x:c r="M350" s="1" t="n">
        <x:v>1</x:v>
      </x:c>
      <x:c r="N350" s="6" t="n">
        <x:v>0.909</x:v>
      </x:c>
      <x:c r="O350" s="1" t="str">
        <x:v>합격</x:v>
      </x:c>
      <x:c r="P350" s="1"/>
      <x:c r="Q350" s="1" t="n">
        <x:v>35</x:v>
      </x:c>
      <x:c r="R350" s="1" t="str">
        <x:v>N</x:v>
      </x:c>
      <x:c r="S350" s="1" t="n">
        <x:v>0</x:v>
      </x:c>
      <x:c r="T350" s="1" t="str">
        <x:v>합격</x:v>
      </x:c>
    </x:row>
    <x:row r="351" ht="22" customHeight="1">
      <x:c r="A351" s="1" t="str">
        <x:v>R00350</x:v>
      </x:c>
      <x:c r="B351" s="4" t="n">
        <x:v>46212.12053240741</x:v>
      </x:c>
      <x:c r="C351" s="1" t="str">
        <x:v>야간</x:v>
      </x:c>
      <x:c r="D351" s="1" t="str">
        <x:v>L2</x:v>
      </x:c>
      <x:c r="E351" s="1" t="str">
        <x:v>P2</x:v>
      </x:c>
      <x:c r="F351" s="1" t="str">
        <x:v>M01</x:v>
      </x:c>
      <x:c r="G351" s="1" t="str">
        <x:v>G02</x:v>
      </x:c>
      <x:c r="H351" s="5" t="n">
        <x:v>29.84</x:v>
      </x:c>
      <x:c r="I351" s="5" t="n">
        <x:v>5.68</x:v>
      </x:c>
      <x:c r="J351" s="5" t="n">
        <x:v>54.7</x:v>
      </x:c>
      <x:c r="K351" s="5" t="n">
        <x:v>35.8</x:v>
      </x:c>
      <x:c r="L351" s="5" t="n">
        <x:v>1.62</x:v>
      </x:c>
      <x:c r="M351" s="1" t="n">
        <x:v>0</x:v>
      </x:c>
      <x:c r="N351" s="6" t="n">
        <x:v>1.012</x:v>
      </x:c>
      <x:c r="O351" s="1" t="str">
        <x:v>합격</x:v>
      </x:c>
      <x:c r="P351" s="1"/>
      <x:c r="Q351" s="1" t="n">
        <x:v>43</x:v>
      </x:c>
      <x:c r="R351" s="1" t="str">
        <x:v>N</x:v>
      </x:c>
      <x:c r="S351" s="1" t="n">
        <x:v>0</x:v>
      </x:c>
      <x:c r="T351" s="1" t="str">
        <x:v>합격</x:v>
      </x:c>
    </x:row>
    <x:row r="352" ht="22" customHeight="1">
      <x:c r="A352" s="1" t="str">
        <x:v>R00351</x:v>
      </x:c>
      <x:c r="B352" s="4" t="n">
        <x:v>46213.443125</x:v>
      </x:c>
      <x:c r="C352" s="1" t="str">
        <x:v>주간</x:v>
      </x:c>
      <x:c r="D352" s="1" t="str">
        <x:v>L1</x:v>
      </x:c>
      <x:c r="E352" s="1" t="str">
        <x:v>P1</x:v>
      </x:c>
      <x:c r="F352" s="1" t="str">
        <x:v>M03</x:v>
      </x:c>
      <x:c r="G352" s="1" t="str">
        <x:v>G03</x:v>
      </x:c>
      <x:c r="H352" s="5"/>
      <x:c r="I352" s="5" t="n">
        <x:v>5.93</x:v>
      </x:c>
      <x:c r="J352" s="5" t="n">
        <x:v>58.5</x:v>
      </x:c>
      <x:c r="K352" s="5" t="n">
        <x:v>35.7</x:v>
      </x:c>
      <x:c r="L352" s="5" t="n">
        <x:v>1.65</x:v>
      </x:c>
      <x:c r="M352" s="1" t="n">
        <x:v>1</x:v>
      </x:c>
      <x:c r="N352" s="6" t="n">
        <x:v>0.909</x:v>
      </x:c>
      <x:c r="O352" s="1" t="str">
        <x:v>합격</x:v>
      </x:c>
      <x:c r="P352" s="1"/>
      <x:c r="Q352" s="1" t="n">
        <x:v>44</x:v>
      </x:c>
      <x:c r="R352" s="1" t="str">
        <x:v>N</x:v>
      </x:c>
      <x:c r="S352" s="1" t="n">
        <x:v>0</x:v>
      </x:c>
      <x:c r="T352" s="1" t="str">
        <x:v>합격</x:v>
      </x:c>
    </x:row>
    <x:row r="353" ht="22" customHeight="1">
      <x:c r="A353" s="1" t="str">
        <x:v>R00352</x:v>
      </x:c>
      <x:c r="B353" s="4" t="n">
        <x:v>46214.57331018519</x:v>
      </x:c>
      <x:c r="C353" s="1" t="str">
        <x:v>주간</x:v>
      </x:c>
      <x:c r="D353" s="1" t="str">
        <x:v>L2</x:v>
      </x:c>
      <x:c r="E353" s="1" t="str">
        <x:v>P2</x:v>
      </x:c>
      <x:c r="F353" s="1" t="str">
        <x:v>M04</x:v>
      </x:c>
      <x:c r="G353" s="1" t="str">
        <x:v>G04</x:v>
      </x:c>
      <x:c r="H353" s="5" t="n">
        <x:v>27.67</x:v>
      </x:c>
      <x:c r="I353" s="5" t="n">
        <x:v>5.88</x:v>
      </x:c>
      <x:c r="J353" s="5" t="n">
        <x:v>58.6</x:v>
      </x:c>
      <x:c r="K353" s="5" t="n">
        <x:v>41.5</x:v>
      </x:c>
      <x:c r="L353" s="5" t="n">
        <x:v>1.82</x:v>
      </x:c>
      <x:c r="M353" s="1" t="n">
        <x:v>0</x:v>
      </x:c>
      <x:c r="N353" s="6" t="n">
        <x:v>0.947</x:v>
      </x:c>
      <x:c r="O353" s="1" t="str">
        <x:v>합격</x:v>
      </x:c>
      <x:c r="P353" s="1"/>
      <x:c r="Q353" s="1" t="n">
        <x:v>48</x:v>
      </x:c>
      <x:c r="R353" s="1" t="str">
        <x:v>N</x:v>
      </x:c>
      <x:c r="S353" s="1" t="n">
        <x:v>0</x:v>
      </x:c>
      <x:c r="T353" s="1" t="str">
        <x:v>합격</x:v>
      </x:c>
    </x:row>
    <x:row r="354" ht="22" customHeight="1">
      <x:c r="A354" s="1" t="str">
        <x:v>R00353</x:v>
      </x:c>
      <x:c r="B354" s="4" t="n">
        <x:v>46215.07099537037</x:v>
      </x:c>
      <x:c r="C354" s="1" t="str">
        <x:v>야간</x:v>
      </x:c>
      <x:c r="D354" s="1" t="str">
        <x:v>L1</x:v>
      </x:c>
      <x:c r="E354" s="1" t="str">
        <x:v>P1</x:v>
      </x:c>
      <x:c r="F354" s="1" t="str">
        <x:v>M04</x:v>
      </x:c>
      <x:c r="G354" s="1" t="str">
        <x:v>G05</x:v>
      </x:c>
      <x:c r="H354" s="5" t="n">
        <x:v>30.36</x:v>
      </x:c>
      <x:c r="I354" s="5" t="n">
        <x:v>5.92</x:v>
      </x:c>
      <x:c r="J354" s="5" t="n">
        <x:v>56.5</x:v>
      </x:c>
      <x:c r="K354" s="5" t="n">
        <x:v>38.4</x:v>
      </x:c>
      <x:c r="L354" s="5" t="n">
        <x:v>1.68</x:v>
      </x:c>
      <x:c r="M354" s="1" t="n">
        <x:v>1</x:v>
      </x:c>
      <x:c r="N354" s="6" t="n">
        <x:v>0.91</x:v>
      </x:c>
      <x:c r="O354" s="1" t="str">
        <x:v>합격</x:v>
      </x:c>
      <x:c r="P354" s="1"/>
      <x:c r="Q354" s="1" t="n">
        <x:v>44</x:v>
      </x:c>
      <x:c r="R354" s="1" t="str">
        <x:v>N</x:v>
      </x:c>
      <x:c r="S354" s="1" t="n">
        <x:v>0</x:v>
      </x:c>
      <x:c r="T354" s="1" t="str">
        <x:v>합격</x:v>
      </x:c>
    </x:row>
    <x:row r="355" ht="22" customHeight="1">
      <x:c r="A355" s="1" t="str">
        <x:v>R00354</x:v>
      </x:c>
      <x:c r="B355" s="4" t="n">
        <x:v>46216.94505787037</x:v>
      </x:c>
      <x:c r="C355" s="1" t="str">
        <x:v>야간</x:v>
      </x:c>
      <x:c r="D355" s="1" t="str">
        <x:v>L2</x:v>
      </x:c>
      <x:c r="E355" s="1" t="str">
        <x:v>P2</x:v>
      </x:c>
      <x:c r="F355" s="1" t="str">
        <x:v>M02</x:v>
      </x:c>
      <x:c r="G355" s="1" t="str">
        <x:v>G06</x:v>
      </x:c>
      <x:c r="H355" s="5" t="n">
        <x:v>28.56</x:v>
      </x:c>
      <x:c r="I355" s="5" t="n">
        <x:v>5.86</x:v>
      </x:c>
      <x:c r="J355" s="5" t="n">
        <x:v>48</x:v>
      </x:c>
      <x:c r="K355" s="5" t="n">
        <x:v>39.5</x:v>
      </x:c>
      <x:c r="L355" s="5" t="n">
        <x:v>2.62</x:v>
      </x:c>
      <x:c r="M355" s="1" t="n">
        <x:v>1</x:v>
      </x:c>
      <x:c r="N355" s="6" t="n">
        <x:v>0.856</x:v>
      </x:c>
      <x:c r="O355" s="1" t="str">
        <x:v>합격</x:v>
      </x:c>
      <x:c r="P355" s="1"/>
      <x:c r="Q355" s="1" t="n">
        <x:v>38</x:v>
      </x:c>
      <x:c r="R355" s="1" t="str">
        <x:v>N</x:v>
      </x:c>
      <x:c r="S355" s="1" t="n">
        <x:v>0</x:v>
      </x:c>
      <x:c r="T355" s="1" t="str">
        <x:v>합격</x:v>
      </x:c>
    </x:row>
    <x:row r="356" ht="22" customHeight="1">
      <x:c r="A356" s="1" t="str">
        <x:v>R00355</x:v>
      </x:c>
      <x:c r="B356" s="4" t="n">
        <x:v>46217.86990740741</x:v>
      </x:c>
      <x:c r="C356" s="1" t="str">
        <x:v>야간</x:v>
      </x:c>
      <x:c r="D356" s="1" t="str">
        <x:v>L2</x:v>
      </x:c>
      <x:c r="E356" s="1" t="str">
        <x:v>P2</x:v>
      </x:c>
      <x:c r="F356" s="1" t="str">
        <x:v>M01</x:v>
      </x:c>
      <x:c r="G356" s="1" t="str">
        <x:v>G01</x:v>
      </x:c>
      <x:c r="H356" s="5" t="n">
        <x:v>32.52</x:v>
      </x:c>
      <x:c r="I356" s="5" t="n">
        <x:v>5.64</x:v>
      </x:c>
      <x:c r="J356" s="5" t="n">
        <x:v>57.8</x:v>
      </x:c>
      <x:c r="K356" s="5" t="n">
        <x:v>38.1</x:v>
      </x:c>
      <x:c r="L356" s="5" t="n">
        <x:v>1.53</x:v>
      </x:c>
      <x:c r="M356" s="1" t="n">
        <x:v>0</x:v>
      </x:c>
      <x:c r="N356" s="6" t="n">
        <x:v>1.023</x:v>
      </x:c>
      <x:c r="O356" s="1" t="str">
        <x:v>합격</x:v>
      </x:c>
      <x:c r="P356" s="1"/>
      <x:c r="Q356" s="1" t="n">
        <x:v>43</x:v>
      </x:c>
      <x:c r="R356" s="1" t="str">
        <x:v>N</x:v>
      </x:c>
      <x:c r="S356" s="1" t="n">
        <x:v>0</x:v>
      </x:c>
      <x:c r="T356" s="1" t="str">
        <x:v>합격</x:v>
      </x:c>
    </x:row>
    <x:row r="357" ht="22" customHeight="1">
      <x:c r="A357" s="1" t="str">
        <x:v>R00356</x:v>
      </x:c>
      <x:c r="B357" s="4" t="n">
        <x:v>46218.96575231481</x:v>
      </x:c>
      <x:c r="C357" s="1" t="str">
        <x:v>야간</x:v>
      </x:c>
      <x:c r="D357" s="1" t="str">
        <x:v>L1</x:v>
      </x:c>
      <x:c r="E357" s="1" t="str">
        <x:v>P1</x:v>
      </x:c>
      <x:c r="F357" s="1" t="str">
        <x:v>M04</x:v>
      </x:c>
      <x:c r="G357" s="1" t="str">
        <x:v>G02</x:v>
      </x:c>
      <x:c r="H357" s="5" t="n">
        <x:v>31.76</x:v>
      </x:c>
      <x:c r="I357" s="5" t="n">
        <x:v>5.85</x:v>
      </x:c>
      <x:c r="J357" s="5" t="n">
        <x:v>50.5</x:v>
      </x:c>
      <x:c r="K357" s="5" t="n">
        <x:v>40</x:v>
      </x:c>
      <x:c r="L357" s="5" t="n">
        <x:v>2.61</x:v>
      </x:c>
      <x:c r="M357" s="1" t="n">
        <x:v>1</x:v>
      </x:c>
      <x:c r="N357" s="6" t="n">
        <x:v>0.859</x:v>
      </x:c>
      <x:c r="O357" s="1" t="str">
        <x:v>합격</x:v>
      </x:c>
      <x:c r="P357" s="1"/>
      <x:c r="Q357" s="1" t="n">
        <x:v>48</x:v>
      </x:c>
      <x:c r="R357" s="1" t="str">
        <x:v>N</x:v>
      </x:c>
      <x:c r="S357" s="1" t="n">
        <x:v>0</x:v>
      </x:c>
      <x:c r="T357" s="1" t="str">
        <x:v>합격</x:v>
      </x:c>
    </x:row>
    <x:row r="358" ht="22" customHeight="1">
      <x:c r="A358" s="1" t="str">
        <x:v>R00357</x:v>
      </x:c>
      <x:c r="B358" s="4" t="n">
        <x:v>46219.45243055555</x:v>
      </x:c>
      <x:c r="C358" s="1" t="str">
        <x:v>주간</x:v>
      </x:c>
      <x:c r="D358" s="1" t="str">
        <x:v>L2</x:v>
      </x:c>
      <x:c r="E358" s="1" t="str">
        <x:v>P2</x:v>
      </x:c>
      <x:c r="F358" s="1" t="str">
        <x:v>M04</x:v>
      </x:c>
      <x:c r="G358" s="1" t="str">
        <x:v>G03</x:v>
      </x:c>
      <x:c r="H358" s="5" t="n">
        <x:v>31.74</x:v>
      </x:c>
      <x:c r="I358" s="5" t="n">
        <x:v>5.91</x:v>
      </x:c>
      <x:c r="J358" s="5" t="n">
        <x:v>53.8</x:v>
      </x:c>
      <x:c r="K358" s="5" t="n">
        <x:v>38.6</x:v>
      </x:c>
      <x:c r="L358" s="5" t="n">
        <x:v>1.75</x:v>
      </x:c>
      <x:c r="M358" s="1" t="n">
        <x:v>0</x:v>
      </x:c>
      <x:c r="N358" s="6" t="n">
        <x:v>0.912</x:v>
      </x:c>
      <x:c r="O358" s="1" t="str">
        <x:v>합격</x:v>
      </x:c>
      <x:c r="P358" s="1"/>
      <x:c r="Q358" s="1" t="n">
        <x:v>49</x:v>
      </x:c>
      <x:c r="R358" s="1" t="str">
        <x:v>N</x:v>
      </x:c>
      <x:c r="S358" s="1" t="n">
        <x:v>0</x:v>
      </x:c>
      <x:c r="T358" s="1" t="str">
        <x:v>합격</x:v>
      </x:c>
    </x:row>
    <x:row r="359" ht="22" customHeight="1">
      <x:c r="A359" s="1" t="str">
        <x:v>R00358</x:v>
      </x:c>
      <x:c r="B359" s="4" t="n">
        <x:v>46220.43340277778</x:v>
      </x:c>
      <x:c r="C359" s="1" t="str">
        <x:v>주간</x:v>
      </x:c>
      <x:c r="D359" s="1" t="str">
        <x:v>L1</x:v>
      </x:c>
      <x:c r="E359" s="1" t="str">
        <x:v>P1</x:v>
      </x:c>
      <x:c r="F359" s="1" t="str">
        <x:v>M01</x:v>
      </x:c>
      <x:c r="G359" s="1" t="str">
        <x:v>G04</x:v>
      </x:c>
      <x:c r="H359" s="5" t="n">
        <x:v>29.63</x:v>
      </x:c>
      <x:c r="I359" s="5" t="n">
        <x:v>5.74</x:v>
      </x:c>
      <x:c r="J359" s="5" t="n">
        <x:v>56.8</x:v>
      </x:c>
      <x:c r="K359" s="5" t="n">
        <x:v>37.2</x:v>
      </x:c>
      <x:c r="L359" s="5" t="n">
        <x:v>1.78</x:v>
      </x:c>
      <x:c r="M359" s="1" t="n">
        <x:v>0</x:v>
      </x:c>
      <x:c r="N359" s="6" t="n">
        <x:v>0.95</x:v>
      </x:c>
      <x:c r="O359" s="1" t="str">
        <x:v>합격</x:v>
      </x:c>
      <x:c r="P359" s="1"/>
      <x:c r="Q359" s="1" t="n">
        <x:v>40</x:v>
      </x:c>
      <x:c r="R359" s="1" t="str">
        <x:v>N</x:v>
      </x:c>
      <x:c r="S359" s="1" t="n">
        <x:v>0</x:v>
      </x:c>
      <x:c r="T359" s="1" t="str">
        <x:v>합격</x:v>
      </x:c>
    </x:row>
    <x:row r="360" ht="22" customHeight="1">
      <x:c r="A360" s="1" t="str">
        <x:v>R00359</x:v>
      </x:c>
      <x:c r="B360" s="4" t="n">
        <x:v>46221.52271990741</x:v>
      </x:c>
      <x:c r="C360" s="1" t="str">
        <x:v>주간</x:v>
      </x:c>
      <x:c r="D360" s="1" t="str">
        <x:v>L2</x:v>
      </x:c>
      <x:c r="E360" s="1" t="str">
        <x:v>P2</x:v>
      </x:c>
      <x:c r="F360" s="1" t="str">
        <x:v>M04</x:v>
      </x:c>
      <x:c r="G360" s="1" t="str">
        <x:v>G05</x:v>
      </x:c>
      <x:c r="H360" s="5" t="n">
        <x:v>31.96</x:v>
      </x:c>
      <x:c r="I360" s="5" t="n">
        <x:v>5.95</x:v>
      </x:c>
      <x:c r="J360" s="5" t="n">
        <x:v>49.2</x:v>
      </x:c>
      <x:c r="K360" s="5" t="n">
        <x:v>41.7</x:v>
      </x:c>
      <x:c r="L360" s="5" t="n">
        <x:v>1.66</x:v>
      </x:c>
      <x:c r="M360" s="1" t="n">
        <x:v>0</x:v>
      </x:c>
      <x:c r="N360" s="6" t="n">
        <x:v>0.976</x:v>
      </x:c>
      <x:c r="O360" s="1" t="str">
        <x:v>합격</x:v>
      </x:c>
      <x:c r="P360" s="1"/>
      <x:c r="Q360" s="1" t="n">
        <x:v>36</x:v>
      </x:c>
      <x:c r="R360" s="1" t="str">
        <x:v>N</x:v>
      </x:c>
      <x:c r="S360" s="1" t="n">
        <x:v>0</x:v>
      </x:c>
      <x:c r="T360" s="1" t="str">
        <x:v>합격</x:v>
      </x:c>
    </x:row>
    <x:row r="361" ht="22" customHeight="1">
      <x:c r="A361" s="1" t="str">
        <x:v>R00360</x:v>
      </x:c>
      <x:c r="B361" s="4" t="n">
        <x:v>46222.095983796295</x:v>
      </x:c>
      <x:c r="C361" s="1" t="str">
        <x:v>야간</x:v>
      </x:c>
      <x:c r="D361" s="1" t="str">
        <x:v>L1</x:v>
      </x:c>
      <x:c r="E361" s="1" t="str">
        <x:v>P1</x:v>
      </x:c>
      <x:c r="F361" s="1" t="str">
        <x:v>M04</x:v>
      </x:c>
      <x:c r="G361" s="1" t="str">
        <x:v>G06</x:v>
      </x:c>
      <x:c r="H361" s="5" t="n">
        <x:v>32.18</x:v>
      </x:c>
      <x:c r="I361" s="5" t="n">
        <x:v>5.99</x:v>
      </x:c>
      <x:c r="J361" s="5" t="n">
        <x:v>50.1</x:v>
      </x:c>
      <x:c r="K361" s="5" t="n">
        <x:v>39.1</x:v>
      </x:c>
      <x:c r="L361" s="5" t="n">
        <x:v>1.63</x:v>
      </x:c>
      <x:c r="M361" s="1" t="n">
        <x:v>0</x:v>
      </x:c>
      <x:c r="N361" s="6" t="n">
        <x:v>0.984</x:v>
      </x:c>
      <x:c r="O361" s="1" t="str">
        <x:v>합격</x:v>
      </x:c>
      <x:c r="P361" s="1"/>
      <x:c r="Q361" s="1" t="n">
        <x:v>41</x:v>
      </x:c>
      <x:c r="R361" s="1" t="str">
        <x:v>N</x:v>
      </x:c>
      <x:c r="S361" s="1" t="n">
        <x:v>0</x:v>
      </x:c>
      <x:c r="T361" s="1" t="str">
        <x:v>합격</x:v>
      </x:c>
    </x:row>
    <x:row r="362" ht="22" customHeight="1">
      <x:c r="A362" s="1" t="str">
        <x:v>R00361</x:v>
      </x:c>
      <x:c r="B362" s="4" t="n">
        <x:v>46223.92670138889</x:v>
      </x:c>
      <x:c r="C362" s="1" t="str">
        <x:v>야간</x:v>
      </x:c>
      <x:c r="D362" s="1" t="str">
        <x:v>L1</x:v>
      </x:c>
      <x:c r="E362" s="1" t="str">
        <x:v>P1</x:v>
      </x:c>
      <x:c r="F362" s="1" t="str">
        <x:v>M04</x:v>
      </x:c>
      <x:c r="G362" s="1" t="str">
        <x:v>G01</x:v>
      </x:c>
      <x:c r="H362" s="5" t="n">
        <x:v>29.75</x:v>
      </x:c>
      <x:c r="I362" s="5" t="n">
        <x:v>5.93</x:v>
      </x:c>
      <x:c r="J362" s="5" t="n">
        <x:v>53.9</x:v>
      </x:c>
      <x:c r="K362" s="5" t="n">
        <x:v>40.9</x:v>
      </x:c>
      <x:c r="L362" s="5" t="n">
        <x:v>1.68</x:v>
      </x:c>
      <x:c r="M362" s="1" t="n">
        <x:v>0</x:v>
      </x:c>
      <x:c r="N362" s="6" t="n">
        <x:v>1.049</x:v>
      </x:c>
      <x:c r="O362" s="1" t="str">
        <x:v>합격</x:v>
      </x:c>
      <x:c r="P362" s="1"/>
      <x:c r="Q362" s="1" t="n">
        <x:v>47</x:v>
      </x:c>
      <x:c r="R362" s="1" t="str">
        <x:v>N</x:v>
      </x:c>
      <x:c r="S362" s="1" t="n">
        <x:v>0</x:v>
      </x:c>
      <x:c r="T362" s="1" t="str">
        <x:v>합격</x:v>
      </x:c>
    </x:row>
    <x:row r="363" ht="22" customHeight="1">
      <x:c r="A363" s="1" t="str">
        <x:v>R00362</x:v>
      </x:c>
      <x:c r="B363" s="4" t="n">
        <x:v>46224.4578587963</x:v>
      </x:c>
      <x:c r="C363" s="1" t="str">
        <x:v>주간</x:v>
      </x:c>
      <x:c r="D363" s="1" t="str">
        <x:v>L2</x:v>
      </x:c>
      <x:c r="E363" s="1" t="str">
        <x:v>P2</x:v>
      </x:c>
      <x:c r="F363" s="1" t="str">
        <x:v>M04</x:v>
      </x:c>
      <x:c r="G363" s="1" t="str">
        <x:v>G02</x:v>
      </x:c>
      <x:c r="H363" s="5" t="n">
        <x:v>28.41</x:v>
      </x:c>
      <x:c r="I363" s="5" t="n">
        <x:v>5.64</x:v>
      </x:c>
      <x:c r="J363" s="5" t="n">
        <x:v>51.9</x:v>
      </x:c>
      <x:c r="K363" s="5" t="n">
        <x:v>35.6</x:v>
      </x:c>
      <x:c r="L363" s="5" t="n">
        <x:v>1.73</x:v>
      </x:c>
      <x:c r="M363" s="1" t="n">
        <x:v>1</x:v>
      </x:c>
      <x:c r="N363" s="6" t="n">
        <x:v>1.027</x:v>
      </x:c>
      <x:c r="O363" s="1" t="str">
        <x:v>합격</x:v>
      </x:c>
      <x:c r="P363" s="1"/>
      <x:c r="Q363" s="1" t="n">
        <x:v>42</x:v>
      </x:c>
      <x:c r="R363" s="1" t="str">
        <x:v>N</x:v>
      </x:c>
      <x:c r="S363" s="1" t="n">
        <x:v>0</x:v>
      </x:c>
      <x:c r="T363" s="1" t="str">
        <x:v>합격</x:v>
      </x:c>
    </x:row>
    <x:row r="364" ht="22" customHeight="1">
      <x:c r="A364" s="1" t="str">
        <x:v>R00363</x:v>
      </x:c>
      <x:c r="B364" s="4" t="n">
        <x:v>46225.058969907404</x:v>
      </x:c>
      <x:c r="C364" s="1" t="str">
        <x:v>야간</x:v>
      </x:c>
      <x:c r="D364" s="1" t="str">
        <x:v>L2</x:v>
      </x:c>
      <x:c r="E364" s="1" t="str">
        <x:v>P2</x:v>
      </x:c>
      <x:c r="F364" s="1" t="str">
        <x:v>M01</x:v>
      </x:c>
      <x:c r="G364" s="1" t="str">
        <x:v>G03</x:v>
      </x:c>
      <x:c r="H364" s="5" t="n">
        <x:v>27.78</x:v>
      </x:c>
      <x:c r="I364" s="5" t="n">
        <x:v>5.64</x:v>
      </x:c>
      <x:c r="J364" s="5" t="n">
        <x:v>50.7</x:v>
      </x:c>
      <x:c r="K364" s="5" t="n">
        <x:v>38.3</x:v>
      </x:c>
      <x:c r="L364" s="5" t="n">
        <x:v>1.55</x:v>
      </x:c>
      <x:c r="M364" s="1" t="n">
        <x:v>1</x:v>
      </x:c>
      <x:c r="N364" s="6" t="n">
        <x:v>0.934</x:v>
      </x:c>
      <x:c r="O364" s="1" t="str">
        <x:v>합격</x:v>
      </x:c>
      <x:c r="P364" s="1"/>
      <x:c r="Q364" s="1" t="n">
        <x:v>49</x:v>
      </x:c>
      <x:c r="R364" s="1" t="str">
        <x:v>N</x:v>
      </x:c>
      <x:c r="S364" s="1" t="n">
        <x:v>0</x:v>
      </x:c>
      <x:c r="T364" s="1" t="str">
        <x:v>합격</x:v>
      </x:c>
    </x:row>
    <x:row r="365" ht="22" customHeight="1">
      <x:c r="A365" s="1" t="str">
        <x:v>R00364</x:v>
      </x:c>
      <x:c r="B365" s="4" t="n">
        <x:v>46226.440520833334</x:v>
      </x:c>
      <x:c r="C365" s="1" t="str">
        <x:v>주간</x:v>
      </x:c>
      <x:c r="D365" s="1" t="str">
        <x:v>L2</x:v>
      </x:c>
      <x:c r="E365" s="1" t="str">
        <x:v>P2</x:v>
      </x:c>
      <x:c r="F365" s="1" t="str">
        <x:v>M04</x:v>
      </x:c>
      <x:c r="G365" s="1" t="str">
        <x:v>G04</x:v>
      </x:c>
      <x:c r="H365" s="5" t="n">
        <x:v>27.94</x:v>
      </x:c>
      <x:c r="I365" s="5" t="n">
        <x:v>5.65</x:v>
      </x:c>
      <x:c r="J365" s="5" t="n">
        <x:v>53.8</x:v>
      </x:c>
      <x:c r="K365" s="5" t="n">
        <x:v>40.4</x:v>
      </x:c>
      <x:c r="L365" s="5" t="n">
        <x:v>2.65</x:v>
      </x:c>
      <x:c r="M365" s="1" t="n">
        <x:v>1</x:v>
      </x:c>
      <x:c r="N365" s="6" t="n">
        <x:v>0.873</x:v>
      </x:c>
      <x:c r="O365" s="1" t="str">
        <x:v>합격</x:v>
      </x:c>
      <x:c r="P365" s="1"/>
      <x:c r="Q365" s="1" t="n">
        <x:v>45</x:v>
      </x:c>
      <x:c r="R365" s="1" t="str">
        <x:v>N</x:v>
      </x:c>
      <x:c r="S365" s="1" t="n">
        <x:v>0</x:v>
      </x:c>
      <x:c r="T365" s="1" t="str">
        <x:v>합격</x:v>
      </x:c>
    </x:row>
    <x:row r="366" ht="22" customHeight="1">
      <x:c r="A366" s="1" t="str">
        <x:v>R00365</x:v>
      </x:c>
      <x:c r="B366" s="4" t="n">
        <x:v>46227.96076388889</x:v>
      </x:c>
      <x:c r="C366" s="1" t="str">
        <x:v>야간</x:v>
      </x:c>
      <x:c r="D366" s="1" t="str">
        <x:v>L1</x:v>
      </x:c>
      <x:c r="E366" s="1" t="str">
        <x:v>P1</x:v>
      </x:c>
      <x:c r="F366" s="1" t="str">
        <x:v>M03</x:v>
      </x:c>
      <x:c r="G366" s="1" t="str">
        <x:v>G05</x:v>
      </x:c>
      <x:c r="H366" s="5" t="n">
        <x:v>33.25</x:v>
      </x:c>
      <x:c r="I366" s="5" t="n">
        <x:v>5.92</x:v>
      </x:c>
      <x:c r="J366" s="5" t="n">
        <x:v>49</x:v>
      </x:c>
      <x:c r="K366" s="5" t="n">
        <x:v>41</x:v>
      </x:c>
      <x:c r="L366" s="5" t="n">
        <x:v>1.72</x:v>
      </x:c>
      <x:c r="M366" s="1" t="n">
        <x:v>1</x:v>
      </x:c>
      <x:c r="N366" s="6" t="n">
        <x:v>0.934</x:v>
      </x:c>
      <x:c r="O366" s="1" t="str">
        <x:v>합격</x:v>
      </x:c>
      <x:c r="P366" s="1"/>
      <x:c r="Q366" s="1" t="n">
        <x:v>45</x:v>
      </x:c>
      <x:c r="R366" s="1" t="str">
        <x:v>N</x:v>
      </x:c>
      <x:c r="S366" s="1" t="n">
        <x:v>0</x:v>
      </x:c>
      <x:c r="T366" s="1" t="str">
        <x:v>합격</x:v>
      </x:c>
    </x:row>
    <x:row r="367" ht="22" customHeight="1">
      <x:c r="A367" s="1" t="str">
        <x:v>R00366</x:v>
      </x:c>
      <x:c r="B367" s="4" t="n">
        <x:v>46228.49586805556</x:v>
      </x:c>
      <x:c r="C367" s="1" t="str">
        <x:v>주간</x:v>
      </x:c>
      <x:c r="D367" s="1" t="str">
        <x:v>L1</x:v>
      </x:c>
      <x:c r="E367" s="1" t="str">
        <x:v>P1</x:v>
      </x:c>
      <x:c r="F367" s="1" t="str">
        <x:v>M03</x:v>
      </x:c>
      <x:c r="G367" s="1" t="str">
        <x:v>G06</x:v>
      </x:c>
      <x:c r="H367" s="5" t="n">
        <x:v>30.28</x:v>
      </x:c>
      <x:c r="I367" s="5" t="n">
        <x:v>5.96</x:v>
      </x:c>
      <x:c r="J367" s="5" t="n">
        <x:v>53.8</x:v>
      </x:c>
      <x:c r="K367" s="5" t="n">
        <x:v>37.8</x:v>
      </x:c>
      <x:c r="L367" s="5" t="n">
        <x:v>2.32</x:v>
      </x:c>
      <x:c r="M367" s="1" t="n">
        <x:v>1</x:v>
      </x:c>
      <x:c r="N367" s="6" t="n">
        <x:v>0.97</x:v>
      </x:c>
      <x:c r="O367" s="1" t="str">
        <x:v>합격</x:v>
      </x:c>
      <x:c r="P367" s="1"/>
      <x:c r="Q367" s="1" t="n">
        <x:v>40</x:v>
      </x:c>
      <x:c r="R367" s="1" t="str">
        <x:v>N</x:v>
      </x:c>
      <x:c r="S367" s="1" t="n">
        <x:v>0</x:v>
      </x:c>
      <x:c r="T367" s="1" t="str">
        <x:v>합격</x:v>
      </x:c>
    </x:row>
    <x:row r="368" ht="22" customHeight="1">
      <x:c r="A368" s="1" t="str">
        <x:v>R00367</x:v>
      </x:c>
      <x:c r="B368" s="4" t="n">
        <x:v>46229.52453703704</x:v>
      </x:c>
      <x:c r="C368" s="1" t="str">
        <x:v>주간</x:v>
      </x:c>
      <x:c r="D368" s="1" t="str">
        <x:v>L2</x:v>
      </x:c>
      <x:c r="E368" s="1" t="str">
        <x:v>P2</x:v>
      </x:c>
      <x:c r="F368" s="1" t="str">
        <x:v>M02</x:v>
      </x:c>
      <x:c r="G368" s="1" t="str">
        <x:v>G01</x:v>
      </x:c>
      <x:c r="H368" s="5" t="n">
        <x:v>31.09</x:v>
      </x:c>
      <x:c r="I368" s="5" t="n">
        <x:v>5.9</x:v>
      </x:c>
      <x:c r="J368" s="5" t="n">
        <x:v>49</x:v>
      </x:c>
      <x:c r="K368" s="5" t="n">
        <x:v>37.1</x:v>
      </x:c>
      <x:c r="L368" s="5" t="n">
        <x:v>2.61</x:v>
      </x:c>
      <x:c r="M368" s="1" t="n">
        <x:v>1</x:v>
      </x:c>
      <x:c r="N368" s="6" t="n">
        <x:v>0.963</x:v>
      </x:c>
      <x:c r="O368" s="1" t="str">
        <x:v>합격</x:v>
      </x:c>
      <x:c r="P368" s="1"/>
      <x:c r="Q368" s="1" t="n">
        <x:v>41</x:v>
      </x:c>
      <x:c r="R368" s="1" t="str">
        <x:v>N</x:v>
      </x:c>
      <x:c r="S368" s="1" t="n">
        <x:v>0</x:v>
      </x:c>
      <x:c r="T368" s="1" t="str">
        <x:v>합격</x:v>
      </x:c>
    </x:row>
    <x:row r="369" ht="22" customHeight="1">
      <x:c r="A369" s="1" t="str">
        <x:v>R00368</x:v>
      </x:c>
      <x:c r="B369" s="4" t="n">
        <x:v>46230.474803240744</x:v>
      </x:c>
      <x:c r="C369" s="1" t="str">
        <x:v>주간</x:v>
      </x:c>
      <x:c r="D369" s="1" t="str">
        <x:v>L2</x:v>
      </x:c>
      <x:c r="E369" s="1" t="str">
        <x:v>P2</x:v>
      </x:c>
      <x:c r="F369" s="1" t="str">
        <x:v>M02</x:v>
      </x:c>
      <x:c r="G369" s="1" t="str">
        <x:v>G02</x:v>
      </x:c>
      <x:c r="H369" s="5" t="n">
        <x:v>28.24</x:v>
      </x:c>
      <x:c r="I369" s="5" t="n">
        <x:v>5.63</x:v>
      </x:c>
      <x:c r="J369" s="5" t="n">
        <x:v>51.2</x:v>
      </x:c>
      <x:c r="K369" s="5" t="n">
        <x:v>38.3</x:v>
      </x:c>
      <x:c r="L369" s="5" t="n">
        <x:v>2.54</x:v>
      </x:c>
      <x:c r="M369" s="1" t="n">
        <x:v>0</x:v>
      </x:c>
      <x:c r="N369" s="6" t="n">
        <x:v>0.903</x:v>
      </x:c>
      <x:c r="O369" s="1" t="str">
        <x:v>합격</x:v>
      </x:c>
      <x:c r="P369" s="1"/>
      <x:c r="Q369" s="1" t="n">
        <x:v>43</x:v>
      </x:c>
      <x:c r="R369" s="1" t="str">
        <x:v>N</x:v>
      </x:c>
      <x:c r="S369" s="1" t="n">
        <x:v>0</x:v>
      </x:c>
      <x:c r="T369" s="1" t="str">
        <x:v>합격</x:v>
      </x:c>
    </x:row>
    <x:row r="370" ht="22" customHeight="1">
      <x:c r="A370" s="1" t="str">
        <x:v>R00369</x:v>
      </x:c>
      <x:c r="B370" s="4" t="n">
        <x:v>46231.380520833336</x:v>
      </x:c>
      <x:c r="C370" s="1" t="str">
        <x:v>주간</x:v>
      </x:c>
      <x:c r="D370" s="1" t="str">
        <x:v>L2</x:v>
      </x:c>
      <x:c r="E370" s="1" t="str">
        <x:v>P2</x:v>
      </x:c>
      <x:c r="F370" s="1" t="str">
        <x:v>M02</x:v>
      </x:c>
      <x:c r="G370" s="1" t="str">
        <x:v>G03</x:v>
      </x:c>
      <x:c r="H370" s="5" t="n">
        <x:v>31.65</x:v>
      </x:c>
      <x:c r="I370" s="5" t="n">
        <x:v>5.64</x:v>
      </x:c>
      <x:c r="J370" s="5" t="n">
        <x:v>57</x:v>
      </x:c>
      <x:c r="K370" s="5" t="n">
        <x:v>36.5</x:v>
      </x:c>
      <x:c r="L370" s="5" t="n">
        <x:v>2.6</x:v>
      </x:c>
      <x:c r="M370" s="1" t="n">
        <x:v>1</x:v>
      </x:c>
      <x:c r="N370" s="6" t="n">
        <x:v>0.86</x:v>
      </x:c>
      <x:c r="O370" s="1" t="str">
        <x:v>합격</x:v>
      </x:c>
      <x:c r="P370" s="1"/>
      <x:c r="Q370" s="1" t="n">
        <x:v>49</x:v>
      </x:c>
      <x:c r="R370" s="1" t="str">
        <x:v>N</x:v>
      </x:c>
      <x:c r="S370" s="1" t="n">
        <x:v>0</x:v>
      </x:c>
      <x:c r="T370" s="1" t="str">
        <x:v>합격</x:v>
      </x:c>
    </x:row>
    <x:row r="371" ht="22" customHeight="1">
      <x:c r="A371" s="1" t="str">
        <x:v>R00370</x:v>
      </x:c>
      <x:c r="B371" s="4" t="n">
        <x:v>46232.41491898148</x:v>
      </x:c>
      <x:c r="C371" s="1" t="str">
        <x:v>주간</x:v>
      </x:c>
      <x:c r="D371" s="1" t="str">
        <x:v>L2</x:v>
      </x:c>
      <x:c r="E371" s="1" t="str">
        <x:v>P2</x:v>
      </x:c>
      <x:c r="F371" s="1" t="str">
        <x:v>M04</x:v>
      </x:c>
      <x:c r="G371" s="1" t="str">
        <x:v>G04</x:v>
      </x:c>
      <x:c r="H371" s="5" t="n">
        <x:v>32.75</x:v>
      </x:c>
      <x:c r="I371" s="5" t="n">
        <x:v>5.79</x:v>
      </x:c>
      <x:c r="J371" s="5" t="n">
        <x:v>57.2</x:v>
      </x:c>
      <x:c r="K371" s="5" t="n">
        <x:v>39</x:v>
      </x:c>
      <x:c r="L371" s="5" t="n">
        <x:v>2.44</x:v>
      </x:c>
      <x:c r="M371" s="1" t="n">
        <x:v>1</x:v>
      </x:c>
      <x:c r="N371" s="6" t="n">
        <x:v>0.943</x:v>
      </x:c>
      <x:c r="O371" s="1" t="str">
        <x:v>합격</x:v>
      </x:c>
      <x:c r="P371" s="1"/>
      <x:c r="Q371" s="1" t="n">
        <x:v>44</x:v>
      </x:c>
      <x:c r="R371" s="1" t="str">
        <x:v>N</x:v>
      </x:c>
      <x:c r="S371" s="1" t="n">
        <x:v>0</x:v>
      </x:c>
      <x:c r="T371" s="1" t="str">
        <x:v>합격</x:v>
      </x:c>
    </x:row>
    <x:row r="372" ht="22" customHeight="1">
      <x:c r="A372" s="1" t="str">
        <x:v>R00371</x:v>
      </x:c>
      <x:c r="B372" s="4" t="n">
        <x:v>46233.507199074076</x:v>
      </x:c>
      <x:c r="C372" s="1" t="str">
        <x:v>주간</x:v>
      </x:c>
      <x:c r="D372" s="1" t="str">
        <x:v>L2</x:v>
      </x:c>
      <x:c r="E372" s="1" t="str">
        <x:v>P2</x:v>
      </x:c>
      <x:c r="F372" s="1" t="str">
        <x:v>M04</x:v>
      </x:c>
      <x:c r="G372" s="1" t="str">
        <x:v>G05</x:v>
      </x:c>
      <x:c r="H372" s="5" t="n">
        <x:v>32.78</x:v>
      </x:c>
      <x:c r="I372" s="5" t="n">
        <x:v>5.73</x:v>
      </x:c>
      <x:c r="J372" s="5" t="n">
        <x:v>47.1</x:v>
      </x:c>
      <x:c r="K372" s="5" t="n">
        <x:v>40.8</x:v>
      </x:c>
      <x:c r="L372" s="5" t="n">
        <x:v>2.64</x:v>
      </x:c>
      <x:c r="M372" s="1" t="n">
        <x:v>1</x:v>
      </x:c>
      <x:c r="N372" s="6" t="n">
        <x:v>0.967</x:v>
      </x:c>
      <x:c r="O372" s="1" t="str">
        <x:v>합격</x:v>
      </x:c>
      <x:c r="P372" s="1"/>
      <x:c r="Q372" s="1" t="n">
        <x:v>37</x:v>
      </x:c>
      <x:c r="R372" s="1" t="str">
        <x:v>N</x:v>
      </x:c>
      <x:c r="S372" s="1" t="n">
        <x:v>0</x:v>
      </x:c>
      <x:c r="T372" s="1" t="str">
        <x:v>합격</x:v>
      </x:c>
    </x:row>
    <x:row r="373" ht="22" customHeight="1">
      <x:c r="A373" s="1" t="str">
        <x:v>R00372</x:v>
      </x:c>
      <x:c r="B373" s="4" t="n">
        <x:v>46234.98384259259</x:v>
      </x:c>
      <x:c r="C373" s="1" t="str">
        <x:v>야간</x:v>
      </x:c>
      <x:c r="D373" s="1" t="str">
        <x:v>L1</x:v>
      </x:c>
      <x:c r="E373" s="1" t="str">
        <x:v>P1</x:v>
      </x:c>
      <x:c r="F373" s="1" t="str">
        <x:v>M04</x:v>
      </x:c>
      <x:c r="G373" s="1" t="str">
        <x:v>G06</x:v>
      </x:c>
      <x:c r="H373" s="5" t="n">
        <x:v>28.44</x:v>
      </x:c>
      <x:c r="I373" s="5" t="n">
        <x:v>5.79</x:v>
      </x:c>
      <x:c r="J373" s="5" t="n">
        <x:v>49.6</x:v>
      </x:c>
      <x:c r="K373" s="5" t="n">
        <x:v>41.1</x:v>
      </x:c>
      <x:c r="L373" s="5" t="n">
        <x:v>2.4</x:v>
      </x:c>
      <x:c r="M373" s="1" t="n">
        <x:v>1</x:v>
      </x:c>
      <x:c r="N373" s="6" t="n">
        <x:v>0.972</x:v>
      </x:c>
      <x:c r="O373" s="1" t="str">
        <x:v>합격</x:v>
      </x:c>
      <x:c r="P373" s="1"/>
      <x:c r="Q373" s="1" t="n">
        <x:v>43</x:v>
      </x:c>
      <x:c r="R373" s="1" t="str">
        <x:v>N</x:v>
      </x:c>
      <x:c r="S373" s="1" t="n">
        <x:v>0</x:v>
      </x:c>
      <x:c r="T373" s="1" t="str">
        <x:v>합격</x:v>
      </x:c>
    </x:row>
    <x:row r="374" ht="22" customHeight="1">
      <x:c r="A374" s="1" t="str">
        <x:v>R00373</x:v>
      </x:c>
      <x:c r="B374" s="4" t="n">
        <x:v>46204.95216435185</x:v>
      </x:c>
      <x:c r="C374" s="1" t="str">
        <x:v>야간</x:v>
      </x:c>
      <x:c r="D374" s="1" t="str">
        <x:v>L1</x:v>
      </x:c>
      <x:c r="E374" s="1" t="str">
        <x:v>P1</x:v>
      </x:c>
      <x:c r="F374" s="1" t="str">
        <x:v>M04</x:v>
      </x:c>
      <x:c r="G374" s="1" t="str">
        <x:v>G01</x:v>
      </x:c>
      <x:c r="H374" s="5" t="n">
        <x:v>29.77</x:v>
      </x:c>
      <x:c r="I374" s="5" t="n">
        <x:v>5.81</x:v>
      </x:c>
      <x:c r="J374" s="5" t="n">
        <x:v>50.9</x:v>
      </x:c>
      <x:c r="K374" s="5" t="n">
        <x:v>36</x:v>
      </x:c>
      <x:c r="L374" s="5" t="n">
        <x:v>2.19</x:v>
      </x:c>
      <x:c r="M374" s="1" t="n">
        <x:v>0</x:v>
      </x:c>
      <x:c r="N374" s="6" t="n">
        <x:v>0.862</x:v>
      </x:c>
      <x:c r="O374" s="1" t="str">
        <x:v>합격</x:v>
      </x:c>
      <x:c r="P374" s="1"/>
      <x:c r="Q374" s="1" t="n">
        <x:v>45</x:v>
      </x:c>
      <x:c r="R374" s="1" t="str">
        <x:v>N</x:v>
      </x:c>
      <x:c r="S374" s="1" t="n">
        <x:v>0</x:v>
      </x:c>
      <x:c r="T374" s="1" t="str">
        <x:v>합격</x:v>
      </x:c>
    </x:row>
    <x:row r="375" ht="22" customHeight="1">
      <x:c r="A375" s="1" t="str">
        <x:v>R00374</x:v>
      </x:c>
      <x:c r="B375" s="4" t="n">
        <x:v>46205.84563657407</x:v>
      </x:c>
      <x:c r="C375" s="1" t="str">
        <x:v>야간</x:v>
      </x:c>
      <x:c r="D375" s="1" t="str">
        <x:v>L2</x:v>
      </x:c>
      <x:c r="E375" s="1" t="str">
        <x:v>P2</x:v>
      </x:c>
      <x:c r="F375" s="1" t="str">
        <x:v>M01</x:v>
      </x:c>
      <x:c r="G375" s="1" t="str">
        <x:v>G02</x:v>
      </x:c>
      <x:c r="H375" s="5" t="n">
        <x:v>29.99</x:v>
      </x:c>
      <x:c r="I375" s="5" t="n">
        <x:v>5.79</x:v>
      </x:c>
      <x:c r="J375" s="5" t="n">
        <x:v>52.9</x:v>
      </x:c>
      <x:c r="K375" s="5" t="n">
        <x:v>35</x:v>
      </x:c>
      <x:c r="L375" s="5" t="n">
        <x:v>2</x:v>
      </x:c>
      <x:c r="M375" s="1" t="n">
        <x:v>0</x:v>
      </x:c>
      <x:c r="N375" s="6" t="n">
        <x:v>0.858</x:v>
      </x:c>
      <x:c r="O375" s="1" t="str">
        <x:v>불합격</x:v>
      </x:c>
      <x:c r="P375" s="1" t="str">
        <x:v>체결불량</x:v>
      </x:c>
      <x:c r="Q375" s="1" t="n">
        <x:v>46</x:v>
      </x:c>
      <x:c r="R375" s="1" t="str">
        <x:v>Y</x:v>
      </x:c>
      <x:c r="S375" s="1" t="n">
        <x:v>9</x:v>
      </x:c>
      <x:c r="T375" s="1" t="str">
        <x:v>재작업후합격</x:v>
      </x:c>
    </x:row>
    <x:row r="376" ht="22" customHeight="1">
      <x:c r="A376" s="1" t="str">
        <x:v>R00375</x:v>
      </x:c>
      <x:c r="B376" s="4" t="n">
        <x:v>46206.339224537034</x:v>
      </x:c>
      <x:c r="C376" s="1" t="str">
        <x:v>주간</x:v>
      </x:c>
      <x:c r="D376" s="1" t="str">
        <x:v>L1</x:v>
      </x:c>
      <x:c r="E376" s="1" t="str">
        <x:v>P1</x:v>
      </x:c>
      <x:c r="F376" s="1" t="str">
        <x:v>M03</x:v>
      </x:c>
      <x:c r="G376" s="1" t="str">
        <x:v>G03</x:v>
      </x:c>
      <x:c r="H376" s="5" t="n">
        <x:v>32.11</x:v>
      </x:c>
      <x:c r="I376" s="5" t="n">
        <x:v>5.69</x:v>
      </x:c>
      <x:c r="J376" s="5" t="n">
        <x:v>53</x:v>
      </x:c>
      <x:c r="K376" s="5" t="n">
        <x:v>35.8</x:v>
      </x:c>
      <x:c r="L376" s="5" t="n">
        <x:v>1.4</x:v>
      </x:c>
      <x:c r="M376" s="1" t="n">
        <x:v>1</x:v>
      </x:c>
      <x:c r="N376" s="6" t="n">
        <x:v>1.034</x:v>
      </x:c>
      <x:c r="O376" s="1" t="str">
        <x:v>합격</x:v>
      </x:c>
      <x:c r="P376" s="1"/>
      <x:c r="Q376" s="1" t="n">
        <x:v>39</x:v>
      </x:c>
      <x:c r="R376" s="1" t="str">
        <x:v>N</x:v>
      </x:c>
      <x:c r="S376" s="1" t="n">
        <x:v>0</x:v>
      </x:c>
      <x:c r="T376" s="1" t="str">
        <x:v>합격</x:v>
      </x:c>
    </x:row>
    <x:row r="377" ht="22" customHeight="1">
      <x:c r="A377" s="1" t="str">
        <x:v>R00376</x:v>
      </x:c>
      <x:c r="B377" s="4" t="n">
        <x:v>46207.13447916666</x:v>
      </x:c>
      <x:c r="C377" s="1" t="str">
        <x:v>야간</x:v>
      </x:c>
      <x:c r="D377" s="1" t="str">
        <x:v>L2</x:v>
      </x:c>
      <x:c r="E377" s="1" t="str">
        <x:v>P2</x:v>
      </x:c>
      <x:c r="F377" s="1" t="str">
        <x:v>M01</x:v>
      </x:c>
      <x:c r="G377" s="1" t="str">
        <x:v>G04</x:v>
      </x:c>
      <x:c r="H377" s="5" t="n">
        <x:v>27.38</x:v>
      </x:c>
      <x:c r="I377" s="5" t="n">
        <x:v>5.76</x:v>
      </x:c>
      <x:c r="J377" s="5" t="n">
        <x:v>54.8</x:v>
      </x:c>
      <x:c r="K377" s="5" t="n">
        <x:v>39.4</x:v>
      </x:c>
      <x:c r="L377" s="5"/>
      <x:c r="M377" s="1" t="n">
        <x:v>0</x:v>
      </x:c>
      <x:c r="N377" s="6" t="n">
        <x:v>0.966</x:v>
      </x:c>
      <x:c r="O377" s="1" t="str">
        <x:v>합격</x:v>
      </x:c>
      <x:c r="P377" s="1"/>
      <x:c r="Q377" s="1" t="n">
        <x:v>44</x:v>
      </x:c>
      <x:c r="R377" s="1" t="str">
        <x:v>N</x:v>
      </x:c>
      <x:c r="S377" s="1" t="n">
        <x:v>0</x:v>
      </x:c>
      <x:c r="T377" s="1" t="str">
        <x:v>합격</x:v>
      </x:c>
    </x:row>
    <x:row r="378" ht="22" customHeight="1">
      <x:c r="A378" s="1" t="str">
        <x:v>R00377</x:v>
      </x:c>
      <x:c r="B378" s="4" t="n">
        <x:v>46208.58730324074</x:v>
      </x:c>
      <x:c r="C378" s="1" t="str">
        <x:v>주간</x:v>
      </x:c>
      <x:c r="D378" s="1" t="str">
        <x:v>L2</x:v>
      </x:c>
      <x:c r="E378" s="1" t="str">
        <x:v>P2</x:v>
      </x:c>
      <x:c r="F378" s="1" t="str">
        <x:v>M02</x:v>
      </x:c>
      <x:c r="G378" s="1" t="str">
        <x:v>G05</x:v>
      </x:c>
      <x:c r="H378" s="5" t="n">
        <x:v>31.49</x:v>
      </x:c>
      <x:c r="I378" s="5" t="n">
        <x:v>5.95</x:v>
      </x:c>
      <x:c r="J378" s="5" t="n">
        <x:v>56.5</x:v>
      </x:c>
      <x:c r="K378" s="5" t="n">
        <x:v>40.6</x:v>
      </x:c>
      <x:c r="L378" s="5" t="n">
        <x:v>2.55</x:v>
      </x:c>
      <x:c r="M378" s="1" t="n">
        <x:v>1</x:v>
      </x:c>
      <x:c r="N378" s="6" t="n">
        <x:v>0.956</x:v>
      </x:c>
      <x:c r="O378" s="1" t="str">
        <x:v>합격</x:v>
      </x:c>
      <x:c r="P378" s="1"/>
      <x:c r="Q378" s="1" t="n">
        <x:v>41</x:v>
      </x:c>
      <x:c r="R378" s="1" t="str">
        <x:v>N</x:v>
      </x:c>
      <x:c r="S378" s="1" t="n">
        <x:v>0</x:v>
      </x:c>
      <x:c r="T378" s="1" t="str">
        <x:v>합격</x:v>
      </x:c>
    </x:row>
    <x:row r="379" ht="22" customHeight="1">
      <x:c r="A379" s="1" t="str">
        <x:v>R00378</x:v>
      </x:c>
      <x:c r="B379" s="4" t="n">
        <x:v>46209.0325</x:v>
      </x:c>
      <x:c r="C379" s="1" t="str">
        <x:v>야간</x:v>
      </x:c>
      <x:c r="D379" s="1" t="str">
        <x:v>L1</x:v>
      </x:c>
      <x:c r="E379" s="1" t="str">
        <x:v>P1</x:v>
      </x:c>
      <x:c r="F379" s="1" t="str">
        <x:v>M04</x:v>
      </x:c>
      <x:c r="G379" s="1" t="str">
        <x:v>G06</x:v>
      </x:c>
      <x:c r="H379" s="5" t="n">
        <x:v>30.96</x:v>
      </x:c>
      <x:c r="I379" s="5" t="n">
        <x:v>5.84</x:v>
      </x:c>
      <x:c r="J379" s="5" t="n">
        <x:v>53.4</x:v>
      </x:c>
      <x:c r="K379" s="5" t="n">
        <x:v>40.5</x:v>
      </x:c>
      <x:c r="L379" s="5" t="n">
        <x:v>1.54</x:v>
      </x:c>
      <x:c r="M379" s="1" t="n">
        <x:v>1</x:v>
      </x:c>
      <x:c r="N379" s="6" t="n">
        <x:v>1.004</x:v>
      </x:c>
      <x:c r="O379" s="1" t="str">
        <x:v>합격</x:v>
      </x:c>
      <x:c r="P379" s="1"/>
      <x:c r="Q379" s="1" t="n">
        <x:v>39</x:v>
      </x:c>
      <x:c r="R379" s="1" t="str">
        <x:v>N</x:v>
      </x:c>
      <x:c r="S379" s="1" t="n">
        <x:v>0</x:v>
      </x:c>
      <x:c r="T379" s="1" t="str">
        <x:v>합격</x:v>
      </x:c>
    </x:row>
    <x:row r="380" ht="22" customHeight="1">
      <x:c r="A380" s="1" t="str">
        <x:v>R00379</x:v>
      </x:c>
      <x:c r="B380" s="4" t="n">
        <x:v>46210.102743055555</x:v>
      </x:c>
      <x:c r="C380" s="1" t="str">
        <x:v>야간</x:v>
      </x:c>
      <x:c r="D380" s="1" t="str">
        <x:v>L1</x:v>
      </x:c>
      <x:c r="E380" s="1" t="str">
        <x:v>P1</x:v>
      </x:c>
      <x:c r="F380" s="1" t="str">
        <x:v>M04</x:v>
      </x:c>
      <x:c r="G380" s="1" t="str">
        <x:v>G01</x:v>
      </x:c>
      <x:c r="H380" s="5" t="n">
        <x:v>30.54</x:v>
      </x:c>
      <x:c r="I380" s="5" t="n">
        <x:v>5.99</x:v>
      </x:c>
      <x:c r="J380" s="5" t="n">
        <x:v>58.4</x:v>
      </x:c>
      <x:c r="K380" s="5" t="n">
        <x:v>35.6</x:v>
      </x:c>
      <x:c r="L380" s="5" t="n">
        <x:v>1.67</x:v>
      </x:c>
      <x:c r="M380" s="1" t="n">
        <x:v>1</x:v>
      </x:c>
      <x:c r="N380" s="6" t="n">
        <x:v>0.924</x:v>
      </x:c>
      <x:c r="O380" s="1" t="str">
        <x:v>합격</x:v>
      </x:c>
      <x:c r="P380" s="1"/>
      <x:c r="Q380" s="1" t="n">
        <x:v>41</x:v>
      </x:c>
      <x:c r="R380" s="1" t="str">
        <x:v>N</x:v>
      </x:c>
      <x:c r="S380" s="1" t="n">
        <x:v>0</x:v>
      </x:c>
      <x:c r="T380" s="1" t="str">
        <x:v>합격</x:v>
      </x:c>
    </x:row>
    <x:row r="381" ht="22" customHeight="1">
      <x:c r="A381" s="1" t="str">
        <x:v>R00380</x:v>
      </x:c>
      <x:c r="B381" s="4" t="n">
        <x:v>46211.503020833334</x:v>
      </x:c>
      <x:c r="C381" s="1" t="str">
        <x:v>주간</x:v>
      </x:c>
      <x:c r="D381" s="1" t="str">
        <x:v>L2</x:v>
      </x:c>
      <x:c r="E381" s="1" t="str">
        <x:v>P2</x:v>
      </x:c>
      <x:c r="F381" s="1" t="str">
        <x:v>M04</x:v>
      </x:c>
      <x:c r="G381" s="1" t="str">
        <x:v>G02</x:v>
      </x:c>
      <x:c r="H381" s="5" t="n">
        <x:v>30.28</x:v>
      </x:c>
      <x:c r="I381" s="5" t="n">
        <x:v>5.69</x:v>
      </x:c>
      <x:c r="J381" s="5" t="n">
        <x:v>47.8</x:v>
      </x:c>
      <x:c r="K381" s="5" t="n">
        <x:v>35.2</x:v>
      </x:c>
      <x:c r="L381" s="5" t="n">
        <x:v>2.3</x:v>
      </x:c>
      <x:c r="M381" s="1" t="n">
        <x:v>0</x:v>
      </x:c>
      <x:c r="N381" s="6" t="n">
        <x:v>0.902</x:v>
      </x:c>
      <x:c r="O381" s="1" t="str">
        <x:v>합격</x:v>
      </x:c>
      <x:c r="P381" s="1"/>
      <x:c r="Q381" s="1" t="n">
        <x:v>43</x:v>
      </x:c>
      <x:c r="R381" s="1" t="str">
        <x:v>N</x:v>
      </x:c>
      <x:c r="S381" s="1" t="n">
        <x:v>0</x:v>
      </x:c>
      <x:c r="T381" s="1" t="str">
        <x:v>합격</x:v>
      </x:c>
    </x:row>
    <x:row r="382" ht="22" customHeight="1">
      <x:c r="A382" s="1" t="str">
        <x:v>R00381</x:v>
      </x:c>
      <x:c r="B382" s="4" t="n">
        <x:v>46212.57743055555</x:v>
      </x:c>
      <x:c r="C382" s="1" t="str">
        <x:v>주간</x:v>
      </x:c>
      <x:c r="D382" s="1" t="str">
        <x:v>L1</x:v>
      </x:c>
      <x:c r="E382" s="1" t="str">
        <x:v>P1</x:v>
      </x:c>
      <x:c r="F382" s="1" t="str">
        <x:v>M01</x:v>
      </x:c>
      <x:c r="G382" s="1" t="str">
        <x:v>G03</x:v>
      </x:c>
      <x:c r="H382" s="5" t="n">
        <x:v>27.37</x:v>
      </x:c>
      <x:c r="I382" s="5" t="n">
        <x:v>5.62</x:v>
      </x:c>
      <x:c r="J382" s="5" t="n">
        <x:v>51.9</x:v>
      </x:c>
      <x:c r="K382" s="5" t="n">
        <x:v>36</x:v>
      </x:c>
      <x:c r="L382" s="5" t="n">
        <x:v>1.55</x:v>
      </x:c>
      <x:c r="M382" s="1" t="n">
        <x:v>0</x:v>
      </x:c>
      <x:c r="N382" s="6" t="n">
        <x:v>1.04</x:v>
      </x:c>
      <x:c r="O382" s="1" t="str">
        <x:v>합격</x:v>
      </x:c>
      <x:c r="P382" s="1"/>
      <x:c r="Q382" s="1" t="n">
        <x:v>39</x:v>
      </x:c>
      <x:c r="R382" s="1" t="str">
        <x:v>N</x:v>
      </x:c>
      <x:c r="S382" s="1" t="n">
        <x:v>0</x:v>
      </x:c>
      <x:c r="T382" s="1" t="str">
        <x:v>합격</x:v>
      </x:c>
    </x:row>
    <x:row r="383" ht="22" customHeight="1">
      <x:c r="A383" s="1" t="str">
        <x:v>R00382</x:v>
      </x:c>
      <x:c r="B383" s="4" t="n">
        <x:v>46213.59391203704</x:v>
      </x:c>
      <x:c r="C383" s="1" t="str">
        <x:v>주간</x:v>
      </x:c>
      <x:c r="D383" s="1" t="str">
        <x:v>L2</x:v>
      </x:c>
      <x:c r="E383" s="1" t="str">
        <x:v>P2</x:v>
      </x:c>
      <x:c r="F383" s="1" t="str">
        <x:v>M04</x:v>
      </x:c>
      <x:c r="G383" s="1" t="str">
        <x:v>G04</x:v>
      </x:c>
      <x:c r="H383" s="5" t="n">
        <x:v>30.51</x:v>
      </x:c>
      <x:c r="I383" s="5" t="n">
        <x:v>5.89</x:v>
      </x:c>
      <x:c r="J383" s="5" t="n">
        <x:v>57.2</x:v>
      </x:c>
      <x:c r="K383" s="5" t="n">
        <x:v>41.9</x:v>
      </x:c>
      <x:c r="L383" s="5" t="n">
        <x:v>2.04</x:v>
      </x:c>
      <x:c r="M383" s="1" t="n">
        <x:v>0</x:v>
      </x:c>
      <x:c r="N383" s="6" t="n">
        <x:v>0.993</x:v>
      </x:c>
      <x:c r="O383" s="1" t="str">
        <x:v>합격</x:v>
      </x:c>
      <x:c r="P383" s="1"/>
      <x:c r="Q383" s="1" t="n">
        <x:v>47</x:v>
      </x:c>
      <x:c r="R383" s="1" t="str">
        <x:v>N</x:v>
      </x:c>
      <x:c r="S383" s="1" t="n">
        <x:v>0</x:v>
      </x:c>
      <x:c r="T383" s="1" t="str">
        <x:v>합격</x:v>
      </x:c>
    </x:row>
    <x:row r="384" ht="22" customHeight="1">
      <x:c r="A384" s="1" t="str">
        <x:v>R00383</x:v>
      </x:c>
      <x:c r="B384" s="4" t="n">
        <x:v>46214.359664351854</x:v>
      </x:c>
      <x:c r="C384" s="1" t="str">
        <x:v>주간</x:v>
      </x:c>
      <x:c r="D384" s="1" t="str">
        <x:v>L1</x:v>
      </x:c>
      <x:c r="E384" s="1" t="str">
        <x:v>P1</x:v>
      </x:c>
      <x:c r="F384" s="1" t="str">
        <x:v>M01</x:v>
      </x:c>
      <x:c r="G384" s="1" t="str">
        <x:v>G05</x:v>
      </x:c>
      <x:c r="H384" s="5" t="n">
        <x:v>30.64</x:v>
      </x:c>
      <x:c r="I384" s="5" t="n">
        <x:v>5.86</x:v>
      </x:c>
      <x:c r="J384" s="5" t="n">
        <x:v>55.9</x:v>
      </x:c>
      <x:c r="K384" s="5" t="n">
        <x:v>39.8</x:v>
      </x:c>
      <x:c r="L384" s="5" t="n">
        <x:v>2.41</x:v>
      </x:c>
      <x:c r="M384" s="1" t="n">
        <x:v>0</x:v>
      </x:c>
      <x:c r="N384" s="6" t="n">
        <x:v>0.949</x:v>
      </x:c>
      <x:c r="O384" s="1" t="str">
        <x:v>합격</x:v>
      </x:c>
      <x:c r="P384" s="1"/>
      <x:c r="Q384" s="1" t="n">
        <x:v>35</x:v>
      </x:c>
      <x:c r="R384" s="1" t="str">
        <x:v>N</x:v>
      </x:c>
      <x:c r="S384" s="1" t="n">
        <x:v>0</x:v>
      </x:c>
      <x:c r="T384" s="1" t="str">
        <x:v>합격</x:v>
      </x:c>
    </x:row>
    <x:row r="385" ht="22" customHeight="1">
      <x:c r="A385" s="1" t="str">
        <x:v>R00384</x:v>
      </x:c>
      <x:c r="B385" s="4" t="n">
        <x:v>46215.007743055554</x:v>
      </x:c>
      <x:c r="C385" s="1" t="str">
        <x:v>야간</x:v>
      </x:c>
      <x:c r="D385" s="1" t="str">
        <x:v>L2</x:v>
      </x:c>
      <x:c r="E385" s="1" t="str">
        <x:v>P2</x:v>
      </x:c>
      <x:c r="F385" s="1" t="str">
        <x:v>M02</x:v>
      </x:c>
      <x:c r="G385" s="1" t="str">
        <x:v>G06</x:v>
      </x:c>
      <x:c r="H385" s="5" t="n">
        <x:v>28.36</x:v>
      </x:c>
      <x:c r="I385" s="5" t="n">
        <x:v>5.74</x:v>
      </x:c>
      <x:c r="J385" s="5" t="n">
        <x:v>49.6</x:v>
      </x:c>
      <x:c r="K385" s="5" t="n">
        <x:v>35.9</x:v>
      </x:c>
      <x:c r="L385" s="5" t="n">
        <x:v>2.17</x:v>
      </x:c>
      <x:c r="M385" s="1" t="n">
        <x:v>1</x:v>
      </x:c>
      <x:c r="N385" s="6" t="n">
        <x:v>1.035</x:v>
      </x:c>
      <x:c r="O385" s="1" t="str">
        <x:v>합격</x:v>
      </x:c>
      <x:c r="P385" s="1"/>
      <x:c r="Q385" s="1" t="n">
        <x:v>40</x:v>
      </x:c>
      <x:c r="R385" s="1" t="str">
        <x:v>N</x:v>
      </x:c>
      <x:c r="S385" s="1" t="n">
        <x:v>0</x:v>
      </x:c>
      <x:c r="T385" s="1" t="str">
        <x:v>합격</x:v>
      </x:c>
    </x:row>
    <x:row r="386" ht="22" customHeight="1">
      <x:c r="A386" s="1" t="str">
        <x:v>R00385</x:v>
      </x:c>
      <x:c r="B386" s="4" t="n">
        <x:v>46216.892546296294</x:v>
      </x:c>
      <x:c r="C386" s="1" t="str">
        <x:v>야간</x:v>
      </x:c>
      <x:c r="D386" s="1" t="str">
        <x:v>L2</x:v>
      </x:c>
      <x:c r="E386" s="1" t="str">
        <x:v>P2</x:v>
      </x:c>
      <x:c r="F386" s="1" t="str">
        <x:v>M01</x:v>
      </x:c>
      <x:c r="G386" s="1" t="str">
        <x:v>G01</x:v>
      </x:c>
      <x:c r="H386" s="5" t="n">
        <x:v>32</x:v>
      </x:c>
      <x:c r="I386" s="5" t="n">
        <x:v>5.67</x:v>
      </x:c>
      <x:c r="J386" s="5" t="n">
        <x:v>58.1</x:v>
      </x:c>
      <x:c r="K386" s="5" t="n">
        <x:v>41</x:v>
      </x:c>
      <x:c r="L386" s="5" t="n">
        <x:v>2.23</x:v>
      </x:c>
      <x:c r="M386" s="1" t="n">
        <x:v>0</x:v>
      </x:c>
      <x:c r="N386" s="6" t="n">
        <x:v>0.872</x:v>
      </x:c>
      <x:c r="O386" s="1" t="str">
        <x:v>합격</x:v>
      </x:c>
      <x:c r="P386" s="1"/>
      <x:c r="Q386" s="1" t="n">
        <x:v>35</x:v>
      </x:c>
      <x:c r="R386" s="1" t="str">
        <x:v>N</x:v>
      </x:c>
      <x:c r="S386" s="1" t="n">
        <x:v>0</x:v>
      </x:c>
      <x:c r="T386" s="1" t="str">
        <x:v>합격</x:v>
      </x:c>
    </x:row>
    <x:row r="387" ht="22" customHeight="1">
      <x:c r="A387" s="1" t="str">
        <x:v>R00386</x:v>
      </x:c>
      <x:c r="B387" s="4" t="n">
        <x:v>46217.41173611111</x:v>
      </x:c>
      <x:c r="C387" s="1" t="str">
        <x:v>주간</x:v>
      </x:c>
      <x:c r="D387" s="1" t="str">
        <x:v>L2</x:v>
      </x:c>
      <x:c r="E387" s="1" t="str">
        <x:v>P2</x:v>
      </x:c>
      <x:c r="F387" s="1" t="str">
        <x:v>M02</x:v>
      </x:c>
      <x:c r="G387" s="1" t="str">
        <x:v>G02</x:v>
      </x:c>
      <x:c r="H387" s="5" t="n">
        <x:v>29.17</x:v>
      </x:c>
      <x:c r="I387" s="5" t="n">
        <x:v>5.69</x:v>
      </x:c>
      <x:c r="J387" s="5" t="n">
        <x:v>48.7</x:v>
      </x:c>
      <x:c r="K387" s="5" t="n">
        <x:v>39.4</x:v>
      </x:c>
      <x:c r="L387" s="5" t="n">
        <x:v>2.07</x:v>
      </x:c>
      <x:c r="M387" s="1" t="n">
        <x:v>1</x:v>
      </x:c>
      <x:c r="N387" s="6" t="n">
        <x:v>0.966</x:v>
      </x:c>
      <x:c r="O387" s="1" t="str">
        <x:v>합격</x:v>
      </x:c>
      <x:c r="P387" s="1"/>
      <x:c r="Q387" s="1" t="n">
        <x:v>39</x:v>
      </x:c>
      <x:c r="R387" s="1" t="str">
        <x:v>N</x:v>
      </x:c>
      <x:c r="S387" s="1" t="n">
        <x:v>0</x:v>
      </x:c>
      <x:c r="T387" s="1" t="str">
        <x:v>합격</x:v>
      </x:c>
    </x:row>
    <x:row r="388" ht="22" customHeight="1">
      <x:c r="A388" s="1" t="str">
        <x:v>R00387</x:v>
      </x:c>
      <x:c r="B388" s="4" t="n">
        <x:v>46218.081192129626</x:v>
      </x:c>
      <x:c r="C388" s="1" t="str">
        <x:v>야간</x:v>
      </x:c>
      <x:c r="D388" s="1" t="str">
        <x:v>L1</x:v>
      </x:c>
      <x:c r="E388" s="1" t="str">
        <x:v>P1</x:v>
      </x:c>
      <x:c r="F388" s="1" t="str">
        <x:v>M04</x:v>
      </x:c>
      <x:c r="G388" s="1" t="str">
        <x:v>G03</x:v>
      </x:c>
      <x:c r="H388" s="5" t="n">
        <x:v>28.35</x:v>
      </x:c>
      <x:c r="I388" s="5" t="n">
        <x:v>5.99</x:v>
      </x:c>
      <x:c r="J388" s="5" t="n">
        <x:v>56</x:v>
      </x:c>
      <x:c r="K388" s="5" t="n">
        <x:v>40.5</x:v>
      </x:c>
      <x:c r="L388" s="5" t="n">
        <x:v>2.45</x:v>
      </x:c>
      <x:c r="M388" s="1" t="n">
        <x:v>0</x:v>
      </x:c>
      <x:c r="N388" s="6" t="n">
        <x:v>1.029</x:v>
      </x:c>
      <x:c r="O388" s="1" t="str">
        <x:v>합격</x:v>
      </x:c>
      <x:c r="P388" s="1"/>
      <x:c r="Q388" s="1" t="n">
        <x:v>42</x:v>
      </x:c>
      <x:c r="R388" s="1" t="str">
        <x:v>N</x:v>
      </x:c>
      <x:c r="S388" s="1" t="n">
        <x:v>0</x:v>
      </x:c>
      <x:c r="T388" s="1" t="str">
        <x:v>합격</x:v>
      </x:c>
    </x:row>
    <x:row r="389" ht="22" customHeight="1">
      <x:c r="A389" s="1" t="str">
        <x:v>R00388</x:v>
      </x:c>
      <x:c r="B389" s="4" t="n">
        <x:v>46219.43497685185</x:v>
      </x:c>
      <x:c r="C389" s="1" t="str">
        <x:v>주간</x:v>
      </x:c>
      <x:c r="D389" s="1" t="str">
        <x:v>L2</x:v>
      </x:c>
      <x:c r="E389" s="1" t="str">
        <x:v>P2</x:v>
      </x:c>
      <x:c r="F389" s="1" t="str">
        <x:v>M04</x:v>
      </x:c>
      <x:c r="G389" s="1" t="str">
        <x:v>G04</x:v>
      </x:c>
      <x:c r="H389" s="5" t="n">
        <x:v>31.47</x:v>
      </x:c>
      <x:c r="I389" s="5" t="n">
        <x:v>5.85</x:v>
      </x:c>
      <x:c r="J389" s="5" t="n">
        <x:v>47.3</x:v>
      </x:c>
      <x:c r="K389" s="5" t="n">
        <x:v>35.4</x:v>
      </x:c>
      <x:c r="L389" s="5" t="n">
        <x:v>2.44</x:v>
      </x:c>
      <x:c r="M389" s="1" t="n">
        <x:v>0</x:v>
      </x:c>
      <x:c r="N389" s="6" t="n">
        <x:v>0.984</x:v>
      </x:c>
      <x:c r="O389" s="1" t="str">
        <x:v>합격</x:v>
      </x:c>
      <x:c r="P389" s="1"/>
      <x:c r="Q389" s="1" t="n">
        <x:v>43</x:v>
      </x:c>
      <x:c r="R389" s="1" t="str">
        <x:v>N</x:v>
      </x:c>
      <x:c r="S389" s="1" t="n">
        <x:v>0</x:v>
      </x:c>
      <x:c r="T389" s="1" t="str">
        <x:v>합격</x:v>
      </x:c>
    </x:row>
    <x:row r="390" ht="22" customHeight="1">
      <x:c r="A390" s="1" t="str">
        <x:v>R00389</x:v>
      </x:c>
      <x:c r="B390" s="4" t="n">
        <x:v>46220.41211805555</x:v>
      </x:c>
      <x:c r="C390" s="1" t="str">
        <x:v>주간</x:v>
      </x:c>
      <x:c r="D390" s="1" t="str">
        <x:v>L1</x:v>
      </x:c>
      <x:c r="E390" s="1" t="str">
        <x:v>P1</x:v>
      </x:c>
      <x:c r="F390" s="1" t="str">
        <x:v>M01</x:v>
      </x:c>
      <x:c r="G390" s="1" t="str">
        <x:v>G05</x:v>
      </x:c>
      <x:c r="H390" s="5" t="n">
        <x:v>29.48</x:v>
      </x:c>
      <x:c r="I390" s="5" t="n">
        <x:v>5.71</x:v>
      </x:c>
      <x:c r="J390" s="5" t="n">
        <x:v>49.3</x:v>
      </x:c>
      <x:c r="K390" s="5" t="n">
        <x:v>42</x:v>
      </x:c>
      <x:c r="L390" s="5" t="n">
        <x:v>1.88</x:v>
      </x:c>
      <x:c r="M390" s="1" t="n">
        <x:v>1</x:v>
      </x:c>
      <x:c r="N390" s="6" t="n">
        <x:v>1.021</x:v>
      </x:c>
      <x:c r="O390" s="1" t="str">
        <x:v>합격</x:v>
      </x:c>
      <x:c r="P390" s="1"/>
      <x:c r="Q390" s="1" t="n">
        <x:v>47</x:v>
      </x:c>
      <x:c r="R390" s="1" t="str">
        <x:v>N</x:v>
      </x:c>
      <x:c r="S390" s="1" t="n">
        <x:v>0</x:v>
      </x:c>
      <x:c r="T390" s="1" t="str">
        <x:v>합격</x:v>
      </x:c>
    </x:row>
    <x:row r="391" ht="22" customHeight="1">
      <x:c r="A391" s="1" t="str">
        <x:v>R00390</x:v>
      </x:c>
      <x:c r="B391" s="4" t="n">
        <x:v>46221.16033564815</x:v>
      </x:c>
      <x:c r="C391" s="1" t="str">
        <x:v>야간</x:v>
      </x:c>
      <x:c r="D391" s="1" t="str">
        <x:v>L2</x:v>
      </x:c>
      <x:c r="E391" s="1" t="str">
        <x:v>P2</x:v>
      </x:c>
      <x:c r="F391" s="1" t="str">
        <x:v>M04</x:v>
      </x:c>
      <x:c r="G391" s="1" t="str">
        <x:v>G06</x:v>
      </x:c>
      <x:c r="H391" s="5" t="n">
        <x:v>26.13</x:v>
      </x:c>
      <x:c r="I391" s="5" t="n">
        <x:v>5.88</x:v>
      </x:c>
      <x:c r="J391" s="5" t="n">
        <x:v>52.7</x:v>
      </x:c>
      <x:c r="K391" s="5" t="n">
        <x:v>40.8</x:v>
      </x:c>
      <x:c r="L391" s="5" t="n">
        <x:v>2.67</x:v>
      </x:c>
      <x:c r="M391" s="1" t="n">
        <x:v>1</x:v>
      </x:c>
      <x:c r="N391" s="6" t="n">
        <x:v>1.043</x:v>
      </x:c>
      <x:c r="O391" s="1" t="str">
        <x:v>불합격</x:v>
      </x:c>
      <x:c r="P391" s="1" t="str">
        <x:v>치수불량</x:v>
      </x:c>
      <x:c r="Q391" s="1" t="n">
        <x:v>48</x:v>
      </x:c>
      <x:c r="R391" s="1" t="str">
        <x:v>Y</x:v>
      </x:c>
      <x:c r="S391" s="1" t="n">
        <x:v>9</x:v>
      </x:c>
      <x:c r="T391" s="1" t="str">
        <x:v>재작업후합격</x:v>
      </x:c>
    </x:row>
    <x:row r="392" ht="22" customHeight="1">
      <x:c r="A392" s="1" t="str">
        <x:v>R00391</x:v>
      </x:c>
      <x:c r="B392" s="4" t="n">
        <x:v>46222.97306712963</x:v>
      </x:c>
      <x:c r="C392" s="1" t="str">
        <x:v>야간</x:v>
      </x:c>
      <x:c r="D392" s="1" t="str">
        <x:v>L1</x:v>
      </x:c>
      <x:c r="E392" s="1" t="str">
        <x:v>P1</x:v>
      </x:c>
      <x:c r="F392" s="1" t="str">
        <x:v>M04</x:v>
      </x:c>
      <x:c r="G392" s="1" t="str">
        <x:v>G01</x:v>
      </x:c>
      <x:c r="H392" s="5" t="n">
        <x:v>27.56</x:v>
      </x:c>
      <x:c r="I392" s="5" t="n">
        <x:v>5.96</x:v>
      </x:c>
      <x:c r="J392" s="5" t="n">
        <x:v>48.2</x:v>
      </x:c>
      <x:c r="K392" s="5" t="n">
        <x:v>37.8</x:v>
      </x:c>
      <x:c r="L392" s="5" t="n">
        <x:v>2.45</x:v>
      </x:c>
      <x:c r="M392" s="1" t="n">
        <x:v>0</x:v>
      </x:c>
      <x:c r="N392" s="6" t="n">
        <x:v>0.992</x:v>
      </x:c>
      <x:c r="O392" s="1" t="str">
        <x:v>합격</x:v>
      </x:c>
      <x:c r="P392" s="1"/>
      <x:c r="Q392" s="1" t="n">
        <x:v>39</x:v>
      </x:c>
      <x:c r="R392" s="1" t="str">
        <x:v>N</x:v>
      </x:c>
      <x:c r="S392" s="1" t="n">
        <x:v>0</x:v>
      </x:c>
      <x:c r="T392" s="1" t="str">
        <x:v>합격</x:v>
      </x:c>
    </x:row>
    <x:row r="393" ht="22" customHeight="1">
      <x:c r="A393" s="1" t="str">
        <x:v>R00392</x:v>
      </x:c>
      <x:c r="B393" s="4" t="n">
        <x:v>46223.874560185184</x:v>
      </x:c>
      <x:c r="C393" s="1" t="str">
        <x:v>야간</x:v>
      </x:c>
      <x:c r="D393" s="1" t="str">
        <x:v>L2</x:v>
      </x:c>
      <x:c r="E393" s="1" t="str">
        <x:v>P2</x:v>
      </x:c>
      <x:c r="F393" s="1" t="str">
        <x:v>M01</x:v>
      </x:c>
      <x:c r="G393" s="1" t="str">
        <x:v>G02</x:v>
      </x:c>
      <x:c r="H393" s="5" t="n">
        <x:v>27.93</x:v>
      </x:c>
      <x:c r="I393" s="5" t="n">
        <x:v>5.9</x:v>
      </x:c>
      <x:c r="J393" s="5" t="n">
        <x:v>56</x:v>
      </x:c>
      <x:c r="K393" s="5" t="n">
        <x:v>40.5</x:v>
      </x:c>
      <x:c r="L393" s="5" t="n">
        <x:v>2.68</x:v>
      </x:c>
      <x:c r="M393" s="1" t="n">
        <x:v>0</x:v>
      </x:c>
      <x:c r="N393" s="6" t="n">
        <x:v>1.004</x:v>
      </x:c>
      <x:c r="O393" s="1" t="str">
        <x:v>합격</x:v>
      </x:c>
      <x:c r="P393" s="1"/>
      <x:c r="Q393" s="1" t="n">
        <x:v>48</x:v>
      </x:c>
      <x:c r="R393" s="1" t="str">
        <x:v>N</x:v>
      </x:c>
      <x:c r="S393" s="1" t="n">
        <x:v>0</x:v>
      </x:c>
      <x:c r="T393" s="1" t="str">
        <x:v>합격</x:v>
      </x:c>
    </x:row>
    <x:row r="394" ht="22" customHeight="1">
      <x:c r="A394" s="1" t="str">
        <x:v>R00393</x:v>
      </x:c>
      <x:c r="B394" s="4" t="n">
        <x:v>46224.871666666666</x:v>
      </x:c>
      <x:c r="C394" s="1" t="str">
        <x:v>야간</x:v>
      </x:c>
      <x:c r="D394" s="1" t="str">
        <x:v>L2</x:v>
      </x:c>
      <x:c r="E394" s="1" t="str">
        <x:v>P2</x:v>
      </x:c>
      <x:c r="F394" s="1" t="str">
        <x:v>M01</x:v>
      </x:c>
      <x:c r="G394" s="1" t="str">
        <x:v>G03</x:v>
      </x:c>
      <x:c r="H394" s="5" t="n">
        <x:v>28.75</x:v>
      </x:c>
      <x:c r="I394" s="5" t="n">
        <x:v>5.72</x:v>
      </x:c>
      <x:c r="J394" s="5" t="n">
        <x:v>54.2</x:v>
      </x:c>
      <x:c r="K394" s="5" t="n">
        <x:v>40.5</x:v>
      </x:c>
      <x:c r="L394" s="5"/>
      <x:c r="M394" s="1" t="n">
        <x:v>1</x:v>
      </x:c>
      <x:c r="N394" s="6" t="n">
        <x:v>1</x:v>
      </x:c>
      <x:c r="O394" s="1" t="str">
        <x:v>합격</x:v>
      </x:c>
      <x:c r="P394" s="1"/>
      <x:c r="Q394" s="1" t="n">
        <x:v>44</x:v>
      </x:c>
      <x:c r="R394" s="1" t="str">
        <x:v>N</x:v>
      </x:c>
      <x:c r="S394" s="1" t="n">
        <x:v>0</x:v>
      </x:c>
      <x:c r="T394" s="1" t="str">
        <x:v>합격</x:v>
      </x:c>
    </x:row>
    <x:row r="395" ht="22" customHeight="1">
      <x:c r="A395" s="1" t="str">
        <x:v>R00394</x:v>
      </x:c>
      <x:c r="B395" s="4" t="n">
        <x:v>46225.60891203704</x:v>
      </x:c>
      <x:c r="C395" s="1" t="str">
        <x:v>주간</x:v>
      </x:c>
      <x:c r="D395" s="1" t="str">
        <x:v>L1</x:v>
      </x:c>
      <x:c r="E395" s="1" t="str">
        <x:v>P1</x:v>
      </x:c>
      <x:c r="F395" s="1" t="str">
        <x:v>M01</x:v>
      </x:c>
      <x:c r="G395" s="1" t="str">
        <x:v>G04</x:v>
      </x:c>
      <x:c r="H395" s="5" t="n">
        <x:v>31.03</x:v>
      </x:c>
      <x:c r="I395" s="5" t="n">
        <x:v>5.64</x:v>
      </x:c>
      <x:c r="J395" s="5" t="n">
        <x:v>56.5</x:v>
      </x:c>
      <x:c r="K395" s="5" t="n">
        <x:v>40.5</x:v>
      </x:c>
      <x:c r="L395" s="5" t="n">
        <x:v>1.51</x:v>
      </x:c>
      <x:c r="M395" s="1" t="n">
        <x:v>1</x:v>
      </x:c>
      <x:c r="N395" s="6" t="n">
        <x:v>0.902</x:v>
      </x:c>
      <x:c r="O395" s="1" t="str">
        <x:v>합격</x:v>
      </x:c>
      <x:c r="P395" s="1"/>
      <x:c r="Q395" s="1" t="n">
        <x:v>38</x:v>
      </x:c>
      <x:c r="R395" s="1" t="str">
        <x:v>N</x:v>
      </x:c>
      <x:c r="S395" s="1" t="n">
        <x:v>0</x:v>
      </x:c>
      <x:c r="T395" s="1" t="str">
        <x:v>합격</x:v>
      </x:c>
    </x:row>
    <x:row r="396" ht="22" customHeight="1">
      <x:c r="A396" s="1" t="str">
        <x:v>R00395</x:v>
      </x:c>
      <x:c r="B396" s="4" t="n">
        <x:v>46226.44050925926</x:v>
      </x:c>
      <x:c r="C396" s="1" t="str">
        <x:v>주간</x:v>
      </x:c>
      <x:c r="D396" s="1" t="str">
        <x:v>L2</x:v>
      </x:c>
      <x:c r="E396" s="1" t="str">
        <x:v>P2</x:v>
      </x:c>
      <x:c r="F396" s="1" t="str">
        <x:v>M02</x:v>
      </x:c>
      <x:c r="G396" s="1" t="str">
        <x:v>G05</x:v>
      </x:c>
      <x:c r="H396" s="5" t="n">
        <x:v>29.18</x:v>
      </x:c>
      <x:c r="I396" s="5" t="n">
        <x:v>5.87</x:v>
      </x:c>
      <x:c r="J396" s="5" t="n">
        <x:v>55.4</x:v>
      </x:c>
      <x:c r="K396" s="5" t="n">
        <x:v>38</x:v>
      </x:c>
      <x:c r="L396" s="5" t="n">
        <x:v>2.49</x:v>
      </x:c>
      <x:c r="M396" s="1" t="n">
        <x:v>1</x:v>
      </x:c>
      <x:c r="N396" s="6" t="n">
        <x:v>0.976</x:v>
      </x:c>
      <x:c r="O396" s="1" t="str">
        <x:v>합격</x:v>
      </x:c>
      <x:c r="P396" s="1"/>
      <x:c r="Q396" s="1" t="n">
        <x:v>38</x:v>
      </x:c>
      <x:c r="R396" s="1" t="str">
        <x:v>N</x:v>
      </x:c>
      <x:c r="S396" s="1" t="n">
        <x:v>0</x:v>
      </x:c>
      <x:c r="T396" s="1" t="str">
        <x:v>합격</x:v>
      </x:c>
    </x:row>
    <x:row r="397" ht="22" customHeight="1">
      <x:c r="A397" s="1" t="str">
        <x:v>R00396</x:v>
      </x:c>
      <x:c r="B397" s="4" t="n">
        <x:v>46227.09918981481</x:v>
      </x:c>
      <x:c r="C397" s="1" t="str">
        <x:v>야간</x:v>
      </x:c>
      <x:c r="D397" s="1" t="str">
        <x:v>L1</x:v>
      </x:c>
      <x:c r="E397" s="1" t="str">
        <x:v>P1</x:v>
      </x:c>
      <x:c r="F397" s="1" t="str">
        <x:v>M04</x:v>
      </x:c>
      <x:c r="G397" s="1" t="str">
        <x:v>G06</x:v>
      </x:c>
      <x:c r="H397" s="5" t="n">
        <x:v>28.03</x:v>
      </x:c>
      <x:c r="I397" s="5" t="n">
        <x:v>5.78</x:v>
      </x:c>
      <x:c r="J397" s="5" t="n">
        <x:v>48.5</x:v>
      </x:c>
      <x:c r="K397" s="5" t="n">
        <x:v>37.9</x:v>
      </x:c>
      <x:c r="L397" s="5" t="n">
        <x:v>2.36</x:v>
      </x:c>
      <x:c r="M397" s="1" t="n">
        <x:v>1</x:v>
      </x:c>
      <x:c r="N397" s="6" t="n">
        <x:v>0.942</x:v>
      </x:c>
      <x:c r="O397" s="1" t="str">
        <x:v>합격</x:v>
      </x:c>
      <x:c r="P397" s="1"/>
      <x:c r="Q397" s="1" t="n">
        <x:v>46</x:v>
      </x:c>
      <x:c r="R397" s="1" t="str">
        <x:v>N</x:v>
      </x:c>
      <x:c r="S397" s="1" t="n">
        <x:v>0</x:v>
      </x:c>
      <x:c r="T397" s="1" t="str">
        <x:v>합격</x:v>
      </x:c>
    </x:row>
    <x:row r="398" ht="22" customHeight="1">
      <x:c r="A398" s="1" t="str">
        <x:v>R00397</x:v>
      </x:c>
      <x:c r="B398" s="4" t="n">
        <x:v>46228.84616898148</x:v>
      </x:c>
      <x:c r="C398" s="1" t="str">
        <x:v>야간</x:v>
      </x:c>
      <x:c r="D398" s="1" t="str">
        <x:v>L1</x:v>
      </x:c>
      <x:c r="E398" s="1" t="str">
        <x:v>P1</x:v>
      </x:c>
      <x:c r="F398" s="1" t="str">
        <x:v>M04</x:v>
      </x:c>
      <x:c r="G398" s="1" t="str">
        <x:v>G01</x:v>
      </x:c>
      <x:c r="H398" s="5" t="n">
        <x:v>27.48</x:v>
      </x:c>
      <x:c r="I398" s="5" t="n">
        <x:v>5.61</x:v>
      </x:c>
      <x:c r="J398" s="5" t="n">
        <x:v>49.6</x:v>
      </x:c>
      <x:c r="K398" s="5" t="n">
        <x:v>39.2</x:v>
      </x:c>
      <x:c r="L398" s="5" t="n">
        <x:v>2.33</x:v>
      </x:c>
      <x:c r="M398" s="1" t="n">
        <x:v>0</x:v>
      </x:c>
      <x:c r="N398" s="6" t="n">
        <x:v>0.988</x:v>
      </x:c>
      <x:c r="O398" s="1" t="str">
        <x:v>합격</x:v>
      </x:c>
      <x:c r="P398" s="1"/>
      <x:c r="Q398" s="1" t="n">
        <x:v>36</x:v>
      </x:c>
      <x:c r="R398" s="1" t="str">
        <x:v>N</x:v>
      </x:c>
      <x:c r="S398" s="1" t="n">
        <x:v>0</x:v>
      </x:c>
      <x:c r="T398" s="1" t="str">
        <x:v>합격</x:v>
      </x:c>
    </x:row>
    <x:row r="399" ht="22" customHeight="1">
      <x:c r="A399" s="1" t="str">
        <x:v>R00398</x:v>
      </x:c>
      <x:c r="B399" s="4" t="n">
        <x:v>46229.13447916666</x:v>
      </x:c>
      <x:c r="C399" s="1" t="str">
        <x:v>야간</x:v>
      </x:c>
      <x:c r="D399" s="1" t="str">
        <x:v>L1</x:v>
      </x:c>
      <x:c r="E399" s="1" t="str">
        <x:v>P1</x:v>
      </x:c>
      <x:c r="F399" s="1" t="str">
        <x:v>M03</x:v>
      </x:c>
      <x:c r="G399" s="1" t="str">
        <x:v>G02</x:v>
      </x:c>
      <x:c r="H399" s="5" t="n">
        <x:v>29.92</x:v>
      </x:c>
      <x:c r="I399" s="5" t="n">
        <x:v>5.68</x:v>
      </x:c>
      <x:c r="J399" s="5" t="n">
        <x:v>58.9</x:v>
      </x:c>
      <x:c r="K399" s="5" t="n">
        <x:v>39.1</x:v>
      </x:c>
      <x:c r="L399" s="5" t="n">
        <x:v>2.59</x:v>
      </x:c>
      <x:c r="M399" s="1" t="n">
        <x:v>1</x:v>
      </x:c>
      <x:c r="N399" s="6" t="n">
        <x:v>0.886</x:v>
      </x:c>
      <x:c r="O399" s="1" t="str">
        <x:v>합격</x:v>
      </x:c>
      <x:c r="P399" s="1"/>
      <x:c r="Q399" s="1" t="n">
        <x:v>46</x:v>
      </x:c>
      <x:c r="R399" s="1" t="str">
        <x:v>N</x:v>
      </x:c>
      <x:c r="S399" s="1" t="n">
        <x:v>0</x:v>
      </x:c>
      <x:c r="T399" s="1" t="str">
        <x:v>합격</x:v>
      </x:c>
    </x:row>
    <x:row r="400" ht="22" customHeight="1">
      <x:c r="A400" s="1" t="str">
        <x:v>R00399</x:v>
      </x:c>
      <x:c r="B400" s="4" t="n">
        <x:v>46230.94712962963</x:v>
      </x:c>
      <x:c r="C400" s="1" t="str">
        <x:v>야간</x:v>
      </x:c>
      <x:c r="D400" s="1" t="str">
        <x:v>L2</x:v>
      </x:c>
      <x:c r="E400" s="1" t="str">
        <x:v>P2</x:v>
      </x:c>
      <x:c r="F400" s="1" t="str">
        <x:v>M02</x:v>
      </x:c>
      <x:c r="G400" s="1" t="str">
        <x:v>G03</x:v>
      </x:c>
      <x:c r="H400" s="5" t="n">
        <x:v>31.02</x:v>
      </x:c>
      <x:c r="I400" s="5" t="n">
        <x:v>6</x:v>
      </x:c>
      <x:c r="J400" s="5" t="n">
        <x:v>50</x:v>
      </x:c>
      <x:c r="K400" s="5" t="n">
        <x:v>41</x:v>
      </x:c>
      <x:c r="L400" s="5"/>
      <x:c r="M400" s="1" t="n">
        <x:v>1</x:v>
      </x:c>
      <x:c r="N400" s="6" t="n">
        <x:v>0.852</x:v>
      </x:c>
      <x:c r="O400" s="1" t="str">
        <x:v>합격</x:v>
      </x:c>
      <x:c r="P400" s="1"/>
      <x:c r="Q400" s="1" t="n">
        <x:v>48</x:v>
      </x:c>
      <x:c r="R400" s="1" t="str">
        <x:v>N</x:v>
      </x:c>
      <x:c r="S400" s="1" t="n">
        <x:v>0</x:v>
      </x:c>
      <x:c r="T400" s="1" t="str">
        <x:v>합격</x:v>
      </x:c>
    </x:row>
    <x:row r="401" ht="22" customHeight="1">
      <x:c r="A401" s="1" t="str">
        <x:v>R00400</x:v>
      </x:c>
      <x:c r="B401" s="4" t="n">
        <x:v>46231.90476851852</x:v>
      </x:c>
      <x:c r="C401" s="1" t="str">
        <x:v>야간</x:v>
      </x:c>
      <x:c r="D401" s="1" t="str">
        <x:v>L2</x:v>
      </x:c>
      <x:c r="E401" s="1" t="str">
        <x:v>P2</x:v>
      </x:c>
      <x:c r="F401" s="1" t="str">
        <x:v>M01</x:v>
      </x:c>
      <x:c r="G401" s="1" t="str">
        <x:v>G04</x:v>
      </x:c>
      <x:c r="H401" s="5" t="n">
        <x:v>29.19</x:v>
      </x:c>
      <x:c r="I401" s="5" t="n">
        <x:v>5.72</x:v>
      </x:c>
      <x:c r="J401" s="5" t="n">
        <x:v>58.3</x:v>
      </x:c>
      <x:c r="K401" s="5" t="n">
        <x:v>38.9</x:v>
      </x:c>
      <x:c r="L401" s="5" t="n">
        <x:v>2.6</x:v>
      </x:c>
      <x:c r="M401" s="1" t="n">
        <x:v>0</x:v>
      </x:c>
      <x:c r="N401" s="6" t="n">
        <x:v>0.875</x:v>
      </x:c>
      <x:c r="O401" s="1" t="str">
        <x:v>불합격</x:v>
      </x:c>
      <x:c r="P401" s="1" t="str">
        <x:v>치수불량</x:v>
      </x:c>
      <x:c r="Q401" s="1" t="n">
        <x:v>49</x:v>
      </x:c>
      <x:c r="R401" s="1" t="str">
        <x:v>Y</x:v>
      </x:c>
      <x:c r="S401" s="1" t="n">
        <x:v>9</x:v>
      </x:c>
      <x:c r="T401" s="1" t="str">
        <x:v>재작업후합격</x:v>
      </x:c>
    </x:row>
    <x:row r="402" ht="22" customHeight="1">
      <x:c r="A402" s="1" t="str">
        <x:v>R00401</x:v>
      </x:c>
      <x:c r="B402" s="4" t="n">
        <x:v>46232.46549768518</x:v>
      </x:c>
      <x:c r="C402" s="1" t="str">
        <x:v>주간</x:v>
      </x:c>
      <x:c r="D402" s="1" t="str">
        <x:v>L1</x:v>
      </x:c>
      <x:c r="E402" s="1" t="str">
        <x:v>P1</x:v>
      </x:c>
      <x:c r="F402" s="1" t="str">
        <x:v>M01</x:v>
      </x:c>
      <x:c r="G402" s="1" t="str">
        <x:v>G05</x:v>
      </x:c>
      <x:c r="H402" s="5" t="n">
        <x:v>29.34</x:v>
      </x:c>
      <x:c r="I402" s="5" t="n">
        <x:v>5.78</x:v>
      </x:c>
      <x:c r="J402" s="5" t="n">
        <x:v>48.5</x:v>
      </x:c>
      <x:c r="K402" s="5" t="n">
        <x:v>40.1</x:v>
      </x:c>
      <x:c r="L402" s="5" t="n">
        <x:v>1.36</x:v>
      </x:c>
      <x:c r="M402" s="1" t="n">
        <x:v>0</x:v>
      </x:c>
      <x:c r="N402" s="6" t="n">
        <x:v>0.859</x:v>
      </x:c>
      <x:c r="O402" s="1" t="str">
        <x:v>합격</x:v>
      </x:c>
      <x:c r="P402" s="1"/>
      <x:c r="Q402" s="1" t="n">
        <x:v>42</x:v>
      </x:c>
      <x:c r="R402" s="1" t="str">
        <x:v>N</x:v>
      </x:c>
      <x:c r="S402" s="1" t="n">
        <x:v>0</x:v>
      </x:c>
      <x:c r="T402" s="1" t="str">
        <x:v>합격</x:v>
      </x:c>
    </x:row>
    <x:row r="403" ht="22" customHeight="1">
      <x:c r="A403" s="1" t="str">
        <x:v>R00402</x:v>
      </x:c>
      <x:c r="B403" s="4" t="n">
        <x:v>46233.57743055555</x:v>
      </x:c>
      <x:c r="C403" s="1" t="str">
        <x:v>주간</x:v>
      </x:c>
      <x:c r="D403" s="1" t="str">
        <x:v>L1</x:v>
      </x:c>
      <x:c r="E403" s="1" t="str">
        <x:v>P1</x:v>
      </x:c>
      <x:c r="F403" s="1" t="str">
        <x:v>M03</x:v>
      </x:c>
      <x:c r="G403" s="1" t="str">
        <x:v>G06</x:v>
      </x:c>
      <x:c r="H403" s="5" t="n">
        <x:v>32.42</x:v>
      </x:c>
      <x:c r="I403" s="5" t="n">
        <x:v>5.8</x:v>
      </x:c>
      <x:c r="J403" s="5" t="n">
        <x:v>56.7</x:v>
      </x:c>
      <x:c r="K403" s="5" t="n">
        <x:v>35.3</x:v>
      </x:c>
      <x:c r="L403" s="5" t="n">
        <x:v>2.16</x:v>
      </x:c>
      <x:c r="M403" s="1" t="n">
        <x:v>0</x:v>
      </x:c>
      <x:c r="N403" s="6" t="n">
        <x:v>0.923</x:v>
      </x:c>
      <x:c r="O403" s="1" t="str">
        <x:v>합격</x:v>
      </x:c>
      <x:c r="P403" s="1"/>
      <x:c r="Q403" s="1" t="n">
        <x:v>45</x:v>
      </x:c>
      <x:c r="R403" s="1" t="str">
        <x:v>N</x:v>
      </x:c>
      <x:c r="S403" s="1" t="n">
        <x:v>0</x:v>
      </x:c>
      <x:c r="T403" s="1" t="str">
        <x:v>합격</x:v>
      </x:c>
    </x:row>
    <x:row r="404" ht="22" customHeight="1">
      <x:c r="A404" s="1" t="str">
        <x:v>R00403</x:v>
      </x:c>
      <x:c r="B404" s="4" t="n">
        <x:v>46234.427407407406</x:v>
      </x:c>
      <x:c r="C404" s="1" t="str">
        <x:v>주간</x:v>
      </x:c>
      <x:c r="D404" s="1" t="str">
        <x:v>L2</x:v>
      </x:c>
      <x:c r="E404" s="1" t="str">
        <x:v>P2</x:v>
      </x:c>
      <x:c r="F404" s="1" t="str">
        <x:v>M03</x:v>
      </x:c>
      <x:c r="G404" s="1" t="str">
        <x:v>G01</x:v>
      </x:c>
      <x:c r="H404" s="5" t="n">
        <x:v>33.82</x:v>
      </x:c>
      <x:c r="I404" s="5" t="n">
        <x:v>5.76</x:v>
      </x:c>
      <x:c r="J404" s="5" t="n">
        <x:v>48.6</x:v>
      </x:c>
      <x:c r="K404" s="5" t="n">
        <x:v>40.6</x:v>
      </x:c>
      <x:c r="L404" s="5"/>
      <x:c r="M404" s="1" t="n">
        <x:v>1</x:v>
      </x:c>
      <x:c r="N404" s="6" t="n">
        <x:v>0.855</x:v>
      </x:c>
      <x:c r="O404" s="1" t="str">
        <x:v>불합격</x:v>
      </x:c>
      <x:c r="P404" s="1" t="str">
        <x:v>체결불량</x:v>
      </x:c>
      <x:c r="Q404" s="1" t="n">
        <x:v>45</x:v>
      </x:c>
      <x:c r="R404" s="1" t="str">
        <x:v>Y</x:v>
      </x:c>
      <x:c r="S404" s="1" t="n">
        <x:v>9</x:v>
      </x:c>
      <x:c r="T404" s="1" t="str">
        <x:v>재작업후합격</x:v>
      </x:c>
    </x:row>
    <x:row r="405" ht="22" customHeight="1">
      <x:c r="A405" s="1" t="str">
        <x:v>R00404</x:v>
      </x:c>
      <x:c r="B405" s="4" t="n">
        <x:v>46204.858125</x:v>
      </x:c>
      <x:c r="C405" s="1" t="str">
        <x:v>야간</x:v>
      </x:c>
      <x:c r="D405" s="1" t="str">
        <x:v>L1</x:v>
      </x:c>
      <x:c r="E405" s="1" t="str">
        <x:v>P1</x:v>
      </x:c>
      <x:c r="F405" s="1" t="str">
        <x:v>M03</x:v>
      </x:c>
      <x:c r="G405" s="1" t="str">
        <x:v>G02</x:v>
      </x:c>
      <x:c r="H405" s="5" t="n">
        <x:v>27.63</x:v>
      </x:c>
      <x:c r="I405" s="5" t="n">
        <x:v>5.68</x:v>
      </x:c>
      <x:c r="J405" s="5" t="n">
        <x:v>49.6</x:v>
      </x:c>
      <x:c r="K405" s="5" t="n">
        <x:v>38.4</x:v>
      </x:c>
      <x:c r="L405" s="5" t="n">
        <x:v>1.36</x:v>
      </x:c>
      <x:c r="M405" s="1" t="n">
        <x:v>1</x:v>
      </x:c>
      <x:c r="N405" s="6" t="n">
        <x:v>1.03</x:v>
      </x:c>
      <x:c r="O405" s="1" t="str">
        <x:v>합격</x:v>
      </x:c>
      <x:c r="P405" s="1"/>
      <x:c r="Q405" s="1" t="n">
        <x:v>36</x:v>
      </x:c>
      <x:c r="R405" s="1" t="str">
        <x:v>N</x:v>
      </x:c>
      <x:c r="S405" s="1" t="n">
        <x:v>0</x:v>
      </x:c>
      <x:c r="T405" s="1" t="str">
        <x:v>합격</x:v>
      </x:c>
    </x:row>
    <x:row r="406" ht="22" customHeight="1">
      <x:c r="A406" s="1" t="str">
        <x:v>R00405</x:v>
      </x:c>
      <x:c r="B406" s="4" t="n">
        <x:v>46205.50188657407</x:v>
      </x:c>
      <x:c r="C406" s="1" t="str">
        <x:v>주간</x:v>
      </x:c>
      <x:c r="D406" s="1" t="str">
        <x:v>L2</x:v>
      </x:c>
      <x:c r="E406" s="1" t="str">
        <x:v>P2</x:v>
      </x:c>
      <x:c r="F406" s="1" t="str">
        <x:v>M04</x:v>
      </x:c>
      <x:c r="G406" s="1" t="str">
        <x:v>G03</x:v>
      </x:c>
      <x:c r="H406" s="5" t="n">
        <x:v>27.52</x:v>
      </x:c>
      <x:c r="I406" s="5" t="n">
        <x:v>5.88</x:v>
      </x:c>
      <x:c r="J406" s="5" t="n">
        <x:v>50.2</x:v>
      </x:c>
      <x:c r="K406" s="5" t="n">
        <x:v>40.1</x:v>
      </x:c>
      <x:c r="L406" s="5" t="n">
        <x:v>2.12</x:v>
      </x:c>
      <x:c r="M406" s="1" t="n">
        <x:v>1</x:v>
      </x:c>
      <x:c r="N406" s="6" t="n">
        <x:v>1.019</x:v>
      </x:c>
      <x:c r="O406" s="1" t="str">
        <x:v>합격</x:v>
      </x:c>
      <x:c r="P406" s="1"/>
      <x:c r="Q406" s="1" t="n">
        <x:v>47</x:v>
      </x:c>
      <x:c r="R406" s="1" t="str">
        <x:v>N</x:v>
      </x:c>
      <x:c r="S406" s="1" t="n">
        <x:v>0</x:v>
      </x:c>
      <x:c r="T406" s="1" t="str">
        <x:v>합격</x:v>
      </x:c>
    </x:row>
    <x:row r="407" ht="22" customHeight="1">
      <x:c r="A407" s="1" t="str">
        <x:v>R00406</x:v>
      </x:c>
      <x:c r="B407" s="4" t="n">
        <x:v>46206.41577546296</x:v>
      </x:c>
      <x:c r="C407" s="1" t="str">
        <x:v>주간</x:v>
      </x:c>
      <x:c r="D407" s="1" t="str">
        <x:v>L2</x:v>
      </x:c>
      <x:c r="E407" s="1" t="str">
        <x:v>P2</x:v>
      </x:c>
      <x:c r="F407" s="1" t="str">
        <x:v>M02</x:v>
      </x:c>
      <x:c r="G407" s="1" t="str">
        <x:v>G04</x:v>
      </x:c>
      <x:c r="H407" s="5" t="n">
        <x:v>30.18</x:v>
      </x:c>
      <x:c r="I407" s="5" t="n">
        <x:v>5.82</x:v>
      </x:c>
      <x:c r="J407" s="5" t="n">
        <x:v>49.9</x:v>
      </x:c>
      <x:c r="K407" s="5" t="n">
        <x:v>38.2</x:v>
      </x:c>
      <x:c r="L407" s="5" t="n">
        <x:v>2.67</x:v>
      </x:c>
      <x:c r="M407" s="1" t="n">
        <x:v>0</x:v>
      </x:c>
      <x:c r="N407" s="6" t="n">
        <x:v>1.003</x:v>
      </x:c>
      <x:c r="O407" s="1" t="str">
        <x:v>합격</x:v>
      </x:c>
      <x:c r="P407" s="1"/>
      <x:c r="Q407" s="1" t="n">
        <x:v>38</x:v>
      </x:c>
      <x:c r="R407" s="1" t="str">
        <x:v>N</x:v>
      </x:c>
      <x:c r="S407" s="1" t="n">
        <x:v>0</x:v>
      </x:c>
      <x:c r="T407" s="1" t="str">
        <x:v>합격</x:v>
      </x:c>
    </x:row>
    <x:row r="408" ht="22" customHeight="1">
      <x:c r="A408" s="1" t="str">
        <x:v>R00407</x:v>
      </x:c>
      <x:c r="B408" s="4" t="n">
        <x:v>46207.14525462963</x:v>
      </x:c>
      <x:c r="C408" s="1" t="str">
        <x:v>야간</x:v>
      </x:c>
      <x:c r="D408" s="1" t="str">
        <x:v>L1</x:v>
      </x:c>
      <x:c r="E408" s="1" t="str">
        <x:v>P1</x:v>
      </x:c>
      <x:c r="F408" s="1" t="str">
        <x:v>M04</x:v>
      </x:c>
      <x:c r="G408" s="1" t="str">
        <x:v>G05</x:v>
      </x:c>
      <x:c r="H408" s="5" t="n">
        <x:v>32.02</x:v>
      </x:c>
      <x:c r="I408" s="5" t="n">
        <x:v>5.77</x:v>
      </x:c>
      <x:c r="J408" s="5" t="n">
        <x:v>49.4</x:v>
      </x:c>
      <x:c r="K408" s="5" t="n">
        <x:v>40.2</x:v>
      </x:c>
      <x:c r="L408" s="5" t="n">
        <x:v>2.34</x:v>
      </x:c>
      <x:c r="M408" s="1" t="n">
        <x:v>1</x:v>
      </x:c>
      <x:c r="N408" s="6" t="n">
        <x:v>0.985</x:v>
      </x:c>
      <x:c r="O408" s="1" t="str">
        <x:v>합격</x:v>
      </x:c>
      <x:c r="P408" s="1"/>
      <x:c r="Q408" s="1" t="n">
        <x:v>45</x:v>
      </x:c>
      <x:c r="R408" s="1" t="str">
        <x:v>N</x:v>
      </x:c>
      <x:c r="S408" s="1" t="n">
        <x:v>0</x:v>
      </x:c>
      <x:c r="T408" s="1" t="str">
        <x:v>합격</x:v>
      </x:c>
    </x:row>
    <x:row r="409" ht="22" customHeight="1">
      <x:c r="A409" s="1" t="str">
        <x:v>R00408</x:v>
      </x:c>
      <x:c r="B409" s="4" t="n">
        <x:v>46208.444652777776</x:v>
      </x:c>
      <x:c r="C409" s="1" t="str">
        <x:v>주간</x:v>
      </x:c>
      <x:c r="D409" s="1" t="str">
        <x:v>L1</x:v>
      </x:c>
      <x:c r="E409" s="1" t="str">
        <x:v>P1</x:v>
      </x:c>
      <x:c r="F409" s="1" t="str">
        <x:v>M01</x:v>
      </x:c>
      <x:c r="G409" s="1" t="str">
        <x:v>G06</x:v>
      </x:c>
      <x:c r="H409" s="5" t="n">
        <x:v>27.42</x:v>
      </x:c>
      <x:c r="I409" s="5" t="n">
        <x:v>5.81</x:v>
      </x:c>
      <x:c r="J409" s="5" t="n">
        <x:v>54.3</x:v>
      </x:c>
      <x:c r="K409" s="5" t="n">
        <x:v>35.8</x:v>
      </x:c>
      <x:c r="L409" s="5" t="n">
        <x:v>1.76</x:v>
      </x:c>
      <x:c r="M409" s="1" t="n">
        <x:v>0</x:v>
      </x:c>
      <x:c r="N409" s="6" t="n">
        <x:v>0.916</x:v>
      </x:c>
      <x:c r="O409" s="1" t="str">
        <x:v>합격</x:v>
      </x:c>
      <x:c r="P409" s="1"/>
      <x:c r="Q409" s="1" t="n">
        <x:v>48</x:v>
      </x:c>
      <x:c r="R409" s="1" t="str">
        <x:v>N</x:v>
      </x:c>
      <x:c r="S409" s="1" t="n">
        <x:v>0</x:v>
      </x:c>
      <x:c r="T409" s="1" t="str">
        <x:v>합격</x:v>
      </x:c>
    </x:row>
    <x:row r="410" ht="22" customHeight="1">
      <x:c r="A410" s="1" t="str">
        <x:v>R00409</x:v>
      </x:c>
      <x:c r="B410" s="4" t="n">
        <x:v>46209.52935185185</x:v>
      </x:c>
      <x:c r="C410" s="1" t="str">
        <x:v>주간</x:v>
      </x:c>
      <x:c r="D410" s="1" t="str">
        <x:v>L1</x:v>
      </x:c>
      <x:c r="E410" s="1" t="str">
        <x:v>P1</x:v>
      </x:c>
      <x:c r="F410" s="1" t="str">
        <x:v>M03</x:v>
      </x:c>
      <x:c r="G410" s="1" t="str">
        <x:v>G01</x:v>
      </x:c>
      <x:c r="H410" s="5" t="n">
        <x:v>31.7</x:v>
      </x:c>
      <x:c r="I410" s="5" t="n">
        <x:v>5.79</x:v>
      </x:c>
      <x:c r="J410" s="5" t="n">
        <x:v>51.4</x:v>
      </x:c>
      <x:c r="K410" s="5" t="n">
        <x:v>35.5</x:v>
      </x:c>
      <x:c r="L410" s="5" t="n">
        <x:v>1.87</x:v>
      </x:c>
      <x:c r="M410" s="1" t="n">
        <x:v>0</x:v>
      </x:c>
      <x:c r="N410" s="6" t="n">
        <x:v>0.966</x:v>
      </x:c>
      <x:c r="O410" s="1" t="str">
        <x:v>합격</x:v>
      </x:c>
      <x:c r="P410" s="1"/>
      <x:c r="Q410" s="1" t="n">
        <x:v>47</x:v>
      </x:c>
      <x:c r="R410" s="1" t="str">
        <x:v>N</x:v>
      </x:c>
      <x:c r="S410" s="1" t="n">
        <x:v>0</x:v>
      </x:c>
      <x:c r="T410" s="1" t="str">
        <x:v>합격</x:v>
      </x:c>
    </x:row>
    <x:row r="411" ht="22" customHeight="1">
      <x:c r="A411" s="1" t="str">
        <x:v>R00410</x:v>
      </x:c>
      <x:c r="B411" s="4" t="n">
        <x:v>46210.1078587963</x:v>
      </x:c>
      <x:c r="C411" s="1" t="str">
        <x:v>야간</x:v>
      </x:c>
      <x:c r="D411" s="1" t="str">
        <x:v>L1</x:v>
      </x:c>
      <x:c r="E411" s="1" t="str">
        <x:v>P1</x:v>
      </x:c>
      <x:c r="F411" s="1" t="str">
        <x:v>M03</x:v>
      </x:c>
      <x:c r="G411" s="1" t="str">
        <x:v>G02</x:v>
      </x:c>
      <x:c r="H411" s="5" t="n">
        <x:v>31.34</x:v>
      </x:c>
      <x:c r="I411" s="5" t="n">
        <x:v>5.8</x:v>
      </x:c>
      <x:c r="J411" s="5" t="n">
        <x:v>54.7</x:v>
      </x:c>
      <x:c r="K411" s="5" t="n">
        <x:v>41</x:v>
      </x:c>
      <x:c r="L411" s="5" t="n">
        <x:v>2.03</x:v>
      </x:c>
      <x:c r="M411" s="1" t="n">
        <x:v>1</x:v>
      </x:c>
      <x:c r="N411" s="6" t="n">
        <x:v>0.98</x:v>
      </x:c>
      <x:c r="O411" s="1" t="str">
        <x:v>합격</x:v>
      </x:c>
      <x:c r="P411" s="1"/>
      <x:c r="Q411" s="1" t="n">
        <x:v>43</x:v>
      </x:c>
      <x:c r="R411" s="1" t="str">
        <x:v>N</x:v>
      </x:c>
      <x:c r="S411" s="1" t="n">
        <x:v>0</x:v>
      </x:c>
      <x:c r="T411" s="1" t="str">
        <x:v>합격</x:v>
      </x:c>
    </x:row>
    <x:row r="412" ht="22" customHeight="1">
      <x:c r="A412" s="1" t="str">
        <x:v>R00411</x:v>
      </x:c>
      <x:c r="B412" s="4" t="n">
        <x:v>46211.128067129626</x:v>
      </x:c>
      <x:c r="C412" s="1" t="str">
        <x:v>야간</x:v>
      </x:c>
      <x:c r="D412" s="1" t="str">
        <x:v>L1</x:v>
      </x:c>
      <x:c r="E412" s="1" t="str">
        <x:v>P1</x:v>
      </x:c>
      <x:c r="F412" s="1" t="str">
        <x:v>M03</x:v>
      </x:c>
      <x:c r="G412" s="1" t="str">
        <x:v>G03</x:v>
      </x:c>
      <x:c r="H412" s="5" t="n">
        <x:v>33.67</x:v>
      </x:c>
      <x:c r="I412" s="5" t="n">
        <x:v>5.71</x:v>
      </x:c>
      <x:c r="J412" s="5" t="n">
        <x:v>51.1</x:v>
      </x:c>
      <x:c r="K412" s="5" t="n">
        <x:v>41.5</x:v>
      </x:c>
      <x:c r="L412" s="5" t="n">
        <x:v>2.47</x:v>
      </x:c>
      <x:c r="M412" s="1" t="n">
        <x:v>1</x:v>
      </x:c>
      <x:c r="N412" s="6" t="n">
        <x:v>0.954</x:v>
      </x:c>
      <x:c r="O412" s="1" t="str">
        <x:v>합격</x:v>
      </x:c>
      <x:c r="P412" s="1"/>
      <x:c r="Q412" s="1" t="n">
        <x:v>41</x:v>
      </x:c>
      <x:c r="R412" s="1" t="str">
        <x:v>N</x:v>
      </x:c>
      <x:c r="S412" s="1" t="n">
        <x:v>0</x:v>
      </x:c>
      <x:c r="T412" s="1" t="str">
        <x:v>합격</x:v>
      </x:c>
    </x:row>
    <x:row r="413" ht="22" customHeight="1">
      <x:c r="A413" s="1" t="str">
        <x:v>R00412</x:v>
      </x:c>
      <x:c r="B413" s="4" t="n">
        <x:v>46212.97023148148</x:v>
      </x:c>
      <x:c r="C413" s="1" t="str">
        <x:v>야간</x:v>
      </x:c>
      <x:c r="D413" s="1" t="str">
        <x:v>L1</x:v>
      </x:c>
      <x:c r="E413" s="1" t="str">
        <x:v>P1</x:v>
      </x:c>
      <x:c r="F413" s="1" t="str">
        <x:v>M03</x:v>
      </x:c>
      <x:c r="G413" s="1" t="str">
        <x:v>G04</x:v>
      </x:c>
      <x:c r="H413" s="5" t="n">
        <x:v>26.19</x:v>
      </x:c>
      <x:c r="I413" s="5" t="n">
        <x:v>6</x:v>
      </x:c>
      <x:c r="J413" s="5" t="n">
        <x:v>56.8</x:v>
      </x:c>
      <x:c r="K413" s="5" t="n">
        <x:v>35.5</x:v>
      </x:c>
      <x:c r="L413" s="5" t="n">
        <x:v>2.11</x:v>
      </x:c>
      <x:c r="M413" s="1" t="n">
        <x:v>1</x:v>
      </x:c>
      <x:c r="N413" s="6" t="n">
        <x:v>0.876</x:v>
      </x:c>
      <x:c r="O413" s="1" t="str">
        <x:v>합격</x:v>
      </x:c>
      <x:c r="P413" s="1"/>
      <x:c r="Q413" s="1" t="n">
        <x:v>44</x:v>
      </x:c>
      <x:c r="R413" s="1" t="str">
        <x:v>N</x:v>
      </x:c>
      <x:c r="S413" s="1" t="n">
        <x:v>0</x:v>
      </x:c>
      <x:c r="T413" s="1" t="str">
        <x:v>합격</x:v>
      </x:c>
    </x:row>
    <x:row r="414" ht="22" customHeight="1">
      <x:c r="A414" s="1" t="str">
        <x:v>R00413</x:v>
      </x:c>
      <x:c r="B414" s="4" t="n">
        <x:v>46213.02028935185</x:v>
      </x:c>
      <x:c r="C414" s="1" t="str">
        <x:v>야간</x:v>
      </x:c>
      <x:c r="D414" s="1" t="str">
        <x:v>L2</x:v>
      </x:c>
      <x:c r="E414" s="1" t="str">
        <x:v>P2</x:v>
      </x:c>
      <x:c r="F414" s="1" t="str">
        <x:v>M01</x:v>
      </x:c>
      <x:c r="G414" s="1" t="str">
        <x:v>G05</x:v>
      </x:c>
      <x:c r="H414" s="5" t="n">
        <x:v>31.96</x:v>
      </x:c>
      <x:c r="I414" s="5" t="n">
        <x:v>5.68</x:v>
      </x:c>
      <x:c r="J414" s="5" t="n">
        <x:v>51.9</x:v>
      </x:c>
      <x:c r="K414" s="5" t="n">
        <x:v>40.9</x:v>
      </x:c>
      <x:c r="L414" s="5" t="n">
        <x:v>1.59</x:v>
      </x:c>
      <x:c r="M414" s="1" t="n">
        <x:v>0</x:v>
      </x:c>
      <x:c r="N414" s="6" t="n">
        <x:v>1.01</x:v>
      </x:c>
      <x:c r="O414" s="1" t="str">
        <x:v>합격</x:v>
      </x:c>
      <x:c r="P414" s="1"/>
      <x:c r="Q414" s="1" t="n">
        <x:v>44</x:v>
      </x:c>
      <x:c r="R414" s="1" t="str">
        <x:v>N</x:v>
      </x:c>
      <x:c r="S414" s="1" t="n">
        <x:v>0</x:v>
      </x:c>
      <x:c r="T414" s="1" t="str">
        <x:v>합격</x:v>
      </x:c>
    </x:row>
    <x:row r="415" ht="22" customHeight="1">
      <x:c r="A415" s="1" t="str">
        <x:v>R00414</x:v>
      </x:c>
      <x:c r="B415" s="4" t="n">
        <x:v>46214.479155092595</x:v>
      </x:c>
      <x:c r="C415" s="1" t="str">
        <x:v>주간</x:v>
      </x:c>
      <x:c r="D415" s="1" t="str">
        <x:v>L1</x:v>
      </x:c>
      <x:c r="E415" s="1" t="str">
        <x:v>P1</x:v>
      </x:c>
      <x:c r="F415" s="1" t="str">
        <x:v>M01</x:v>
      </x:c>
      <x:c r="G415" s="1" t="str">
        <x:v>G06</x:v>
      </x:c>
      <x:c r="H415" s="5" t="n">
        <x:v>31.36</x:v>
      </x:c>
      <x:c r="I415" s="5" t="n">
        <x:v>5.7</x:v>
      </x:c>
      <x:c r="J415" s="5" t="n">
        <x:v>54.5</x:v>
      </x:c>
      <x:c r="K415" s="5" t="n">
        <x:v>35.7</x:v>
      </x:c>
      <x:c r="L415" s="5" t="n">
        <x:v>1.93</x:v>
      </x:c>
      <x:c r="M415" s="1" t="n">
        <x:v>0</x:v>
      </x:c>
      <x:c r="N415" s="6" t="n">
        <x:v>1.04</x:v>
      </x:c>
      <x:c r="O415" s="1" t="str">
        <x:v>합격</x:v>
      </x:c>
      <x:c r="P415" s="1"/>
      <x:c r="Q415" s="1" t="n">
        <x:v>44</x:v>
      </x:c>
      <x:c r="R415" s="1" t="str">
        <x:v>N</x:v>
      </x:c>
      <x:c r="S415" s="1" t="n">
        <x:v>0</x:v>
      </x:c>
      <x:c r="T415" s="1" t="str">
        <x:v>합격</x:v>
      </x:c>
    </x:row>
    <x:row r="416" ht="22" customHeight="1">
      <x:c r="A416" s="1" t="str">
        <x:v>R00415</x:v>
      </x:c>
      <x:c r="B416" s="4" t="n">
        <x:v>46215.34850694444</x:v>
      </x:c>
      <x:c r="C416" s="1" t="str">
        <x:v>주간</x:v>
      </x:c>
      <x:c r="D416" s="1" t="str">
        <x:v>L1</x:v>
      </x:c>
      <x:c r="E416" s="1" t="str">
        <x:v>P1</x:v>
      </x:c>
      <x:c r="F416" s="1" t="str">
        <x:v>M01</x:v>
      </x:c>
      <x:c r="G416" s="1" t="str">
        <x:v>G01</x:v>
      </x:c>
      <x:c r="H416" s="5" t="n">
        <x:v>30.92</x:v>
      </x:c>
      <x:c r="I416" s="5" t="n">
        <x:v>5.8</x:v>
      </x:c>
      <x:c r="J416" s="5" t="n">
        <x:v>48.5</x:v>
      </x:c>
      <x:c r="K416" s="5" t="n">
        <x:v>37.2</x:v>
      </x:c>
      <x:c r="L416" s="5" t="n">
        <x:v>2.1</x:v>
      </x:c>
      <x:c r="M416" s="1" t="n">
        <x:v>0</x:v>
      </x:c>
      <x:c r="N416" s="6" t="n">
        <x:v>1.008</x:v>
      </x:c>
      <x:c r="O416" s="1" t="str">
        <x:v>합격</x:v>
      </x:c>
      <x:c r="P416" s="1"/>
      <x:c r="Q416" s="1" t="n">
        <x:v>47</x:v>
      </x:c>
      <x:c r="R416" s="1" t="str">
        <x:v>N</x:v>
      </x:c>
      <x:c r="S416" s="1" t="n">
        <x:v>0</x:v>
      </x:c>
      <x:c r="T416" s="1" t="str">
        <x:v>합격</x:v>
      </x:c>
    </x:row>
    <x:row r="417" ht="22" customHeight="1">
      <x:c r="A417" s="1" t="str">
        <x:v>R00416</x:v>
      </x:c>
      <x:c r="B417" s="4" t="n">
        <x:v>46216.586701388886</x:v>
      </x:c>
      <x:c r="C417" s="1" t="str">
        <x:v>주간</x:v>
      </x:c>
      <x:c r="D417" s="1" t="str">
        <x:v>L1</x:v>
      </x:c>
      <x:c r="E417" s="1" t="str">
        <x:v>P1</x:v>
      </x:c>
      <x:c r="F417" s="1" t="str">
        <x:v>M01</x:v>
      </x:c>
      <x:c r="G417" s="1" t="str">
        <x:v>G02</x:v>
      </x:c>
      <x:c r="H417" s="5" t="n">
        <x:v>28.31</x:v>
      </x:c>
      <x:c r="I417" s="5" t="n">
        <x:v>5.99</x:v>
      </x:c>
      <x:c r="J417" s="5" t="n">
        <x:v>48.1</x:v>
      </x:c>
      <x:c r="K417" s="5" t="n">
        <x:v>38.1</x:v>
      </x:c>
      <x:c r="L417" s="5" t="n">
        <x:v>1.37</x:v>
      </x:c>
      <x:c r="M417" s="1" t="n">
        <x:v>0</x:v>
      </x:c>
      <x:c r="N417" s="6" t="n">
        <x:v>0.883</x:v>
      </x:c>
      <x:c r="O417" s="1" t="str">
        <x:v>합격</x:v>
      </x:c>
      <x:c r="P417" s="1"/>
      <x:c r="Q417" s="1" t="n">
        <x:v>39</x:v>
      </x:c>
      <x:c r="R417" s="1" t="str">
        <x:v>N</x:v>
      </x:c>
      <x:c r="S417" s="1" t="n">
        <x:v>0</x:v>
      </x:c>
      <x:c r="T417" s="1" t="str">
        <x:v>합격</x:v>
      </x:c>
    </x:row>
    <x:row r="418" ht="22" customHeight="1">
      <x:c r="A418" s="1" t="str">
        <x:v>R00417</x:v>
      </x:c>
      <x:c r="B418" s="4" t="n">
        <x:v>46217.15005787037</x:v>
      </x:c>
      <x:c r="C418" s="1" t="str">
        <x:v>야간</x:v>
      </x:c>
      <x:c r="D418" s="1" t="str">
        <x:v>L2</x:v>
      </x:c>
      <x:c r="E418" s="1" t="str">
        <x:v>P2</x:v>
      </x:c>
      <x:c r="F418" s="1" t="str">
        <x:v>M02</x:v>
      </x:c>
      <x:c r="G418" s="1" t="str">
        <x:v>G03</x:v>
      </x:c>
      <x:c r="H418" s="5" t="n">
        <x:v>30.82</x:v>
      </x:c>
      <x:c r="I418" s="5" t="n">
        <x:v>5.7</x:v>
      </x:c>
      <x:c r="J418" s="5" t="n">
        <x:v>49.1</x:v>
      </x:c>
      <x:c r="K418" s="5" t="n">
        <x:v>40.8</x:v>
      </x:c>
      <x:c r="L418" s="5" t="n">
        <x:v>1.49</x:v>
      </x:c>
      <x:c r="M418" s="1" t="n">
        <x:v>0</x:v>
      </x:c>
      <x:c r="N418" s="6" t="n">
        <x:v>0.947</x:v>
      </x:c>
      <x:c r="O418" s="1" t="str">
        <x:v>합격</x:v>
      </x:c>
      <x:c r="P418" s="1"/>
      <x:c r="Q418" s="1" t="n">
        <x:v>37</x:v>
      </x:c>
      <x:c r="R418" s="1" t="str">
        <x:v>N</x:v>
      </x:c>
      <x:c r="S418" s="1" t="n">
        <x:v>0</x:v>
      </x:c>
      <x:c r="T418" s="1" t="str">
        <x:v>합격</x:v>
      </x:c>
    </x:row>
    <x:row r="419" ht="22" customHeight="1">
      <x:c r="A419" s="1" t="str">
        <x:v>R00418</x:v>
      </x:c>
      <x:c r="B419" s="4" t="n">
        <x:v>46218.862488425926</x:v>
      </x:c>
      <x:c r="C419" s="1" t="str">
        <x:v>야간</x:v>
      </x:c>
      <x:c r="D419" s="1" t="str">
        <x:v>L1</x:v>
      </x:c>
      <x:c r="E419" s="1" t="str">
        <x:v>P1</x:v>
      </x:c>
      <x:c r="F419" s="1" t="str">
        <x:v>M04</x:v>
      </x:c>
      <x:c r="G419" s="1" t="str">
        <x:v>G04</x:v>
      </x:c>
      <x:c r="H419" s="5" t="n">
        <x:v>31.77</x:v>
      </x:c>
      <x:c r="I419" s="5" t="n">
        <x:v>5.91</x:v>
      </x:c>
      <x:c r="J419" s="5" t="n">
        <x:v>56.8</x:v>
      </x:c>
      <x:c r="K419" s="5" t="n">
        <x:v>37</x:v>
      </x:c>
      <x:c r="L419" s="5" t="n">
        <x:v>2.14</x:v>
      </x:c>
      <x:c r="M419" s="1" t="n">
        <x:v>0</x:v>
      </x:c>
      <x:c r="N419" s="6" t="n">
        <x:v>0.858</x:v>
      </x:c>
      <x:c r="O419" s="1" t="str">
        <x:v>합격</x:v>
      </x:c>
      <x:c r="P419" s="1"/>
      <x:c r="Q419" s="1" t="n">
        <x:v>44</x:v>
      </x:c>
      <x:c r="R419" s="1" t="str">
        <x:v>N</x:v>
      </x:c>
      <x:c r="S419" s="1" t="n">
        <x:v>0</x:v>
      </x:c>
      <x:c r="T419" s="1" t="str">
        <x:v>합격</x:v>
      </x:c>
    </x:row>
    <x:row r="420" ht="22" customHeight="1">
      <x:c r="A420" s="1" t="str">
        <x:v>R00419</x:v>
      </x:c>
      <x:c r="B420" s="4" t="n">
        <x:v>46219.41268518518</x:v>
      </x:c>
      <x:c r="C420" s="1" t="str">
        <x:v>주간</x:v>
      </x:c>
      <x:c r="D420" s="1" t="str">
        <x:v>L2</x:v>
      </x:c>
      <x:c r="E420" s="1" t="str">
        <x:v>P2</x:v>
      </x:c>
      <x:c r="F420" s="1" t="str">
        <x:v>M04</x:v>
      </x:c>
      <x:c r="G420" s="1" t="str">
        <x:v>G05</x:v>
      </x:c>
      <x:c r="H420" s="5" t="n">
        <x:v>30.82</x:v>
      </x:c>
      <x:c r="I420" s="5" t="n">
        <x:v>5.99</x:v>
      </x:c>
      <x:c r="J420" s="5" t="n">
        <x:v>57.5</x:v>
      </x:c>
      <x:c r="K420" s="5" t="n">
        <x:v>40.9</x:v>
      </x:c>
      <x:c r="L420" s="5" t="n">
        <x:v>2.41</x:v>
      </x:c>
      <x:c r="M420" s="1" t="n">
        <x:v>0</x:v>
      </x:c>
      <x:c r="N420" s="6" t="n">
        <x:v>1.005</x:v>
      </x:c>
      <x:c r="O420" s="1" t="str">
        <x:v>합격</x:v>
      </x:c>
      <x:c r="P420" s="1"/>
      <x:c r="Q420" s="1" t="n">
        <x:v>44</x:v>
      </x:c>
      <x:c r="R420" s="1" t="str">
        <x:v>N</x:v>
      </x:c>
      <x:c r="S420" s="1" t="n">
        <x:v>0</x:v>
      </x:c>
      <x:c r="T420" s="1" t="str">
        <x:v>합격</x:v>
      </x:c>
    </x:row>
    <x:row r="421" ht="22" customHeight="1">
      <x:c r="A421" s="1" t="str">
        <x:v>R00420</x:v>
      </x:c>
      <x:c r="B421" s="4" t="n">
        <x:v>46220.62420138889</x:v>
      </x:c>
      <x:c r="C421" s="1" t="str">
        <x:v>주간</x:v>
      </x:c>
      <x:c r="D421" s="1" t="str">
        <x:v>L1</x:v>
      </x:c>
      <x:c r="E421" s="1" t="str">
        <x:v>P1</x:v>
      </x:c>
      <x:c r="F421" s="1" t="str">
        <x:v>M01</x:v>
      </x:c>
      <x:c r="G421" s="1" t="str">
        <x:v>G06</x:v>
      </x:c>
      <x:c r="H421" s="5" t="n">
        <x:v>31.14</x:v>
      </x:c>
      <x:c r="I421" s="5" t="n">
        <x:v>5.61</x:v>
      </x:c>
      <x:c r="J421" s="5" t="n">
        <x:v>58.2</x:v>
      </x:c>
      <x:c r="K421" s="5" t="n">
        <x:v>41.1</x:v>
      </x:c>
      <x:c r="L421" s="5" t="n">
        <x:v>1.64</x:v>
      </x:c>
      <x:c r="M421" s="1" t="n">
        <x:v>0</x:v>
      </x:c>
      <x:c r="N421" s="6" t="n">
        <x:v>1.028</x:v>
      </x:c>
      <x:c r="O421" s="1" t="str">
        <x:v>합격</x:v>
      </x:c>
      <x:c r="P421" s="1"/>
      <x:c r="Q421" s="1" t="n">
        <x:v>42</x:v>
      </x:c>
      <x:c r="R421" s="1" t="str">
        <x:v>N</x:v>
      </x:c>
      <x:c r="S421" s="1" t="n">
        <x:v>0</x:v>
      </x:c>
      <x:c r="T421" s="1" t="str">
        <x:v>합격</x:v>
      </x:c>
    </x:row>
    <x:row r="422" ht="22" customHeight="1">
      <x:c r="A422" s="1" t="str">
        <x:v>R00421</x:v>
      </x:c>
      <x:c r="B422" s="4" t="n">
        <x:v>46221.938414351855</x:v>
      </x:c>
      <x:c r="C422" s="1" t="str">
        <x:v>야간</x:v>
      </x:c>
      <x:c r="D422" s="1" t="str">
        <x:v>L1</x:v>
      </x:c>
      <x:c r="E422" s="1" t="str">
        <x:v>P1</x:v>
      </x:c>
      <x:c r="F422" s="1" t="str">
        <x:v>M03</x:v>
      </x:c>
      <x:c r="G422" s="1" t="str">
        <x:v>G01</x:v>
      </x:c>
      <x:c r="H422" s="5" t="n">
        <x:v>33.98</x:v>
      </x:c>
      <x:c r="I422" s="5" t="n">
        <x:v>5.91</x:v>
      </x:c>
      <x:c r="J422" s="5" t="n">
        <x:v>52.4</x:v>
      </x:c>
      <x:c r="K422" s="5" t="n">
        <x:v>39.3</x:v>
      </x:c>
      <x:c r="L422" s="5" t="n">
        <x:v>2.4</x:v>
      </x:c>
      <x:c r="M422" s="1" t="n">
        <x:v>0</x:v>
      </x:c>
      <x:c r="N422" s="6" t="n">
        <x:v>0.887</x:v>
      </x:c>
      <x:c r="O422" s="1" t="str">
        <x:v>합격</x:v>
      </x:c>
      <x:c r="P422" s="1"/>
      <x:c r="Q422" s="1" t="n">
        <x:v>35</x:v>
      </x:c>
      <x:c r="R422" s="1" t="str">
        <x:v>N</x:v>
      </x:c>
      <x:c r="S422" s="1" t="n">
        <x:v>0</x:v>
      </x:c>
      <x:c r="T422" s="1" t="str">
        <x:v>합격</x:v>
      </x:c>
    </x:row>
    <x:row r="423" ht="22" customHeight="1">
      <x:c r="A423" s="1" t="str">
        <x:v>R00422</x:v>
      </x:c>
      <x:c r="B423" s="4" t="n">
        <x:v>46222.87719907407</x:v>
      </x:c>
      <x:c r="C423" s="1" t="str">
        <x:v>야간</x:v>
      </x:c>
      <x:c r="D423" s="1" t="str">
        <x:v>L2</x:v>
      </x:c>
      <x:c r="E423" s="1" t="str">
        <x:v>P2</x:v>
      </x:c>
      <x:c r="F423" s="1" t="str">
        <x:v>M02</x:v>
      </x:c>
      <x:c r="G423" s="1" t="str">
        <x:v>G02</x:v>
      </x:c>
      <x:c r="H423" s="5" t="n">
        <x:v>27.57</x:v>
      </x:c>
      <x:c r="I423" s="5" t="n">
        <x:v>5.64</x:v>
      </x:c>
      <x:c r="J423" s="5" t="n">
        <x:v>58.7</x:v>
      </x:c>
      <x:c r="K423" s="5" t="n">
        <x:v>35.3</x:v>
      </x:c>
      <x:c r="L423" s="5" t="n">
        <x:v>2.62</x:v>
      </x:c>
      <x:c r="M423" s="1" t="n">
        <x:v>0</x:v>
      </x:c>
      <x:c r="N423" s="6" t="n">
        <x:v>0.851</x:v>
      </x:c>
      <x:c r="O423" s="1" t="str">
        <x:v>합격</x:v>
      </x:c>
      <x:c r="P423" s="1"/>
      <x:c r="Q423" s="1" t="n">
        <x:v>47</x:v>
      </x:c>
      <x:c r="R423" s="1" t="str">
        <x:v>N</x:v>
      </x:c>
      <x:c r="S423" s="1" t="n">
        <x:v>0</x:v>
      </x:c>
      <x:c r="T423" s="1" t="str">
        <x:v>합격</x:v>
      </x:c>
    </x:row>
    <x:row r="424" ht="22" customHeight="1">
      <x:c r="A424" s="1" t="str">
        <x:v>R00423</x:v>
      </x:c>
      <x:c r="B424" s="4" t="n">
        <x:v>46223.58068287037</x:v>
      </x:c>
      <x:c r="C424" s="1" t="str">
        <x:v>주간</x:v>
      </x:c>
      <x:c r="D424" s="1" t="str">
        <x:v>L2</x:v>
      </x:c>
      <x:c r="E424" s="1" t="str">
        <x:v>P2</x:v>
      </x:c>
      <x:c r="F424" s="1" t="str">
        <x:v>M04</x:v>
      </x:c>
      <x:c r="G424" s="1" t="str">
        <x:v>G03</x:v>
      </x:c>
      <x:c r="H424" s="5" t="n">
        <x:v>27.8</x:v>
      </x:c>
      <x:c r="I424" s="5" t="n">
        <x:v>5.97</x:v>
      </x:c>
      <x:c r="J424" s="5" t="n">
        <x:v>49.6</x:v>
      </x:c>
      <x:c r="K424" s="5" t="n">
        <x:v>40.4</x:v>
      </x:c>
      <x:c r="L424" s="5" t="n">
        <x:v>2.09</x:v>
      </x:c>
      <x:c r="M424" s="1" t="n">
        <x:v>0</x:v>
      </x:c>
      <x:c r="N424" s="6" t="n">
        <x:v>0.929</x:v>
      </x:c>
      <x:c r="O424" s="1" t="str">
        <x:v>합격</x:v>
      </x:c>
      <x:c r="P424" s="1"/>
      <x:c r="Q424" s="1" t="n">
        <x:v>43</x:v>
      </x:c>
      <x:c r="R424" s="1" t="str">
        <x:v>N</x:v>
      </x:c>
      <x:c r="S424" s="1" t="n">
        <x:v>0</x:v>
      </x:c>
      <x:c r="T424" s="1" t="str">
        <x:v>합격</x:v>
      </x:c>
    </x:row>
    <x:row r="425" ht="22" customHeight="1">
      <x:c r="A425" s="1" t="str">
        <x:v>R00424</x:v>
      </x:c>
      <x:c r="B425" s="4" t="n">
        <x:v>46224.014965277776</x:v>
      </x:c>
      <x:c r="C425" s="1" t="str">
        <x:v>야간</x:v>
      </x:c>
      <x:c r="D425" s="1" t="str">
        <x:v>L2</x:v>
      </x:c>
      <x:c r="E425" s="1" t="str">
        <x:v>P2</x:v>
      </x:c>
      <x:c r="F425" s="1" t="str">
        <x:v>M02</x:v>
      </x:c>
      <x:c r="G425" s="1" t="str">
        <x:v>G04</x:v>
      </x:c>
      <x:c r="H425" s="5" t="n">
        <x:v>29.74</x:v>
      </x:c>
      <x:c r="I425" s="5" t="n">
        <x:v>5.75</x:v>
      </x:c>
      <x:c r="J425" s="5" t="n">
        <x:v>49.7</x:v>
      </x:c>
      <x:c r="K425" s="5" t="n">
        <x:v>35.4</x:v>
      </x:c>
      <x:c r="L425" s="5" t="n">
        <x:v>1.89</x:v>
      </x:c>
      <x:c r="M425" s="1" t="n">
        <x:v>0</x:v>
      </x:c>
      <x:c r="N425" s="6" t="n">
        <x:v>0.915</x:v>
      </x:c>
      <x:c r="O425" s="1" t="str">
        <x:v>합격</x:v>
      </x:c>
      <x:c r="P425" s="1"/>
      <x:c r="Q425" s="1" t="n">
        <x:v>38</x:v>
      </x:c>
      <x:c r="R425" s="1" t="str">
        <x:v>N</x:v>
      </x:c>
      <x:c r="S425" s="1" t="n">
        <x:v>0</x:v>
      </x:c>
      <x:c r="T425" s="1" t="str">
        <x:v>합격</x:v>
      </x:c>
    </x:row>
    <x:row r="426" ht="22" customHeight="1">
      <x:c r="A426" s="1" t="str">
        <x:v>R00425</x:v>
      </x:c>
      <x:c r="B426" s="4" t="n">
        <x:v>46225.07460648148</x:v>
      </x:c>
      <x:c r="C426" s="1" t="str">
        <x:v>야간</x:v>
      </x:c>
      <x:c r="D426" s="1" t="str">
        <x:v>L1</x:v>
      </x:c>
      <x:c r="E426" s="1" t="str">
        <x:v>P1</x:v>
      </x:c>
      <x:c r="F426" s="1" t="str">
        <x:v>M03</x:v>
      </x:c>
      <x:c r="G426" s="1" t="str">
        <x:v>G05</x:v>
      </x:c>
      <x:c r="H426" s="5" t="n">
        <x:v>33.86</x:v>
      </x:c>
      <x:c r="I426" s="5" t="n">
        <x:v>5.66</x:v>
      </x:c>
      <x:c r="J426" s="5" t="n">
        <x:v>55.5</x:v>
      </x:c>
      <x:c r="K426" s="5" t="n">
        <x:v>37.3</x:v>
      </x:c>
      <x:c r="L426" s="5" t="n">
        <x:v>1.94</x:v>
      </x:c>
      <x:c r="M426" s="1" t="n">
        <x:v>1</x:v>
      </x:c>
      <x:c r="N426" s="6" t="n">
        <x:v>0.856</x:v>
      </x:c>
      <x:c r="O426" s="1" t="str">
        <x:v>합격</x:v>
      </x:c>
      <x:c r="P426" s="1"/>
      <x:c r="Q426" s="1" t="n">
        <x:v>44</x:v>
      </x:c>
      <x:c r="R426" s="1" t="str">
        <x:v>N</x:v>
      </x:c>
      <x:c r="S426" s="1" t="n">
        <x:v>0</x:v>
      </x:c>
      <x:c r="T426" s="1" t="str">
        <x:v>합격</x:v>
      </x:c>
    </x:row>
    <x:row r="427" ht="22" customHeight="1">
      <x:c r="A427" s="1" t="str">
        <x:v>R00426</x:v>
      </x:c>
      <x:c r="B427" s="4" t="n">
        <x:v>46226.4521875</x:v>
      </x:c>
      <x:c r="C427" s="1" t="str">
        <x:v>주간</x:v>
      </x:c>
      <x:c r="D427" s="1" t="str">
        <x:v>L2</x:v>
      </x:c>
      <x:c r="E427" s="1" t="str">
        <x:v>P2</x:v>
      </x:c>
      <x:c r="F427" s="1" t="str">
        <x:v>M04</x:v>
      </x:c>
      <x:c r="G427" s="1" t="str">
        <x:v>G06</x:v>
      </x:c>
      <x:c r="H427" s="5" t="n">
        <x:v>27.87</x:v>
      </x:c>
      <x:c r="I427" s="5" t="n">
        <x:v>5.97</x:v>
      </x:c>
      <x:c r="J427" s="5" t="n">
        <x:v>54.4</x:v>
      </x:c>
      <x:c r="K427" s="5" t="n">
        <x:v>40.1</x:v>
      </x:c>
      <x:c r="L427" s="5" t="n">
        <x:v>1.89</x:v>
      </x:c>
      <x:c r="M427" s="1" t="n">
        <x:v>0</x:v>
      </x:c>
      <x:c r="N427" s="6" t="n">
        <x:v>1.045</x:v>
      </x:c>
      <x:c r="O427" s="1" t="str">
        <x:v>합격</x:v>
      </x:c>
      <x:c r="P427" s="1"/>
      <x:c r="Q427" s="1" t="n">
        <x:v>47</x:v>
      </x:c>
      <x:c r="R427" s="1" t="str">
        <x:v>N</x:v>
      </x:c>
      <x:c r="S427" s="1" t="n">
        <x:v>0</x:v>
      </x:c>
      <x:c r="T427" s="1" t="str">
        <x:v>합격</x:v>
      </x:c>
    </x:row>
    <x:row r="428" ht="22" customHeight="1">
      <x:c r="A428" s="1" t="str">
        <x:v>R00427</x:v>
      </x:c>
      <x:c r="B428" s="4" t="n">
        <x:v>46227.384884259256</x:v>
      </x:c>
      <x:c r="C428" s="1" t="str">
        <x:v>주간</x:v>
      </x:c>
      <x:c r="D428" s="1" t="str">
        <x:v>L2</x:v>
      </x:c>
      <x:c r="E428" s="1" t="str">
        <x:v>P2</x:v>
      </x:c>
      <x:c r="F428" s="1" t="str">
        <x:v>M04</x:v>
      </x:c>
      <x:c r="G428" s="1" t="str">
        <x:v>G01</x:v>
      </x:c>
      <x:c r="H428" s="5" t="n">
        <x:v>31.37</x:v>
      </x:c>
      <x:c r="I428" s="5" t="n">
        <x:v>5.99</x:v>
      </x:c>
      <x:c r="J428" s="5" t="n">
        <x:v>53.1</x:v>
      </x:c>
      <x:c r="K428" s="5" t="n">
        <x:v>38.8</x:v>
      </x:c>
      <x:c r="L428" s="5" t="n">
        <x:v>1.55</x:v>
      </x:c>
      <x:c r="M428" s="1" t="n">
        <x:v>0</x:v>
      </x:c>
      <x:c r="N428" s="6" t="n">
        <x:v>0.907</x:v>
      </x:c>
      <x:c r="O428" s="1" t="str">
        <x:v>합격</x:v>
      </x:c>
      <x:c r="P428" s="1"/>
      <x:c r="Q428" s="1" t="n">
        <x:v>45</x:v>
      </x:c>
      <x:c r="R428" s="1" t="str">
        <x:v>N</x:v>
      </x:c>
      <x:c r="S428" s="1" t="n">
        <x:v>0</x:v>
      </x:c>
      <x:c r="T428" s="1" t="str">
        <x:v>합격</x:v>
      </x:c>
    </x:row>
    <x:row r="429" ht="22" customHeight="1">
      <x:c r="A429" s="1" t="str">
        <x:v>R00428</x:v>
      </x:c>
      <x:c r="B429" s="4" t="n">
        <x:v>46228.43491898148</x:v>
      </x:c>
      <x:c r="C429" s="1" t="str">
        <x:v>주간</x:v>
      </x:c>
      <x:c r="D429" s="1" t="str">
        <x:v>L2</x:v>
      </x:c>
      <x:c r="E429" s="1" t="str">
        <x:v>P2</x:v>
      </x:c>
      <x:c r="F429" s="1" t="str">
        <x:v>M04</x:v>
      </x:c>
      <x:c r="G429" s="1" t="str">
        <x:v>G02</x:v>
      </x:c>
      <x:c r="H429" s="5" t="n">
        <x:v>32.41</x:v>
      </x:c>
      <x:c r="I429" s="5" t="n">
        <x:v>5.85</x:v>
      </x:c>
      <x:c r="J429" s="5" t="n">
        <x:v>54.8</x:v>
      </x:c>
      <x:c r="K429" s="5" t="n">
        <x:v>41.9</x:v>
      </x:c>
      <x:c r="L429" s="5" t="n">
        <x:v>1.77</x:v>
      </x:c>
      <x:c r="M429" s="1" t="n">
        <x:v>0</x:v>
      </x:c>
      <x:c r="N429" s="6" t="n">
        <x:v>0.973</x:v>
      </x:c>
      <x:c r="O429" s="1" t="str">
        <x:v>합격</x:v>
      </x:c>
      <x:c r="P429" s="1"/>
      <x:c r="Q429" s="1" t="n">
        <x:v>41</x:v>
      </x:c>
      <x:c r="R429" s="1" t="str">
        <x:v>N</x:v>
      </x:c>
      <x:c r="S429" s="1" t="n">
        <x:v>0</x:v>
      </x:c>
      <x:c r="T429" s="1" t="str">
        <x:v>합격</x:v>
      </x:c>
    </x:row>
    <x:row r="430" ht="22" customHeight="1">
      <x:c r="A430" s="1" t="str">
        <x:v>R00429</x:v>
      </x:c>
      <x:c r="B430" s="4" t="n">
        <x:v>46229.40788194445</x:v>
      </x:c>
      <x:c r="C430" s="1" t="str">
        <x:v>주간</x:v>
      </x:c>
      <x:c r="D430" s="1" t="str">
        <x:v>L1</x:v>
      </x:c>
      <x:c r="E430" s="1" t="str">
        <x:v>P1</x:v>
      </x:c>
      <x:c r="F430" s="1" t="str">
        <x:v>M03</x:v>
      </x:c>
      <x:c r="G430" s="1" t="str">
        <x:v>G03</x:v>
      </x:c>
      <x:c r="H430" s="5" t="n">
        <x:v>31.75</x:v>
      </x:c>
      <x:c r="I430" s="5" t="n">
        <x:v>5.73</x:v>
      </x:c>
      <x:c r="J430" s="5" t="n">
        <x:v>56.3</x:v>
      </x:c>
      <x:c r="K430" s="5" t="n">
        <x:v>39.1</x:v>
      </x:c>
      <x:c r="L430" s="5" t="n">
        <x:v>2.48</x:v>
      </x:c>
      <x:c r="M430" s="1" t="n">
        <x:v>0</x:v>
      </x:c>
      <x:c r="N430" s="6" t="n">
        <x:v>0.931</x:v>
      </x:c>
      <x:c r="O430" s="1" t="str">
        <x:v>합격</x:v>
      </x:c>
      <x:c r="P430" s="1"/>
      <x:c r="Q430" s="1" t="n">
        <x:v>46</x:v>
      </x:c>
      <x:c r="R430" s="1" t="str">
        <x:v>N</x:v>
      </x:c>
      <x:c r="S430" s="1" t="n">
        <x:v>0</x:v>
      </x:c>
      <x:c r="T430" s="1" t="str">
        <x:v>합격</x:v>
      </x:c>
    </x:row>
    <x:row r="431" ht="22" customHeight="1">
      <x:c r="A431" s="1" t="str">
        <x:v>R00430</x:v>
      </x:c>
      <x:c r="B431" s="4" t="n">
        <x:v>46230.84292824074</x:v>
      </x:c>
      <x:c r="C431" s="1" t="str">
        <x:v>야간</x:v>
      </x:c>
      <x:c r="D431" s="1" t="str">
        <x:v>L1</x:v>
      </x:c>
      <x:c r="E431" s="1" t="str">
        <x:v>P1</x:v>
      </x:c>
      <x:c r="F431" s="1" t="str">
        <x:v>M03</x:v>
      </x:c>
      <x:c r="G431" s="1" t="str">
        <x:v>G04</x:v>
      </x:c>
      <x:c r="H431" s="5" t="n">
        <x:v>25.88</x:v>
      </x:c>
      <x:c r="I431" s="5" t="n">
        <x:v>5.88</x:v>
      </x:c>
      <x:c r="J431" s="5" t="n">
        <x:v>47.8</x:v>
      </x:c>
      <x:c r="K431" s="5" t="n">
        <x:v>37.6</x:v>
      </x:c>
      <x:c r="L431" s="5" t="n">
        <x:v>2.29</x:v>
      </x:c>
      <x:c r="M431" s="1" t="n">
        <x:v>0</x:v>
      </x:c>
      <x:c r="N431" s="6" t="n">
        <x:v>0.854</x:v>
      </x:c>
      <x:c r="O431" s="1" t="str">
        <x:v>합격</x:v>
      </x:c>
      <x:c r="P431" s="1"/>
      <x:c r="Q431" s="1" t="n">
        <x:v>47</x:v>
      </x:c>
      <x:c r="R431" s="1" t="str">
        <x:v>N</x:v>
      </x:c>
      <x:c r="S431" s="1" t="n">
        <x:v>0</x:v>
      </x:c>
      <x:c r="T431" s="1" t="str">
        <x:v>합격</x:v>
      </x:c>
    </x:row>
    <x:row r="432" ht="22" customHeight="1">
      <x:c r="A432" s="1" t="str">
        <x:v>R00431</x:v>
      </x:c>
      <x:c r="B432" s="4" t="n">
        <x:v>46231.98454861111</x:v>
      </x:c>
      <x:c r="C432" s="1" t="str">
        <x:v>야간</x:v>
      </x:c>
      <x:c r="D432" s="1" t="str">
        <x:v>L2</x:v>
      </x:c>
      <x:c r="E432" s="1" t="str">
        <x:v>P2</x:v>
      </x:c>
      <x:c r="F432" s="1" t="str">
        <x:v>M02</x:v>
      </x:c>
      <x:c r="G432" s="1" t="str">
        <x:v>G05</x:v>
      </x:c>
      <x:c r="H432" s="5" t="n">
        <x:v>31.96</x:v>
      </x:c>
      <x:c r="I432" s="5" t="n">
        <x:v>5.76</x:v>
      </x:c>
      <x:c r="J432" s="5" t="n">
        <x:v>58.3</x:v>
      </x:c>
      <x:c r="K432" s="5" t="n">
        <x:v>38.7</x:v>
      </x:c>
      <x:c r="L432" s="5"/>
      <x:c r="M432" s="1" t="n">
        <x:v>1</x:v>
      </x:c>
      <x:c r="N432" s="6" t="n">
        <x:v>0.869</x:v>
      </x:c>
      <x:c r="O432" s="1" t="str">
        <x:v>합격</x:v>
      </x:c>
      <x:c r="P432" s="1"/>
      <x:c r="Q432" s="1" t="n">
        <x:v>48</x:v>
      </x:c>
      <x:c r="R432" s="1" t="str">
        <x:v>N</x:v>
      </x:c>
      <x:c r="S432" s="1" t="n">
        <x:v>0</x:v>
      </x:c>
      <x:c r="T432" s="1" t="str">
        <x:v>합격</x:v>
      </x:c>
    </x:row>
    <x:row r="433" ht="22" customHeight="1">
      <x:c r="A433" s="1" t="str">
        <x:v>R00432</x:v>
      </x:c>
      <x:c r="B433" s="4" t="n">
        <x:v>46232.5978125</x:v>
      </x:c>
      <x:c r="C433" s="1" t="str">
        <x:v>주간</x:v>
      </x:c>
      <x:c r="D433" s="1" t="str">
        <x:v>L1</x:v>
      </x:c>
      <x:c r="E433" s="1" t="str">
        <x:v>P1</x:v>
      </x:c>
      <x:c r="F433" s="1" t="str">
        <x:v>M01</x:v>
      </x:c>
      <x:c r="G433" s="1" t="str">
        <x:v>G06</x:v>
      </x:c>
      <x:c r="H433" s="5" t="n">
        <x:v>30.28</x:v>
      </x:c>
      <x:c r="I433" s="5" t="n">
        <x:v>5.98</x:v>
      </x:c>
      <x:c r="J433" s="5" t="n">
        <x:v>48.2</x:v>
      </x:c>
      <x:c r="K433" s="5" t="n">
        <x:v>36.8</x:v>
      </x:c>
      <x:c r="L433" s="5" t="n">
        <x:v>2.03</x:v>
      </x:c>
      <x:c r="M433" s="1" t="n">
        <x:v>1</x:v>
      </x:c>
      <x:c r="N433" s="6" t="n">
        <x:v>0.989</x:v>
      </x:c>
      <x:c r="O433" s="1" t="str">
        <x:v>합격</x:v>
      </x:c>
      <x:c r="P433" s="1"/>
      <x:c r="Q433" s="1" t="n">
        <x:v>36</x:v>
      </x:c>
      <x:c r="R433" s="1" t="str">
        <x:v>N</x:v>
      </x:c>
      <x:c r="S433" s="1" t="n">
        <x:v>0</x:v>
      </x:c>
      <x:c r="T433" s="1" t="str">
        <x:v>합격</x:v>
      </x:c>
    </x:row>
    <x:row r="434" ht="22" customHeight="1">
      <x:c r="A434" s="1" t="str">
        <x:v>R00433</x:v>
      </x:c>
      <x:c r="B434" s="4" t="n">
        <x:v>46233.06292824074</x:v>
      </x:c>
      <x:c r="C434" s="1" t="str">
        <x:v>야간</x:v>
      </x:c>
      <x:c r="D434" s="1" t="str">
        <x:v>L1</x:v>
      </x:c>
      <x:c r="E434" s="1" t="str">
        <x:v>P1</x:v>
      </x:c>
      <x:c r="F434" s="1" t="str">
        <x:v>M04</x:v>
      </x:c>
      <x:c r="G434" s="1" t="str">
        <x:v>G01</x:v>
      </x:c>
      <x:c r="H434" s="5" t="n">
        <x:v>29.86</x:v>
      </x:c>
      <x:c r="I434" s="5" t="n">
        <x:v>5.89</x:v>
      </x:c>
      <x:c r="J434" s="5" t="n">
        <x:v>49.8</x:v>
      </x:c>
      <x:c r="K434" s="5" t="n">
        <x:v>36.3</x:v>
      </x:c>
      <x:c r="L434" s="5" t="n">
        <x:v>2.58</x:v>
      </x:c>
      <x:c r="M434" s="1" t="n">
        <x:v>0</x:v>
      </x:c>
      <x:c r="N434" s="6" t="n">
        <x:v>1.013</x:v>
      </x:c>
      <x:c r="O434" s="1" t="str">
        <x:v>합격</x:v>
      </x:c>
      <x:c r="P434" s="1"/>
      <x:c r="Q434" s="1" t="n">
        <x:v>38</x:v>
      </x:c>
      <x:c r="R434" s="1" t="str">
        <x:v>N</x:v>
      </x:c>
      <x:c r="S434" s="1" t="n">
        <x:v>0</x:v>
      </x:c>
      <x:c r="T434" s="1" t="str">
        <x:v>합격</x:v>
      </x:c>
    </x:row>
    <x:row r="435" ht="22" customHeight="1">
      <x:c r="A435" s="1" t="str">
        <x:v>R00434</x:v>
      </x:c>
      <x:c r="B435" s="4" t="n">
        <x:v>46234.45533564815</x:v>
      </x:c>
      <x:c r="C435" s="1" t="str">
        <x:v>주간</x:v>
      </x:c>
      <x:c r="D435" s="1" t="str">
        <x:v>L2</x:v>
      </x:c>
      <x:c r="E435" s="1" t="str">
        <x:v>P2</x:v>
      </x:c>
      <x:c r="F435" s="1" t="str">
        <x:v>M02</x:v>
      </x:c>
      <x:c r="G435" s="1" t="str">
        <x:v>G02</x:v>
      </x:c>
      <x:c r="H435" s="5" t="n">
        <x:v>27.88</x:v>
      </x:c>
      <x:c r="I435" s="5" t="n">
        <x:v>5.96</x:v>
      </x:c>
      <x:c r="J435" s="5" t="n">
        <x:v>54.7</x:v>
      </x:c>
      <x:c r="K435" s="5" t="n">
        <x:v>40.1</x:v>
      </x:c>
      <x:c r="L435" s="5" t="n">
        <x:v>2.04</x:v>
      </x:c>
      <x:c r="M435" s="1" t="n">
        <x:v>0</x:v>
      </x:c>
      <x:c r="N435" s="6" t="n">
        <x:v>0.945</x:v>
      </x:c>
      <x:c r="O435" s="1" t="str">
        <x:v>합격</x:v>
      </x:c>
      <x:c r="P435" s="1"/>
      <x:c r="Q435" s="1" t="n">
        <x:v>45</x:v>
      </x:c>
      <x:c r="R435" s="1" t="str">
        <x:v>N</x:v>
      </x:c>
      <x:c r="S435" s="1" t="n">
        <x:v>0</x:v>
      </x:c>
      <x:c r="T435" s="1" t="str">
        <x:v>합격</x:v>
      </x:c>
    </x:row>
    <x:row r="436" ht="22" customHeight="1">
      <x:c r="A436" s="1" t="str">
        <x:v>R00435</x:v>
      </x:c>
      <x:c r="B436" s="4" t="n">
        <x:v>46204.35891203704</x:v>
      </x:c>
      <x:c r="C436" s="1" t="str">
        <x:v>주간</x:v>
      </x:c>
      <x:c r="D436" s="1" t="str">
        <x:v>L1</x:v>
      </x:c>
      <x:c r="E436" s="1" t="str">
        <x:v>P1</x:v>
      </x:c>
      <x:c r="F436" s="1" t="str">
        <x:v>M03</x:v>
      </x:c>
      <x:c r="G436" s="1" t="str">
        <x:v>G03</x:v>
      </x:c>
      <x:c r="H436" s="5" t="n">
        <x:v>32.42</x:v>
      </x:c>
      <x:c r="I436" s="5" t="n">
        <x:v>5.86</x:v>
      </x:c>
      <x:c r="J436" s="5" t="n">
        <x:v>53.5</x:v>
      </x:c>
      <x:c r="K436" s="5" t="n">
        <x:v>40.2</x:v>
      </x:c>
      <x:c r="L436" s="5" t="n">
        <x:v>2.7</x:v>
      </x:c>
      <x:c r="M436" s="1" t="n">
        <x:v>0</x:v>
      </x:c>
      <x:c r="N436" s="6" t="n">
        <x:v>1.043</x:v>
      </x:c>
      <x:c r="O436" s="1" t="str">
        <x:v>합격</x:v>
      </x:c>
      <x:c r="P436" s="1"/>
      <x:c r="Q436" s="1" t="n">
        <x:v>39</x:v>
      </x:c>
      <x:c r="R436" s="1" t="str">
        <x:v>N</x:v>
      </x:c>
      <x:c r="S436" s="1" t="n">
        <x:v>0</x:v>
      </x:c>
      <x:c r="T436" s="1" t="str">
        <x:v>합격</x:v>
      </x:c>
    </x:row>
    <x:row r="437" ht="22" customHeight="1">
      <x:c r="A437" s="1" t="str">
        <x:v>R00436</x:v>
      </x:c>
      <x:c r="B437" s="4" t="n">
        <x:v>46205.63685185185</x:v>
      </x:c>
      <x:c r="C437" s="1" t="str">
        <x:v>주간</x:v>
      </x:c>
      <x:c r="D437" s="1" t="str">
        <x:v>L1</x:v>
      </x:c>
      <x:c r="E437" s="1" t="str">
        <x:v>P1</x:v>
      </x:c>
      <x:c r="F437" s="1" t="str">
        <x:v>M03</x:v>
      </x:c>
      <x:c r="G437" s="1" t="str">
        <x:v>G04</x:v>
      </x:c>
      <x:c r="H437" s="5" t="n">
        <x:v>32.78</x:v>
      </x:c>
      <x:c r="I437" s="5" t="n">
        <x:v>5.78</x:v>
      </x:c>
      <x:c r="J437" s="5" t="n">
        <x:v>47.2</x:v>
      </x:c>
      <x:c r="K437" s="5" t="n">
        <x:v>36.8</x:v>
      </x:c>
      <x:c r="L437" s="5" t="n">
        <x:v>2.07</x:v>
      </x:c>
      <x:c r="M437" s="1" t="n">
        <x:v>0</x:v>
      </x:c>
      <x:c r="N437" s="6" t="n">
        <x:v>0.883</x:v>
      </x:c>
      <x:c r="O437" s="1" t="str">
        <x:v>합격</x:v>
      </x:c>
      <x:c r="P437" s="1"/>
      <x:c r="Q437" s="1" t="n">
        <x:v>35</x:v>
      </x:c>
      <x:c r="R437" s="1" t="str">
        <x:v>N</x:v>
      </x:c>
      <x:c r="S437" s="1" t="n">
        <x:v>0</x:v>
      </x:c>
      <x:c r="T437" s="1" t="str">
        <x:v>합격</x:v>
      </x:c>
    </x:row>
    <x:row r="438" ht="22" customHeight="1">
      <x:c r="A438" s="1" t="str">
        <x:v>R00437</x:v>
      </x:c>
      <x:c r="B438" s="4" t="n">
        <x:v>46206.56925925926</x:v>
      </x:c>
      <x:c r="C438" s="1" t="str">
        <x:v>주간</x:v>
      </x:c>
      <x:c r="D438" s="1" t="str">
        <x:v>L1</x:v>
      </x:c>
      <x:c r="E438" s="1" t="str">
        <x:v>P1</x:v>
      </x:c>
      <x:c r="F438" s="1" t="str">
        <x:v>M01</x:v>
      </x:c>
      <x:c r="G438" s="1" t="str">
        <x:v>G05</x:v>
      </x:c>
      <x:c r="H438" s="5" t="n">
        <x:v>28.88</x:v>
      </x:c>
      <x:c r="I438" s="5" t="n">
        <x:v>5.65</x:v>
      </x:c>
      <x:c r="J438" s="5" t="n">
        <x:v>53.1</x:v>
      </x:c>
      <x:c r="K438" s="5" t="n">
        <x:v>36.6</x:v>
      </x:c>
      <x:c r="L438" s="5" t="n">
        <x:v>2.5</x:v>
      </x:c>
      <x:c r="M438" s="1" t="n">
        <x:v>1</x:v>
      </x:c>
      <x:c r="N438" s="6" t="n">
        <x:v>0.921</x:v>
      </x:c>
      <x:c r="O438" s="1" t="str">
        <x:v>합격</x:v>
      </x:c>
      <x:c r="P438" s="1"/>
      <x:c r="Q438" s="1" t="n">
        <x:v>42</x:v>
      </x:c>
      <x:c r="R438" s="1" t="str">
        <x:v>N</x:v>
      </x:c>
      <x:c r="S438" s="1" t="n">
        <x:v>0</x:v>
      </x:c>
      <x:c r="T438" s="1" t="str">
        <x:v>합격</x:v>
      </x:c>
    </x:row>
    <x:row r="439" ht="22" customHeight="1">
      <x:c r="A439" s="1" t="str">
        <x:v>R00438</x:v>
      </x:c>
      <x:c r="B439" s="4" t="n">
        <x:v>46207.853159722225</x:v>
      </x:c>
      <x:c r="C439" s="1" t="str">
        <x:v>야간</x:v>
      </x:c>
      <x:c r="D439" s="1" t="str">
        <x:v>L2</x:v>
      </x:c>
      <x:c r="E439" s="1" t="str">
        <x:v>P2</x:v>
      </x:c>
      <x:c r="F439" s="1" t="str">
        <x:v>M02</x:v>
      </x:c>
      <x:c r="G439" s="1" t="str">
        <x:v>G06</x:v>
      </x:c>
      <x:c r="H439" s="5" t="n">
        <x:v>30.21</x:v>
      </x:c>
      <x:c r="I439" s="5" t="n">
        <x:v>5.73</x:v>
      </x:c>
      <x:c r="J439" s="5" t="n">
        <x:v>53.3</x:v>
      </x:c>
      <x:c r="K439" s="5" t="n">
        <x:v>36.1</x:v>
      </x:c>
      <x:c r="L439" s="5" t="n">
        <x:v>2.42</x:v>
      </x:c>
      <x:c r="M439" s="1" t="n">
        <x:v>0</x:v>
      </x:c>
      <x:c r="N439" s="6" t="n">
        <x:v>0.947</x:v>
      </x:c>
      <x:c r="O439" s="1" t="str">
        <x:v>합격</x:v>
      </x:c>
      <x:c r="P439" s="1"/>
      <x:c r="Q439" s="1" t="n">
        <x:v>47</x:v>
      </x:c>
      <x:c r="R439" s="1" t="str">
        <x:v>N</x:v>
      </x:c>
      <x:c r="S439" s="1" t="n">
        <x:v>0</x:v>
      </x:c>
      <x:c r="T439" s="1" t="str">
        <x:v>합격</x:v>
      </x:c>
    </x:row>
    <x:row r="440" ht="22" customHeight="1">
      <x:c r="A440" s="1" t="str">
        <x:v>R00439</x:v>
      </x:c>
      <x:c r="B440" s="4" t="n">
        <x:v>46208.552303240744</x:v>
      </x:c>
      <x:c r="C440" s="1" t="str">
        <x:v>주간</x:v>
      </x:c>
      <x:c r="D440" s="1" t="str">
        <x:v>L2</x:v>
      </x:c>
      <x:c r="E440" s="1" t="str">
        <x:v>P2</x:v>
      </x:c>
      <x:c r="F440" s="1" t="str">
        <x:v>M02</x:v>
      </x:c>
      <x:c r="G440" s="1" t="str">
        <x:v>G01</x:v>
      </x:c>
      <x:c r="H440" s="5" t="n">
        <x:v>30.84</x:v>
      </x:c>
      <x:c r="I440" s="5" t="n">
        <x:v>5.81</x:v>
      </x:c>
      <x:c r="J440" s="5" t="n">
        <x:v>49.4</x:v>
      </x:c>
      <x:c r="K440" s="5" t="n">
        <x:v>35.3</x:v>
      </x:c>
      <x:c r="L440" s="5" t="n">
        <x:v>1.78</x:v>
      </x:c>
      <x:c r="M440" s="1" t="n">
        <x:v>1</x:v>
      </x:c>
      <x:c r="N440" s="6" t="n">
        <x:v>1.049</x:v>
      </x:c>
      <x:c r="O440" s="1" t="str">
        <x:v>합격</x:v>
      </x:c>
      <x:c r="P440" s="1"/>
      <x:c r="Q440" s="1" t="n">
        <x:v>43</x:v>
      </x:c>
      <x:c r="R440" s="1" t="str">
        <x:v>N</x:v>
      </x:c>
      <x:c r="S440" s="1" t="n">
        <x:v>0</x:v>
      </x:c>
      <x:c r="T440" s="1" t="str">
        <x:v>합격</x:v>
      </x:c>
    </x:row>
    <x:row r="441" ht="22" customHeight="1">
      <x:c r="A441" s="1" t="str">
        <x:v>R00440</x:v>
      </x:c>
      <x:c r="B441" s="4" t="n">
        <x:v>46209.8930787037</x:v>
      </x:c>
      <x:c r="C441" s="1" t="str">
        <x:v>야간</x:v>
      </x:c>
      <x:c r="D441" s="1" t="str">
        <x:v>L2</x:v>
      </x:c>
      <x:c r="E441" s="1" t="str">
        <x:v>P2</x:v>
      </x:c>
      <x:c r="F441" s="1" t="str">
        <x:v>M01</x:v>
      </x:c>
      <x:c r="G441" s="1" t="str">
        <x:v>G02</x:v>
      </x:c>
      <x:c r="H441" s="5" t="n">
        <x:v>31.3</x:v>
      </x:c>
      <x:c r="I441" s="5" t="n">
        <x:v>5.69</x:v>
      </x:c>
      <x:c r="J441" s="5" t="n">
        <x:v>48.5</x:v>
      </x:c>
      <x:c r="K441" s="5" t="n">
        <x:v>37.6</x:v>
      </x:c>
      <x:c r="L441" s="5" t="n">
        <x:v>2.4</x:v>
      </x:c>
      <x:c r="M441" s="1" t="n">
        <x:v>1</x:v>
      </x:c>
      <x:c r="N441" s="6" t="n">
        <x:v>0.869</x:v>
      </x:c>
      <x:c r="O441" s="1" t="str">
        <x:v>합격</x:v>
      </x:c>
      <x:c r="P441" s="1"/>
      <x:c r="Q441" s="1" t="n">
        <x:v>35</x:v>
      </x:c>
      <x:c r="R441" s="1" t="str">
        <x:v>N</x:v>
      </x:c>
      <x:c r="S441" s="1" t="n">
        <x:v>0</x:v>
      </x:c>
      <x:c r="T441" s="1" t="str">
        <x:v>합격</x:v>
      </x:c>
    </x:row>
    <x:row r="442" ht="22" customHeight="1">
      <x:c r="A442" s="1" t="str">
        <x:v>R00441</x:v>
      </x:c>
      <x:c r="B442" s="4" t="n">
        <x:v>46210.57270833333</x:v>
      </x:c>
      <x:c r="C442" s="1" t="str">
        <x:v>주간</x:v>
      </x:c>
      <x:c r="D442" s="1" t="str">
        <x:v>L1</x:v>
      </x:c>
      <x:c r="E442" s="1" t="str">
        <x:v>P1</x:v>
      </x:c>
      <x:c r="F442" s="1" t="str">
        <x:v>M03</x:v>
      </x:c>
      <x:c r="G442" s="1" t="str">
        <x:v>G03</x:v>
      </x:c>
      <x:c r="H442" s="5" t="n">
        <x:v>31.26</x:v>
      </x:c>
      <x:c r="I442" s="5" t="n">
        <x:v>5.86</x:v>
      </x:c>
      <x:c r="J442" s="5" t="n">
        <x:v>54.4</x:v>
      </x:c>
      <x:c r="K442" s="5" t="n">
        <x:v>35.3</x:v>
      </x:c>
      <x:c r="L442" s="5" t="n">
        <x:v>2.42</x:v>
      </x:c>
      <x:c r="M442" s="1" t="n">
        <x:v>0</x:v>
      </x:c>
      <x:c r="N442" s="6" t="n">
        <x:v>0.914</x:v>
      </x:c>
      <x:c r="O442" s="1" t="str">
        <x:v>합격</x:v>
      </x:c>
      <x:c r="P442" s="1"/>
      <x:c r="Q442" s="1" t="n">
        <x:v>47</x:v>
      </x:c>
      <x:c r="R442" s="1" t="str">
        <x:v>N</x:v>
      </x:c>
      <x:c r="S442" s="1" t="n">
        <x:v>0</x:v>
      </x:c>
      <x:c r="T442" s="1" t="str">
        <x:v>합격</x:v>
      </x:c>
    </x:row>
    <x:row r="443" ht="22" customHeight="1">
      <x:c r="A443" s="1" t="str">
        <x:v>R00442</x:v>
      </x:c>
      <x:c r="B443" s="4" t="n">
        <x:v>46211.5471412037</x:v>
      </x:c>
      <x:c r="C443" s="1" t="str">
        <x:v>주간</x:v>
      </x:c>
      <x:c r="D443" s="1" t="str">
        <x:v>L1</x:v>
      </x:c>
      <x:c r="E443" s="1" t="str">
        <x:v>P1</x:v>
      </x:c>
      <x:c r="F443" s="1" t="str">
        <x:v>M03</x:v>
      </x:c>
      <x:c r="G443" s="1" t="str">
        <x:v>G04</x:v>
      </x:c>
      <x:c r="H443" s="5" t="n">
        <x:v>29.59</x:v>
      </x:c>
      <x:c r="I443" s="5" t="n">
        <x:v>5.81</x:v>
      </x:c>
      <x:c r="J443" s="5" t="n">
        <x:v>55.5</x:v>
      </x:c>
      <x:c r="K443" s="5" t="n">
        <x:v>40.7</x:v>
      </x:c>
      <x:c r="L443" s="5" t="n">
        <x:v>2.53</x:v>
      </x:c>
      <x:c r="M443" s="1" t="n">
        <x:v>1</x:v>
      </x:c>
      <x:c r="N443" s="6" t="n">
        <x:v>0.894</x:v>
      </x:c>
      <x:c r="O443" s="1" t="str">
        <x:v>합격</x:v>
      </x:c>
      <x:c r="P443" s="1"/>
      <x:c r="Q443" s="1" t="n">
        <x:v>42</x:v>
      </x:c>
      <x:c r="R443" s="1" t="str">
        <x:v>N</x:v>
      </x:c>
      <x:c r="S443" s="1" t="n">
        <x:v>0</x:v>
      </x:c>
      <x:c r="T443" s="1" t="str">
        <x:v>합격</x:v>
      </x:c>
    </x:row>
    <x:row r="444" ht="22" customHeight="1">
      <x:c r="A444" s="1" t="str">
        <x:v>R00443</x:v>
      </x:c>
      <x:c r="B444" s="4" t="n">
        <x:v>46212.112662037034</x:v>
      </x:c>
      <x:c r="C444" s="1" t="str">
        <x:v>야간</x:v>
      </x:c>
      <x:c r="D444" s="1" t="str">
        <x:v>L1</x:v>
      </x:c>
      <x:c r="E444" s="1" t="str">
        <x:v>P1</x:v>
      </x:c>
      <x:c r="F444" s="1" t="str">
        <x:v>M04</x:v>
      </x:c>
      <x:c r="G444" s="1" t="str">
        <x:v>G05</x:v>
      </x:c>
      <x:c r="H444" s="5" t="n">
        <x:v>28.06</x:v>
      </x:c>
      <x:c r="I444" s="5" t="n">
        <x:v>5.96</x:v>
      </x:c>
      <x:c r="J444" s="5" t="n">
        <x:v>55</x:v>
      </x:c>
      <x:c r="K444" s="5" t="n">
        <x:v>40.2</x:v>
      </x:c>
      <x:c r="L444" s="5" t="n">
        <x:v>2.31</x:v>
      </x:c>
      <x:c r="M444" s="1" t="n">
        <x:v>0</x:v>
      </x:c>
      <x:c r="N444" s="6" t="n">
        <x:v>0.941</x:v>
      </x:c>
      <x:c r="O444" s="1" t="str">
        <x:v>합격</x:v>
      </x:c>
      <x:c r="P444" s="1"/>
      <x:c r="Q444" s="1" t="n">
        <x:v>44</x:v>
      </x:c>
      <x:c r="R444" s="1" t="str">
        <x:v>N</x:v>
      </x:c>
      <x:c r="S444" s="1" t="n">
        <x:v>0</x:v>
      </x:c>
      <x:c r="T444" s="1" t="str">
        <x:v>합격</x:v>
      </x:c>
    </x:row>
    <x:row r="445" ht="22" customHeight="1">
      <x:c r="A445" s="1" t="str">
        <x:v>R00444</x:v>
      </x:c>
      <x:c r="B445" s="4" t="n">
        <x:v>46213.91074074074</x:v>
      </x:c>
      <x:c r="C445" s="1" t="str">
        <x:v>야간</x:v>
      </x:c>
      <x:c r="D445" s="1" t="str">
        <x:v>L2</x:v>
      </x:c>
      <x:c r="E445" s="1" t="str">
        <x:v>P2</x:v>
      </x:c>
      <x:c r="F445" s="1" t="str">
        <x:v>M02</x:v>
      </x:c>
      <x:c r="G445" s="1" t="str">
        <x:v>G06</x:v>
      </x:c>
      <x:c r="H445" s="5" t="n">
        <x:v>32.09</x:v>
      </x:c>
      <x:c r="I445" s="5" t="n">
        <x:v>5.71</x:v>
      </x:c>
      <x:c r="J445" s="5" t="n">
        <x:v>52.2</x:v>
      </x:c>
      <x:c r="K445" s="5" t="n">
        <x:v>41.8</x:v>
      </x:c>
      <x:c r="L445" s="5" t="n">
        <x:v>1.83</x:v>
      </x:c>
      <x:c r="M445" s="1" t="n">
        <x:v>1</x:v>
      </x:c>
      <x:c r="N445" s="6" t="n">
        <x:v>0.909</x:v>
      </x:c>
      <x:c r="O445" s="1" t="str">
        <x:v>합격</x:v>
      </x:c>
      <x:c r="P445" s="1"/>
      <x:c r="Q445" s="1" t="n">
        <x:v>40</x:v>
      </x:c>
      <x:c r="R445" s="1" t="str">
        <x:v>N</x:v>
      </x:c>
      <x:c r="S445" s="1" t="n">
        <x:v>0</x:v>
      </x:c>
      <x:c r="T445" s="1" t="str">
        <x:v>합격</x:v>
      </x:c>
    </x:row>
    <x:row r="446" ht="22" customHeight="1">
      <x:c r="A446" s="1" t="str">
        <x:v>R00445</x:v>
      </x:c>
      <x:c r="B446" s="4" t="n">
        <x:v>46214.924409722225</x:v>
      </x:c>
      <x:c r="C446" s="1" t="str">
        <x:v>야간</x:v>
      </x:c>
      <x:c r="D446" s="1" t="str">
        <x:v>L1</x:v>
      </x:c>
      <x:c r="E446" s="1" t="str">
        <x:v>P1</x:v>
      </x:c>
      <x:c r="F446" s="1" t="str">
        <x:v>M03</x:v>
      </x:c>
      <x:c r="G446" s="1" t="str">
        <x:v>G01</x:v>
      </x:c>
      <x:c r="H446" s="5" t="n">
        <x:v>29.72</x:v>
      </x:c>
      <x:c r="I446" s="5" t="n">
        <x:v>5.76</x:v>
      </x:c>
      <x:c r="J446" s="5" t="n">
        <x:v>50.6</x:v>
      </x:c>
      <x:c r="K446" s="5" t="n">
        <x:v>36.2</x:v>
      </x:c>
      <x:c r="L446" s="5" t="n">
        <x:v>1.63</x:v>
      </x:c>
      <x:c r="M446" s="1" t="n">
        <x:v>1</x:v>
      </x:c>
      <x:c r="N446" s="6" t="n">
        <x:v>0.9</x:v>
      </x:c>
      <x:c r="O446" s="1" t="str">
        <x:v>합격</x:v>
      </x:c>
      <x:c r="P446" s="1"/>
      <x:c r="Q446" s="1" t="n">
        <x:v>40</x:v>
      </x:c>
      <x:c r="R446" s="1" t="str">
        <x:v>N</x:v>
      </x:c>
      <x:c r="S446" s="1" t="n">
        <x:v>0</x:v>
      </x:c>
      <x:c r="T446" s="1" t="str">
        <x:v>합격</x:v>
      </x:c>
    </x:row>
    <x:row r="447" ht="22" customHeight="1">
      <x:c r="A447" s="1" t="str">
        <x:v>R00446</x:v>
      </x:c>
      <x:c r="B447" s="4" t="n">
        <x:v>46215.53052083333</x:v>
      </x:c>
      <x:c r="C447" s="1" t="str">
        <x:v>주간</x:v>
      </x:c>
      <x:c r="D447" s="1" t="str">
        <x:v>L2</x:v>
      </x:c>
      <x:c r="E447" s="1" t="str">
        <x:v>P2</x:v>
      </x:c>
      <x:c r="F447" s="1" t="str">
        <x:v>M04</x:v>
      </x:c>
      <x:c r="G447" s="1" t="str">
        <x:v>G02</x:v>
      </x:c>
      <x:c r="H447" s="5" t="n">
        <x:v>29.31</x:v>
      </x:c>
      <x:c r="I447" s="5" t="n">
        <x:v>5.71</x:v>
      </x:c>
      <x:c r="J447" s="5" t="n">
        <x:v>53.3</x:v>
      </x:c>
      <x:c r="K447" s="5" t="n">
        <x:v>42</x:v>
      </x:c>
      <x:c r="L447" s="5" t="n">
        <x:v>2.03</x:v>
      </x:c>
      <x:c r="M447" s="1" t="n">
        <x:v>0</x:v>
      </x:c>
      <x:c r="N447" s="6" t="n">
        <x:v>0.957</x:v>
      </x:c>
      <x:c r="O447" s="1" t="str">
        <x:v>합격</x:v>
      </x:c>
      <x:c r="P447" s="1"/>
      <x:c r="Q447" s="1" t="n">
        <x:v>43</x:v>
      </x:c>
      <x:c r="R447" s="1" t="str">
        <x:v>N</x:v>
      </x:c>
      <x:c r="S447" s="1" t="n">
        <x:v>0</x:v>
      </x:c>
      <x:c r="T447" s="1" t="str">
        <x:v>합격</x:v>
      </x:c>
    </x:row>
    <x:row r="448" ht="22" customHeight="1">
      <x:c r="A448" s="1" t="str">
        <x:v>R00447</x:v>
      </x:c>
      <x:c r="B448" s="4" t="n">
        <x:v>46216.38413194445</x:v>
      </x:c>
      <x:c r="C448" s="1" t="str">
        <x:v>주간</x:v>
      </x:c>
      <x:c r="D448" s="1" t="str">
        <x:v>L1</x:v>
      </x:c>
      <x:c r="E448" s="1" t="str">
        <x:v>P1</x:v>
      </x:c>
      <x:c r="F448" s="1" t="str">
        <x:v>M01</x:v>
      </x:c>
      <x:c r="G448" s="1" t="str">
        <x:v>G03</x:v>
      </x:c>
      <x:c r="H448" s="5" t="n">
        <x:v>32.36</x:v>
      </x:c>
      <x:c r="I448" s="5" t="n">
        <x:v>5.8</x:v>
      </x:c>
      <x:c r="J448" s="5" t="n">
        <x:v>49.8</x:v>
      </x:c>
      <x:c r="K448" s="5" t="n">
        <x:v>42</x:v>
      </x:c>
      <x:c r="L448" s="5" t="n">
        <x:v>2.53</x:v>
      </x:c>
      <x:c r="M448" s="1" t="n">
        <x:v>1</x:v>
      </x:c>
      <x:c r="N448" s="6" t="n">
        <x:v>0.911</x:v>
      </x:c>
      <x:c r="O448" s="1" t="str">
        <x:v>합격</x:v>
      </x:c>
      <x:c r="P448" s="1"/>
      <x:c r="Q448" s="1" t="n">
        <x:v>41</x:v>
      </x:c>
      <x:c r="R448" s="1" t="str">
        <x:v>N</x:v>
      </x:c>
      <x:c r="S448" s="1" t="n">
        <x:v>0</x:v>
      </x:c>
      <x:c r="T448" s="1" t="str">
        <x:v>합격</x:v>
      </x:c>
    </x:row>
    <x:row r="449" ht="22" customHeight="1">
      <x:c r="A449" s="1" t="str">
        <x:v>R00448</x:v>
      </x:c>
      <x:c r="B449" s="4" t="n">
        <x:v>46217.34578703704</x:v>
      </x:c>
      <x:c r="C449" s="1" t="str">
        <x:v>주간</x:v>
      </x:c>
      <x:c r="D449" s="1" t="str">
        <x:v>L2</x:v>
      </x:c>
      <x:c r="E449" s="1" t="str">
        <x:v>P2</x:v>
      </x:c>
      <x:c r="F449" s="1" t="str">
        <x:v>M02</x:v>
      </x:c>
      <x:c r="G449" s="1" t="str">
        <x:v>G04</x:v>
      </x:c>
      <x:c r="H449" s="5" t="n">
        <x:v>29.6</x:v>
      </x:c>
      <x:c r="I449" s="5" t="n">
        <x:v>5.88</x:v>
      </x:c>
      <x:c r="J449" s="5" t="n">
        <x:v>51</x:v>
      </x:c>
      <x:c r="K449" s="5" t="n">
        <x:v>39.3</x:v>
      </x:c>
      <x:c r="L449" s="5" t="n">
        <x:v>2.14</x:v>
      </x:c>
      <x:c r="M449" s="1" t="n">
        <x:v>0</x:v>
      </x:c>
      <x:c r="N449" s="6" t="n">
        <x:v>1.046</x:v>
      </x:c>
      <x:c r="O449" s="1" t="str">
        <x:v>합격</x:v>
      </x:c>
      <x:c r="P449" s="1"/>
      <x:c r="Q449" s="1" t="n">
        <x:v>40</x:v>
      </x:c>
      <x:c r="R449" s="1" t="str">
        <x:v>N</x:v>
      </x:c>
      <x:c r="S449" s="1" t="n">
        <x:v>0</x:v>
      </x:c>
      <x:c r="T449" s="1" t="str">
        <x:v>합격</x:v>
      </x:c>
    </x:row>
    <x:row r="450" ht="22" customHeight="1">
      <x:c r="A450" s="1" t="str">
        <x:v>R00449</x:v>
      </x:c>
      <x:c r="B450" s="4" t="n">
        <x:v>46218.603055555555</x:v>
      </x:c>
      <x:c r="C450" s="1" t="str">
        <x:v>주간</x:v>
      </x:c>
      <x:c r="D450" s="1" t="str">
        <x:v>L1</x:v>
      </x:c>
      <x:c r="E450" s="1" t="str">
        <x:v>P1</x:v>
      </x:c>
      <x:c r="F450" s="1" t="str">
        <x:v>M03</x:v>
      </x:c>
      <x:c r="G450" s="1" t="str">
        <x:v>G05</x:v>
      </x:c>
      <x:c r="H450" s="5" t="n">
        <x:v>29.89</x:v>
      </x:c>
      <x:c r="I450" s="5" t="n">
        <x:v>5.79</x:v>
      </x:c>
      <x:c r="J450" s="5" t="n">
        <x:v>47</x:v>
      </x:c>
      <x:c r="K450" s="5" t="n">
        <x:v>40.2</x:v>
      </x:c>
      <x:c r="L450" s="5" t="n">
        <x:v>2.48</x:v>
      </x:c>
      <x:c r="M450" s="1" t="n">
        <x:v>1</x:v>
      </x:c>
      <x:c r="N450" s="6" t="n">
        <x:v>0.94</x:v>
      </x:c>
      <x:c r="O450" s="1" t="str">
        <x:v>합격</x:v>
      </x:c>
      <x:c r="P450" s="1"/>
      <x:c r="Q450" s="1" t="n">
        <x:v>36</x:v>
      </x:c>
      <x:c r="R450" s="1" t="str">
        <x:v>N</x:v>
      </x:c>
      <x:c r="S450" s="1" t="n">
        <x:v>0</x:v>
      </x:c>
      <x:c r="T450" s="1" t="str">
        <x:v>합격</x:v>
      </x:c>
    </x:row>
    <x:row r="451" ht="22" customHeight="1">
      <x:c r="A451" s="1" t="str">
        <x:v>R00450</x:v>
      </x:c>
      <x:c r="B451" s="4" t="n">
        <x:v>46219.86752314815</x:v>
      </x:c>
      <x:c r="C451" s="1" t="str">
        <x:v>야간</x:v>
      </x:c>
      <x:c r="D451" s="1" t="str">
        <x:v>L1</x:v>
      </x:c>
      <x:c r="E451" s="1" t="str">
        <x:v>P1</x:v>
      </x:c>
      <x:c r="F451" s="1" t="str">
        <x:v>M04</x:v>
      </x:c>
      <x:c r="G451" s="1" t="str">
        <x:v>G06</x:v>
      </x:c>
      <x:c r="H451" s="5" t="n">
        <x:v>32.46</x:v>
      </x:c>
      <x:c r="I451" s="5" t="n">
        <x:v>5.67</x:v>
      </x:c>
      <x:c r="J451" s="5" t="n">
        <x:v>48.2</x:v>
      </x:c>
      <x:c r="K451" s="5" t="n">
        <x:v>41.5</x:v>
      </x:c>
      <x:c r="L451" s="5" t="n">
        <x:v>2.05</x:v>
      </x:c>
      <x:c r="M451" s="1" t="n">
        <x:v>0</x:v>
      </x:c>
      <x:c r="N451" s="6" t="n">
        <x:v>0.89</x:v>
      </x:c>
      <x:c r="O451" s="1" t="str">
        <x:v>합격</x:v>
      </x:c>
      <x:c r="P451" s="1"/>
      <x:c r="Q451" s="1" t="n">
        <x:v>45</x:v>
      </x:c>
      <x:c r="R451" s="1" t="str">
        <x:v>N</x:v>
      </x:c>
      <x:c r="S451" s="1" t="n">
        <x:v>0</x:v>
      </x:c>
      <x:c r="T451" s="1" t="str">
        <x:v>합격</x:v>
      </x:c>
    </x:row>
    <x:row r="452" ht="22" customHeight="1">
      <x:c r="A452" s="1" t="str">
        <x:v>R00451</x:v>
      </x:c>
      <x:c r="B452" s="4" t="n">
        <x:v>46220.49116898148</x:v>
      </x:c>
      <x:c r="C452" s="1" t="str">
        <x:v>주간</x:v>
      </x:c>
      <x:c r="D452" s="1" t="str">
        <x:v>L1</x:v>
      </x:c>
      <x:c r="E452" s="1" t="str">
        <x:v>P1</x:v>
      </x:c>
      <x:c r="F452" s="1" t="str">
        <x:v>M01</x:v>
      </x:c>
      <x:c r="G452" s="1" t="str">
        <x:v>G01</x:v>
      </x:c>
      <x:c r="H452" s="5" t="n">
        <x:v>32.5</x:v>
      </x:c>
      <x:c r="I452" s="5" t="n">
        <x:v>5.98</x:v>
      </x:c>
      <x:c r="J452" s="5" t="n">
        <x:v>50.4</x:v>
      </x:c>
      <x:c r="K452" s="5" t="n">
        <x:v>38.7</x:v>
      </x:c>
      <x:c r="L452" s="5" t="n">
        <x:v>1.64</x:v>
      </x:c>
      <x:c r="M452" s="1" t="n">
        <x:v>0</x:v>
      </x:c>
      <x:c r="N452" s="6" t="n">
        <x:v>0.949</x:v>
      </x:c>
      <x:c r="O452" s="1" t="str">
        <x:v>합격</x:v>
      </x:c>
      <x:c r="P452" s="1"/>
      <x:c r="Q452" s="1" t="n">
        <x:v>41</x:v>
      </x:c>
      <x:c r="R452" s="1" t="str">
        <x:v>N</x:v>
      </x:c>
      <x:c r="S452" s="1" t="n">
        <x:v>0</x:v>
      </x:c>
      <x:c r="T452" s="1" t="str">
        <x:v>합격</x:v>
      </x:c>
    </x:row>
    <x:row r="453" ht="22" customHeight="1">
      <x:c r="A453" s="1" t="str">
        <x:v>R00452</x:v>
      </x:c>
      <x:c r="B453" s="4" t="n">
        <x:v>46221.039675925924</x:v>
      </x:c>
      <x:c r="C453" s="1" t="str">
        <x:v>야간</x:v>
      </x:c>
      <x:c r="D453" s="1" t="str">
        <x:v>L1</x:v>
      </x:c>
      <x:c r="E453" s="1" t="str">
        <x:v>P1</x:v>
      </x:c>
      <x:c r="F453" s="1" t="str">
        <x:v>M03</x:v>
      </x:c>
      <x:c r="G453" s="1" t="str">
        <x:v>G02</x:v>
      </x:c>
      <x:c r="H453" s="5" t="n">
        <x:v>26.18</x:v>
      </x:c>
      <x:c r="I453" s="5" t="n">
        <x:v>5.77</x:v>
      </x:c>
      <x:c r="J453" s="5" t="n">
        <x:v>52.5</x:v>
      </x:c>
      <x:c r="K453" s="5" t="n">
        <x:v>38</x:v>
      </x:c>
      <x:c r="L453" s="5" t="n">
        <x:v>1.63</x:v>
      </x:c>
      <x:c r="M453" s="1" t="n">
        <x:v>0</x:v>
      </x:c>
      <x:c r="N453" s="6" t="n">
        <x:v>0.948</x:v>
      </x:c>
      <x:c r="O453" s="1" t="str">
        <x:v>합격</x:v>
      </x:c>
      <x:c r="P453" s="1"/>
      <x:c r="Q453" s="1" t="n">
        <x:v>41</x:v>
      </x:c>
      <x:c r="R453" s="1" t="str">
        <x:v>N</x:v>
      </x:c>
      <x:c r="S453" s="1" t="n">
        <x:v>0</x:v>
      </x:c>
      <x:c r="T453" s="1" t="str">
        <x:v>합격</x:v>
      </x:c>
    </x:row>
    <x:row r="454" ht="22" customHeight="1">
      <x:c r="A454" s="1" t="str">
        <x:v>R00453</x:v>
      </x:c>
      <x:c r="B454" s="4" t="n">
        <x:v>46222.93503472222</x:v>
      </x:c>
      <x:c r="C454" s="1" t="str">
        <x:v>야간</x:v>
      </x:c>
      <x:c r="D454" s="1" t="str">
        <x:v>L1</x:v>
      </x:c>
      <x:c r="E454" s="1" t="str">
        <x:v>P1</x:v>
      </x:c>
      <x:c r="F454" s="1" t="str">
        <x:v>M04</x:v>
      </x:c>
      <x:c r="G454" s="1" t="str">
        <x:v>G03</x:v>
      </x:c>
      <x:c r="H454" s="5" t="n">
        <x:v>32.43</x:v>
      </x:c>
      <x:c r="I454" s="5" t="n">
        <x:v>5.77</x:v>
      </x:c>
      <x:c r="J454" s="5" t="n">
        <x:v>55</x:v>
      </x:c>
      <x:c r="K454" s="5" t="n">
        <x:v>41.7</x:v>
      </x:c>
      <x:c r="L454" s="5" t="n">
        <x:v>1.81</x:v>
      </x:c>
      <x:c r="M454" s="1" t="n">
        <x:v>1</x:v>
      </x:c>
      <x:c r="N454" s="6" t="n">
        <x:v>0.978</x:v>
      </x:c>
      <x:c r="O454" s="1" t="str">
        <x:v>합격</x:v>
      </x:c>
      <x:c r="P454" s="1"/>
      <x:c r="Q454" s="1" t="n">
        <x:v>49</x:v>
      </x:c>
      <x:c r="R454" s="1" t="str">
        <x:v>N</x:v>
      </x:c>
      <x:c r="S454" s="1" t="n">
        <x:v>0</x:v>
      </x:c>
      <x:c r="T454" s="1" t="str">
        <x:v>합격</x:v>
      </x:c>
    </x:row>
    <x:row r="455" ht="22" customHeight="1">
      <x:c r="A455" s="1" t="str">
        <x:v>R00454</x:v>
      </x:c>
      <x:c r="B455" s="4" t="n">
        <x:v>46223.469976851855</x:v>
      </x:c>
      <x:c r="C455" s="1" t="str">
        <x:v>주간</x:v>
      </x:c>
      <x:c r="D455" s="1" t="str">
        <x:v>L1</x:v>
      </x:c>
      <x:c r="E455" s="1" t="str">
        <x:v>P1</x:v>
      </x:c>
      <x:c r="F455" s="1" t="str">
        <x:v>M01</x:v>
      </x:c>
      <x:c r="G455" s="1" t="str">
        <x:v>G04</x:v>
      </x:c>
      <x:c r="H455" s="5" t="n">
        <x:v>30.4</x:v>
      </x:c>
      <x:c r="I455" s="5" t="n">
        <x:v>5.74</x:v>
      </x:c>
      <x:c r="J455" s="5" t="n">
        <x:v>51.7</x:v>
      </x:c>
      <x:c r="K455" s="5" t="n">
        <x:v>40.7</x:v>
      </x:c>
      <x:c r="L455" s="5" t="n">
        <x:v>2.04</x:v>
      </x:c>
      <x:c r="M455" s="1" t="n">
        <x:v>0</x:v>
      </x:c>
      <x:c r="N455" s="6" t="n">
        <x:v>0.893</x:v>
      </x:c>
      <x:c r="O455" s="1" t="str">
        <x:v>합격</x:v>
      </x:c>
      <x:c r="P455" s="1"/>
      <x:c r="Q455" s="1" t="n">
        <x:v>38</x:v>
      </x:c>
      <x:c r="R455" s="1" t="str">
        <x:v>N</x:v>
      </x:c>
      <x:c r="S455" s="1" t="n">
        <x:v>0</x:v>
      </x:c>
      <x:c r="T455" s="1" t="str">
        <x:v>합격</x:v>
      </x:c>
    </x:row>
    <x:row r="456" ht="22" customHeight="1">
      <x:c r="A456" s="1" t="str">
        <x:v>R00455</x:v>
      </x:c>
      <x:c r="B456" s="4" t="n">
        <x:v>46224.40646990741</x:v>
      </x:c>
      <x:c r="C456" s="1" t="str">
        <x:v>주간</x:v>
      </x:c>
      <x:c r="D456" s="1" t="str">
        <x:v>L2</x:v>
      </x:c>
      <x:c r="E456" s="1" t="str">
        <x:v>P2</x:v>
      </x:c>
      <x:c r="F456" s="1" t="str">
        <x:v>M04</x:v>
      </x:c>
      <x:c r="G456" s="1" t="str">
        <x:v>G05</x:v>
      </x:c>
      <x:c r="H456" s="5" t="n">
        <x:v>27.83</x:v>
      </x:c>
      <x:c r="I456" s="5" t="n">
        <x:v>5.72</x:v>
      </x:c>
      <x:c r="J456" s="5" t="n">
        <x:v>54.6</x:v>
      </x:c>
      <x:c r="K456" s="5" t="n">
        <x:v>40</x:v>
      </x:c>
      <x:c r="L456" s="5" t="n">
        <x:v>2.25</x:v>
      </x:c>
      <x:c r="M456" s="1" t="n">
        <x:v>1</x:v>
      </x:c>
      <x:c r="N456" s="6" t="n">
        <x:v>0.933</x:v>
      </x:c>
      <x:c r="O456" s="1" t="str">
        <x:v>합격</x:v>
      </x:c>
      <x:c r="P456" s="1"/>
      <x:c r="Q456" s="1" t="n">
        <x:v>41</x:v>
      </x:c>
      <x:c r="R456" s="1" t="str">
        <x:v>N</x:v>
      </x:c>
      <x:c r="S456" s="1" t="n">
        <x:v>0</x:v>
      </x:c>
      <x:c r="T456" s="1" t="str">
        <x:v>합격</x:v>
      </x:c>
    </x:row>
    <x:row r="457" ht="22" customHeight="1">
      <x:c r="A457" s="1" t="str">
        <x:v>R00456</x:v>
      </x:c>
      <x:c r="B457" s="4" t="n">
        <x:v>46225.479212962964</x:v>
      </x:c>
      <x:c r="C457" s="1" t="str">
        <x:v>주간</x:v>
      </x:c>
      <x:c r="D457" s="1" t="str">
        <x:v>L1</x:v>
      </x:c>
      <x:c r="E457" s="1" t="str">
        <x:v>P1</x:v>
      </x:c>
      <x:c r="F457" s="1" t="str">
        <x:v>M01</x:v>
      </x:c>
      <x:c r="G457" s="1" t="str">
        <x:v>G06</x:v>
      </x:c>
      <x:c r="H457" s="5" t="n">
        <x:v>30.02</x:v>
      </x:c>
      <x:c r="I457" s="5" t="n">
        <x:v>5.65</x:v>
      </x:c>
      <x:c r="J457" s="5" t="n">
        <x:v>54.7</x:v>
      </x:c>
      <x:c r="K457" s="5" t="n">
        <x:v>35.8</x:v>
      </x:c>
      <x:c r="L457" s="5" t="n">
        <x:v>1.52</x:v>
      </x:c>
      <x:c r="M457" s="1" t="n">
        <x:v>0</x:v>
      </x:c>
      <x:c r="N457" s="6" t="n">
        <x:v>1.033</x:v>
      </x:c>
      <x:c r="O457" s="1" t="str">
        <x:v>합격</x:v>
      </x:c>
      <x:c r="P457" s="1"/>
      <x:c r="Q457" s="1" t="n">
        <x:v>37</x:v>
      </x:c>
      <x:c r="R457" s="1" t="str">
        <x:v>N</x:v>
      </x:c>
      <x:c r="S457" s="1" t="n">
        <x:v>0</x:v>
      </x:c>
      <x:c r="T457" s="1" t="str">
        <x:v>합격</x:v>
      </x:c>
    </x:row>
    <x:row r="458" ht="22" customHeight="1">
      <x:c r="A458" s="1" t="str">
        <x:v>R00457</x:v>
      </x:c>
      <x:c r="B458" s="4" t="n">
        <x:v>46226.89194444445</x:v>
      </x:c>
      <x:c r="C458" s="1" t="str">
        <x:v>야간</x:v>
      </x:c>
      <x:c r="D458" s="1" t="str">
        <x:v>L2</x:v>
      </x:c>
      <x:c r="E458" s="1" t="str">
        <x:v>P2</x:v>
      </x:c>
      <x:c r="F458" s="1" t="str">
        <x:v>M01</x:v>
      </x:c>
      <x:c r="G458" s="1" t="str">
        <x:v>G01</x:v>
      </x:c>
      <x:c r="H458" s="5" t="n">
        <x:v>27.84</x:v>
      </x:c>
      <x:c r="I458" s="5" t="n">
        <x:v>5.9</x:v>
      </x:c>
      <x:c r="J458" s="5" t="n">
        <x:v>52.7</x:v>
      </x:c>
      <x:c r="K458" s="5" t="n">
        <x:v>41.1</x:v>
      </x:c>
      <x:c r="L458" s="5" t="n">
        <x:v>1.48</x:v>
      </x:c>
      <x:c r="M458" s="1" t="n">
        <x:v>0</x:v>
      </x:c>
      <x:c r="N458" s="6" t="n">
        <x:v>0.871</x:v>
      </x:c>
      <x:c r="O458" s="1" t="str">
        <x:v>불합격</x:v>
      </x:c>
      <x:c r="P458" s="1" t="str">
        <x:v>작동불량</x:v>
      </x:c>
      <x:c r="Q458" s="1" t="n">
        <x:v>35</x:v>
      </x:c>
      <x:c r="R458" s="1" t="str">
        <x:v>Y</x:v>
      </x:c>
      <x:c r="S458" s="1" t="n">
        <x:v>9</x:v>
      </x:c>
      <x:c r="T458" s="1" t="str">
        <x:v>재작업후합격</x:v>
      </x:c>
    </x:row>
    <x:row r="459" ht="22" customHeight="1">
      <x:c r="A459" s="1" t="str">
        <x:v>R00458</x:v>
      </x:c>
      <x:c r="B459" s="4" t="n">
        <x:v>46227.96215277778</x:v>
      </x:c>
      <x:c r="C459" s="1" t="str">
        <x:v>야간</x:v>
      </x:c>
      <x:c r="D459" s="1" t="str">
        <x:v>L1</x:v>
      </x:c>
      <x:c r="E459" s="1" t="str">
        <x:v>P1</x:v>
      </x:c>
      <x:c r="F459" s="1" t="str">
        <x:v>M03</x:v>
      </x:c>
      <x:c r="G459" s="1" t="str">
        <x:v>G02</x:v>
      </x:c>
      <x:c r="H459" s="5" t="n">
        <x:v>25.88</x:v>
      </x:c>
      <x:c r="I459" s="5" t="n">
        <x:v>5.63</x:v>
      </x:c>
      <x:c r="J459" s="5" t="n">
        <x:v>57.6</x:v>
      </x:c>
      <x:c r="K459" s="5" t="n">
        <x:v>35.9</x:v>
      </x:c>
      <x:c r="L459" s="5" t="n">
        <x:v>1.33</x:v>
      </x:c>
      <x:c r="M459" s="1" t="n">
        <x:v>0</x:v>
      </x:c>
      <x:c r="N459" s="6" t="n">
        <x:v>0.93</x:v>
      </x:c>
      <x:c r="O459" s="1" t="str">
        <x:v>합격</x:v>
      </x:c>
      <x:c r="P459" s="1"/>
      <x:c r="Q459" s="1" t="n">
        <x:v>49</x:v>
      </x:c>
      <x:c r="R459" s="1" t="str">
        <x:v>N</x:v>
      </x:c>
      <x:c r="S459" s="1" t="n">
        <x:v>0</x:v>
      </x:c>
      <x:c r="T459" s="1" t="str">
        <x:v>합격</x:v>
      </x:c>
    </x:row>
    <x:row r="460" ht="22" customHeight="1">
      <x:c r="A460" s="1" t="str">
        <x:v>R00459</x:v>
      </x:c>
      <x:c r="B460" s="4" t="n">
        <x:v>46228.114756944444</x:v>
      </x:c>
      <x:c r="C460" s="1" t="str">
        <x:v>야간</x:v>
      </x:c>
      <x:c r="D460" s="1" t="str">
        <x:v>L2</x:v>
      </x:c>
      <x:c r="E460" s="1" t="str">
        <x:v>P2</x:v>
      </x:c>
      <x:c r="F460" s="1" t="str">
        <x:v>M02</x:v>
      </x:c>
      <x:c r="G460" s="1" t="str">
        <x:v>G03</x:v>
      </x:c>
      <x:c r="H460" s="5" t="n">
        <x:v>30.71</x:v>
      </x:c>
      <x:c r="I460" s="5" t="n">
        <x:v>5.69</x:v>
      </x:c>
      <x:c r="J460" s="5" t="n">
        <x:v>56.2</x:v>
      </x:c>
      <x:c r="K460" s="5" t="n">
        <x:v>38.5</x:v>
      </x:c>
      <x:c r="L460" s="5" t="n">
        <x:v>2.49</x:v>
      </x:c>
      <x:c r="M460" s="1" t="n">
        <x:v>0</x:v>
      </x:c>
      <x:c r="N460" s="6" t="n">
        <x:v>0.942</x:v>
      </x:c>
      <x:c r="O460" s="1" t="str">
        <x:v>합격</x:v>
      </x:c>
      <x:c r="P460" s="1"/>
      <x:c r="Q460" s="1" t="n">
        <x:v>48</x:v>
      </x:c>
      <x:c r="R460" s="1" t="str">
        <x:v>N</x:v>
      </x:c>
      <x:c r="S460" s="1" t="n">
        <x:v>0</x:v>
      </x:c>
      <x:c r="T460" s="1" t="str">
        <x:v>합격</x:v>
      </x:c>
    </x:row>
    <x:row r="461" ht="22" customHeight="1">
      <x:c r="A461" s="1" t="str">
        <x:v>R00460</x:v>
      </x:c>
      <x:c r="B461" s="4" t="n">
        <x:v>46229.41501157408</x:v>
      </x:c>
      <x:c r="C461" s="1" t="str">
        <x:v>주간</x:v>
      </x:c>
      <x:c r="D461" s="1" t="str">
        <x:v>L2</x:v>
      </x:c>
      <x:c r="E461" s="1" t="str">
        <x:v>P2</x:v>
      </x:c>
      <x:c r="F461" s="1" t="str">
        <x:v>M04</x:v>
      </x:c>
      <x:c r="G461" s="1" t="str">
        <x:v>G04</x:v>
      </x:c>
      <x:c r="H461" s="5" t="n">
        <x:v>30.78</x:v>
      </x:c>
      <x:c r="I461" s="5" t="n">
        <x:v>5.79</x:v>
      </x:c>
      <x:c r="J461" s="5" t="n">
        <x:v>54.8</x:v>
      </x:c>
      <x:c r="K461" s="5" t="n">
        <x:v>35.1</x:v>
      </x:c>
      <x:c r="L461" s="5" t="n">
        <x:v>2.2</x:v>
      </x:c>
      <x:c r="M461" s="1" t="n">
        <x:v>0</x:v>
      </x:c>
      <x:c r="N461" s="6" t="n">
        <x:v>1.014</x:v>
      </x:c>
      <x:c r="O461" s="1" t="str">
        <x:v>합격</x:v>
      </x:c>
      <x:c r="P461" s="1"/>
      <x:c r="Q461" s="1" t="n">
        <x:v>40</x:v>
      </x:c>
      <x:c r="R461" s="1" t="str">
        <x:v>N</x:v>
      </x:c>
      <x:c r="S461" s="1" t="n">
        <x:v>0</x:v>
      </x:c>
      <x:c r="T461" s="1" t="str">
        <x:v>합격</x:v>
      </x:c>
    </x:row>
    <x:row r="462" ht="22" customHeight="1">
      <x:c r="A462" s="1" t="str">
        <x:v>R00461</x:v>
      </x:c>
      <x:c r="B462" s="4" t="n">
        <x:v>46230.9146875</x:v>
      </x:c>
      <x:c r="C462" s="1" t="str">
        <x:v>야간</x:v>
      </x:c>
      <x:c r="D462" s="1" t="str">
        <x:v>L2</x:v>
      </x:c>
      <x:c r="E462" s="1" t="str">
        <x:v>P2</x:v>
      </x:c>
      <x:c r="F462" s="1" t="str">
        <x:v>M02</x:v>
      </x:c>
      <x:c r="G462" s="1" t="str">
        <x:v>G05</x:v>
      </x:c>
      <x:c r="H462" s="5" t="n">
        <x:v>31.5</x:v>
      </x:c>
      <x:c r="I462" s="5" t="n">
        <x:v>5.94</x:v>
      </x:c>
      <x:c r="J462" s="5" t="n">
        <x:v>57.4</x:v>
      </x:c>
      <x:c r="K462" s="5" t="n">
        <x:v>39.7</x:v>
      </x:c>
      <x:c r="L462" s="5" t="n">
        <x:v>2.5</x:v>
      </x:c>
      <x:c r="M462" s="1" t="n">
        <x:v>1</x:v>
      </x:c>
      <x:c r="N462" s="6" t="n">
        <x:v>0.927</x:v>
      </x:c>
      <x:c r="O462" s="1" t="str">
        <x:v>합격</x:v>
      </x:c>
      <x:c r="P462" s="1"/>
      <x:c r="Q462" s="1" t="n">
        <x:v>45</x:v>
      </x:c>
      <x:c r="R462" s="1" t="str">
        <x:v>N</x:v>
      </x:c>
      <x:c r="S462" s="1" t="n">
        <x:v>0</x:v>
      </x:c>
      <x:c r="T462" s="1" t="str">
        <x:v>합격</x:v>
      </x:c>
    </x:row>
    <x:row r="463" ht="22" customHeight="1">
      <x:c r="A463" s="1" t="str">
        <x:v>R00462</x:v>
      </x:c>
      <x:c r="B463" s="4" t="n">
        <x:v>46231.09239583334</x:v>
      </x:c>
      <x:c r="C463" s="1" t="str">
        <x:v>야간</x:v>
      </x:c>
      <x:c r="D463" s="1" t="str">
        <x:v>L1</x:v>
      </x:c>
      <x:c r="E463" s="1" t="str">
        <x:v>P1</x:v>
      </x:c>
      <x:c r="F463" s="1" t="str">
        <x:v>M04</x:v>
      </x:c>
      <x:c r="G463" s="1" t="str">
        <x:v>G06</x:v>
      </x:c>
      <x:c r="H463" s="5" t="n">
        <x:v>28.49</x:v>
      </x:c>
      <x:c r="I463" s="5" t="n">
        <x:v>5.73</x:v>
      </x:c>
      <x:c r="J463" s="5" t="n">
        <x:v>48.2</x:v>
      </x:c>
      <x:c r="K463" s="5" t="n">
        <x:v>39</x:v>
      </x:c>
      <x:c r="L463" s="5" t="n">
        <x:v>2.03</x:v>
      </x:c>
      <x:c r="M463" s="1" t="n">
        <x:v>0</x:v>
      </x:c>
      <x:c r="N463" s="6" t="n">
        <x:v>0.855</x:v>
      </x:c>
      <x:c r="O463" s="1" t="str">
        <x:v>합격</x:v>
      </x:c>
      <x:c r="P463" s="1"/>
      <x:c r="Q463" s="1" t="n">
        <x:v>41</x:v>
      </x:c>
      <x:c r="R463" s="1" t="str">
        <x:v>N</x:v>
      </x:c>
      <x:c r="S463" s="1" t="n">
        <x:v>0</x:v>
      </x:c>
      <x:c r="T463" s="1" t="str">
        <x:v>합격</x:v>
      </x:c>
    </x:row>
    <x:row r="464" ht="22" customHeight="1">
      <x:c r="A464" s="1" t="str">
        <x:v>R00463</x:v>
      </x:c>
      <x:c r="B464" s="4" t="n">
        <x:v>46232.159004629626</x:v>
      </x:c>
      <x:c r="C464" s="1" t="str">
        <x:v>야간</x:v>
      </x:c>
      <x:c r="D464" s="1" t="str">
        <x:v>L2</x:v>
      </x:c>
      <x:c r="E464" s="1" t="str">
        <x:v>P2</x:v>
      </x:c>
      <x:c r="F464" s="1" t="str">
        <x:v>M01</x:v>
      </x:c>
      <x:c r="G464" s="1" t="str">
        <x:v>G01</x:v>
      </x:c>
      <x:c r="H464" s="5" t="n">
        <x:v>28.09</x:v>
      </x:c>
      <x:c r="I464" s="5" t="n">
        <x:v>5.65</x:v>
      </x:c>
      <x:c r="J464" s="5" t="n">
        <x:v>53.9</x:v>
      </x:c>
      <x:c r="K464" s="5" t="n">
        <x:v>39.6</x:v>
      </x:c>
      <x:c r="L464" s="5" t="n">
        <x:v>1.86</x:v>
      </x:c>
      <x:c r="M464" s="1" t="n">
        <x:v>1</x:v>
      </x:c>
      <x:c r="N464" s="6" t="n">
        <x:v>1.036</x:v>
      </x:c>
      <x:c r="O464" s="1" t="str">
        <x:v>합격</x:v>
      </x:c>
      <x:c r="P464" s="1"/>
      <x:c r="Q464" s="1" t="n">
        <x:v>41</x:v>
      </x:c>
      <x:c r="R464" s="1" t="str">
        <x:v>N</x:v>
      </x:c>
      <x:c r="S464" s="1" t="n">
        <x:v>0</x:v>
      </x:c>
      <x:c r="T464" s="1" t="str">
        <x:v>합격</x:v>
      </x:c>
    </x:row>
    <x:row r="465" ht="22" customHeight="1">
      <x:c r="A465" s="1" t="str">
        <x:v>R00464</x:v>
      </x:c>
      <x:c r="B465" s="4" t="n">
        <x:v>46233.4065162037</x:v>
      </x:c>
      <x:c r="C465" s="1" t="str">
        <x:v>주간</x:v>
      </x:c>
      <x:c r="D465" s="1" t="str">
        <x:v>L2</x:v>
      </x:c>
      <x:c r="E465" s="1" t="str">
        <x:v>P2</x:v>
      </x:c>
      <x:c r="F465" s="1" t="str">
        <x:v>M02</x:v>
      </x:c>
      <x:c r="G465" s="1" t="str">
        <x:v>G02</x:v>
      </x:c>
      <x:c r="H465" s="5" t="n">
        <x:v>28.82</x:v>
      </x:c>
      <x:c r="I465" s="5" t="n">
        <x:v>5.75</x:v>
      </x:c>
      <x:c r="J465" s="5" t="n">
        <x:v>49.8</x:v>
      </x:c>
      <x:c r="K465" s="5" t="n">
        <x:v>39.7</x:v>
      </x:c>
      <x:c r="L465" s="5"/>
      <x:c r="M465" s="1" t="n">
        <x:v>1</x:v>
      </x:c>
      <x:c r="N465" s="6" t="n">
        <x:v>0.998</x:v>
      </x:c>
      <x:c r="O465" s="1" t="str">
        <x:v>합격</x:v>
      </x:c>
      <x:c r="P465" s="1"/>
      <x:c r="Q465" s="1" t="n">
        <x:v>42</x:v>
      </x:c>
      <x:c r="R465" s="1" t="str">
        <x:v>N</x:v>
      </x:c>
      <x:c r="S465" s="1" t="n">
        <x:v>0</x:v>
      </x:c>
      <x:c r="T465" s="1" t="str">
        <x:v>합격</x:v>
      </x:c>
    </x:row>
    <x:row r="466" ht="22" customHeight="1">
      <x:c r="A466" s="1" t="str">
        <x:v>R00465</x:v>
      </x:c>
      <x:c r="B466" s="4" t="n">
        <x:v>46234.10398148148</x:v>
      </x:c>
      <x:c r="C466" s="1" t="str">
        <x:v>야간</x:v>
      </x:c>
      <x:c r="D466" s="1" t="str">
        <x:v>L1</x:v>
      </x:c>
      <x:c r="E466" s="1" t="str">
        <x:v>P1</x:v>
      </x:c>
      <x:c r="F466" s="1" t="str">
        <x:v>M03</x:v>
      </x:c>
      <x:c r="G466" s="1" t="str">
        <x:v>G03</x:v>
      </x:c>
      <x:c r="H466" s="5" t="n">
        <x:v>31.04</x:v>
      </x:c>
      <x:c r="I466" s="5" t="n">
        <x:v>5.84</x:v>
      </x:c>
      <x:c r="J466" s="5" t="n">
        <x:v>57.3</x:v>
      </x:c>
      <x:c r="K466" s="5" t="n">
        <x:v>41.1</x:v>
      </x:c>
      <x:c r="L466" s="5" t="n">
        <x:v>2.54</x:v>
      </x:c>
      <x:c r="M466" s="1" t="n">
        <x:v>1</x:v>
      </x:c>
      <x:c r="N466" s="6" t="n">
        <x:v>0.906</x:v>
      </x:c>
      <x:c r="O466" s="1" t="str">
        <x:v>합격</x:v>
      </x:c>
      <x:c r="P466" s="1"/>
      <x:c r="Q466" s="1" t="n">
        <x:v>39</x:v>
      </x:c>
      <x:c r="R466" s="1" t="str">
        <x:v>N</x:v>
      </x:c>
      <x:c r="S466" s="1" t="n">
        <x:v>0</x:v>
      </x:c>
      <x:c r="T466" s="1" t="str">
        <x:v>합격</x:v>
      </x:c>
    </x:row>
    <x:row r="467" ht="22" customHeight="1">
      <x:c r="A467" s="1" t="str">
        <x:v>R00466</x:v>
      </x:c>
      <x:c r="B467" s="4" t="n">
        <x:v>46204.84287037037</x:v>
      </x:c>
      <x:c r="C467" s="1" t="str">
        <x:v>야간</x:v>
      </x:c>
      <x:c r="D467" s="1" t="str">
        <x:v>L1</x:v>
      </x:c>
      <x:c r="E467" s="1" t="str">
        <x:v>P1</x:v>
      </x:c>
      <x:c r="F467" s="1" t="str">
        <x:v>M04</x:v>
      </x:c>
      <x:c r="G467" s="1" t="str">
        <x:v>G04</x:v>
      </x:c>
      <x:c r="H467" s="5" t="n">
        <x:v>28.56</x:v>
      </x:c>
      <x:c r="I467" s="5" t="n">
        <x:v>5.61</x:v>
      </x:c>
      <x:c r="J467" s="5" t="n">
        <x:v>49.1</x:v>
      </x:c>
      <x:c r="K467" s="5" t="n">
        <x:v>36.8</x:v>
      </x:c>
      <x:c r="L467" s="5" t="n">
        <x:v>1.95</x:v>
      </x:c>
      <x:c r="M467" s="1" t="n">
        <x:v>1</x:v>
      </x:c>
      <x:c r="N467" s="6" t="n">
        <x:v>0.978</x:v>
      </x:c>
      <x:c r="O467" s="1" t="str">
        <x:v>합격</x:v>
      </x:c>
      <x:c r="P467" s="1"/>
      <x:c r="Q467" s="1" t="n">
        <x:v>41</x:v>
      </x:c>
      <x:c r="R467" s="1" t="str">
        <x:v>N</x:v>
      </x:c>
      <x:c r="S467" s="1" t="n">
        <x:v>0</x:v>
      </x:c>
      <x:c r="T467" s="1" t="str">
        <x:v>합격</x:v>
      </x:c>
    </x:row>
    <x:row r="468" ht="22" customHeight="1">
      <x:c r="A468" s="1" t="str">
        <x:v>R00467</x:v>
      </x:c>
      <x:c r="B468" s="4" t="n">
        <x:v>46205.44363425926</x:v>
      </x:c>
      <x:c r="C468" s="1" t="str">
        <x:v>주간</x:v>
      </x:c>
      <x:c r="D468" s="1" t="str">
        <x:v>L2</x:v>
      </x:c>
      <x:c r="E468" s="1" t="str">
        <x:v>P2</x:v>
      </x:c>
      <x:c r="F468" s="1" t="str">
        <x:v>M02</x:v>
      </x:c>
      <x:c r="G468" s="1" t="str">
        <x:v>G05</x:v>
      </x:c>
      <x:c r="H468" s="5" t="n">
        <x:v>31.34</x:v>
      </x:c>
      <x:c r="I468" s="5" t="n">
        <x:v>5.82</x:v>
      </x:c>
      <x:c r="J468" s="5" t="n">
        <x:v>52.5</x:v>
      </x:c>
      <x:c r="K468" s="5" t="n">
        <x:v>36.5</x:v>
      </x:c>
      <x:c r="L468" s="5" t="n">
        <x:v>1.86</x:v>
      </x:c>
      <x:c r="M468" s="1" t="n">
        <x:v>1</x:v>
      </x:c>
      <x:c r="N468" s="6" t="n">
        <x:v>1.05</x:v>
      </x:c>
      <x:c r="O468" s="1" t="str">
        <x:v>합격</x:v>
      </x:c>
      <x:c r="P468" s="1"/>
      <x:c r="Q468" s="1" t="n">
        <x:v>42</x:v>
      </x:c>
      <x:c r="R468" s="1" t="str">
        <x:v>N</x:v>
      </x:c>
      <x:c r="S468" s="1" t="n">
        <x:v>0</x:v>
      </x:c>
      <x:c r="T468" s="1" t="str">
        <x:v>합격</x:v>
      </x:c>
    </x:row>
    <x:row r="469" ht="22" customHeight="1">
      <x:c r="A469" s="1" t="str">
        <x:v>R00468</x:v>
      </x:c>
      <x:c r="B469" s="4" t="n">
        <x:v>46206.08550925926</x:v>
      </x:c>
      <x:c r="C469" s="1" t="str">
        <x:v>야간</x:v>
      </x:c>
      <x:c r="D469" s="1" t="str">
        <x:v>L2</x:v>
      </x:c>
      <x:c r="E469" s="1" t="str">
        <x:v>P2</x:v>
      </x:c>
      <x:c r="F469" s="1" t="str">
        <x:v>M01</x:v>
      </x:c>
      <x:c r="G469" s="1" t="str">
        <x:v>G06</x:v>
      </x:c>
      <x:c r="H469" s="5" t="n">
        <x:v>27.68</x:v>
      </x:c>
      <x:c r="I469" s="5" t="n">
        <x:v>5.71</x:v>
      </x:c>
      <x:c r="J469" s="5" t="n">
        <x:v>47.5</x:v>
      </x:c>
      <x:c r="K469" s="5" t="n">
        <x:v>36.1</x:v>
      </x:c>
      <x:c r="L469" s="5" t="n">
        <x:v>1.81</x:v>
      </x:c>
      <x:c r="M469" s="1" t="n">
        <x:v>0</x:v>
      </x:c>
      <x:c r="N469" s="6" t="n">
        <x:v>0.985</x:v>
      </x:c>
      <x:c r="O469" s="1" t="str">
        <x:v>합격</x:v>
      </x:c>
      <x:c r="P469" s="1"/>
      <x:c r="Q469" s="1" t="n">
        <x:v>49</x:v>
      </x:c>
      <x:c r="R469" s="1" t="str">
        <x:v>N</x:v>
      </x:c>
      <x:c r="S469" s="1" t="n">
        <x:v>0</x:v>
      </x:c>
      <x:c r="T469" s="1" t="str">
        <x:v>합격</x:v>
      </x:c>
    </x:row>
    <x:row r="470" ht="22" customHeight="1">
      <x:c r="A470" s="1" t="str">
        <x:v>R00469</x:v>
      </x:c>
      <x:c r="B470" s="4" t="n">
        <x:v>46207.63582175926</x:v>
      </x:c>
      <x:c r="C470" s="1" t="str">
        <x:v>주간</x:v>
      </x:c>
      <x:c r="D470" s="1" t="str">
        <x:v>L1</x:v>
      </x:c>
      <x:c r="E470" s="1" t="str">
        <x:v>P1</x:v>
      </x:c>
      <x:c r="F470" s="1" t="str">
        <x:v>M01</x:v>
      </x:c>
      <x:c r="G470" s="1" t="str">
        <x:v>G01</x:v>
      </x:c>
      <x:c r="H470" s="5" t="n">
        <x:v>29.75</x:v>
      </x:c>
      <x:c r="I470" s="5" t="n">
        <x:v>5.88</x:v>
      </x:c>
      <x:c r="J470" s="5" t="n">
        <x:v>55.9</x:v>
      </x:c>
      <x:c r="K470" s="5" t="n">
        <x:v>36.5</x:v>
      </x:c>
      <x:c r="L470" s="5" t="n">
        <x:v>1.35</x:v>
      </x:c>
      <x:c r="M470" s="1" t="n">
        <x:v>0</x:v>
      </x:c>
      <x:c r="N470" s="6" t="n">
        <x:v>0.96</x:v>
      </x:c>
      <x:c r="O470" s="1" t="str">
        <x:v>합격</x:v>
      </x:c>
      <x:c r="P470" s="1"/>
      <x:c r="Q470" s="1" t="n">
        <x:v>39</x:v>
      </x:c>
      <x:c r="R470" s="1" t="str">
        <x:v>N</x:v>
      </x:c>
      <x:c r="S470" s="1" t="n">
        <x:v>0</x:v>
      </x:c>
      <x:c r="T470" s="1" t="str">
        <x:v>합격</x:v>
      </x:c>
    </x:row>
    <x:row r="471" ht="22" customHeight="1">
      <x:c r="A471" s="1" t="str">
        <x:v>R00470</x:v>
      </x:c>
      <x:c r="B471" s="4" t="n">
        <x:v>46208.50375</x:v>
      </x:c>
      <x:c r="C471" s="1" t="str">
        <x:v>주간</x:v>
      </x:c>
      <x:c r="D471" s="1" t="str">
        <x:v>L2</x:v>
      </x:c>
      <x:c r="E471" s="1" t="str">
        <x:v>P2</x:v>
      </x:c>
      <x:c r="F471" s="1" t="str">
        <x:v>M02</x:v>
      </x:c>
      <x:c r="G471" s="1" t="str">
        <x:v>G02</x:v>
      </x:c>
      <x:c r="H471" s="5" t="n">
        <x:v>28.15</x:v>
      </x:c>
      <x:c r="I471" s="5" t="n">
        <x:v>5.64</x:v>
      </x:c>
      <x:c r="J471" s="5" t="n">
        <x:v>50.6</x:v>
      </x:c>
      <x:c r="K471" s="5" t="n">
        <x:v>35.6</x:v>
      </x:c>
      <x:c r="L471" s="5" t="n">
        <x:v>2.49</x:v>
      </x:c>
      <x:c r="M471" s="1" t="n">
        <x:v>1</x:v>
      </x:c>
      <x:c r="N471" s="6" t="n">
        <x:v>0.934</x:v>
      </x:c>
      <x:c r="O471" s="1" t="str">
        <x:v>합격</x:v>
      </x:c>
      <x:c r="P471" s="1"/>
      <x:c r="Q471" s="1" t="n">
        <x:v>41</x:v>
      </x:c>
      <x:c r="R471" s="1" t="str">
        <x:v>N</x:v>
      </x:c>
      <x:c r="S471" s="1" t="n">
        <x:v>0</x:v>
      </x:c>
      <x:c r="T471" s="1" t="str">
        <x:v>합격</x:v>
      </x:c>
    </x:row>
    <x:row r="472" ht="22" customHeight="1">
      <x:c r="A472" s="1" t="str">
        <x:v>R00471</x:v>
      </x:c>
      <x:c r="B472" s="4" t="n">
        <x:v>46209.031793981485</x:v>
      </x:c>
      <x:c r="C472" s="1" t="str">
        <x:v>야간</x:v>
      </x:c>
      <x:c r="D472" s="1" t="str">
        <x:v>L2</x:v>
      </x:c>
      <x:c r="E472" s="1" t="str">
        <x:v>P2</x:v>
      </x:c>
      <x:c r="F472" s="1" t="str">
        <x:v>M02</x:v>
      </x:c>
      <x:c r="G472" s="1" t="str">
        <x:v>G03</x:v>
      </x:c>
      <x:c r="H472" s="5" t="n">
        <x:v>31.13</x:v>
      </x:c>
      <x:c r="I472" s="5" t="n">
        <x:v>5.91</x:v>
      </x:c>
      <x:c r="J472" s="5" t="n">
        <x:v>54.7</x:v>
      </x:c>
      <x:c r="K472" s="5" t="n">
        <x:v>39.5</x:v>
      </x:c>
      <x:c r="L472" s="5" t="n">
        <x:v>2.02</x:v>
      </x:c>
      <x:c r="M472" s="1" t="n">
        <x:v>0</x:v>
      </x:c>
      <x:c r="N472" s="6" t="n">
        <x:v>0.87</x:v>
      </x:c>
      <x:c r="O472" s="1" t="str">
        <x:v>합격</x:v>
      </x:c>
      <x:c r="P472" s="1"/>
      <x:c r="Q472" s="1" t="n">
        <x:v>37</x:v>
      </x:c>
      <x:c r="R472" s="1" t="str">
        <x:v>N</x:v>
      </x:c>
      <x:c r="S472" s="1" t="n">
        <x:v>0</x:v>
      </x:c>
      <x:c r="T472" s="1" t="str">
        <x:v>합격</x:v>
      </x:c>
    </x:row>
    <x:row r="473" ht="22" customHeight="1">
      <x:c r="A473" s="1" t="str">
        <x:v>R00472</x:v>
      </x:c>
      <x:c r="B473" s="4" t="n">
        <x:v>46210.58456018518</x:v>
      </x:c>
      <x:c r="C473" s="1" t="str">
        <x:v>주간</x:v>
      </x:c>
      <x:c r="D473" s="1" t="str">
        <x:v>L1</x:v>
      </x:c>
      <x:c r="E473" s="1" t="str">
        <x:v>P1</x:v>
      </x:c>
      <x:c r="F473" s="1" t="str">
        <x:v>M01</x:v>
      </x:c>
      <x:c r="G473" s="1" t="str">
        <x:v>G04</x:v>
      </x:c>
      <x:c r="H473" s="5"/>
      <x:c r="I473" s="5" t="n">
        <x:v>5.73</x:v>
      </x:c>
      <x:c r="J473" s="5" t="n">
        <x:v>56.4</x:v>
      </x:c>
      <x:c r="K473" s="5" t="n">
        <x:v>41.4</x:v>
      </x:c>
      <x:c r="L473" s="5" t="n">
        <x:v>2.06</x:v>
      </x:c>
      <x:c r="M473" s="1" t="n">
        <x:v>0</x:v>
      </x:c>
      <x:c r="N473" s="6" t="n">
        <x:v>1.037</x:v>
      </x:c>
      <x:c r="O473" s="1" t="str">
        <x:v>합격</x:v>
      </x:c>
      <x:c r="P473" s="1"/>
      <x:c r="Q473" s="1" t="n">
        <x:v>47</x:v>
      </x:c>
      <x:c r="R473" s="1" t="str">
        <x:v>N</x:v>
      </x:c>
      <x:c r="S473" s="1" t="n">
        <x:v>0</x:v>
      </x:c>
      <x:c r="T473" s="1" t="str">
        <x:v>합격</x:v>
      </x:c>
    </x:row>
    <x:row r="474" ht="22" customHeight="1">
      <x:c r="A474" s="1" t="str">
        <x:v>R00473</x:v>
      </x:c>
      <x:c r="B474" s="4" t="n">
        <x:v>46211.46886574074</x:v>
      </x:c>
      <x:c r="C474" s="1" t="str">
        <x:v>주간</x:v>
      </x:c>
      <x:c r="D474" s="1" t="str">
        <x:v>L1</x:v>
      </x:c>
      <x:c r="E474" s="1" t="str">
        <x:v>P1</x:v>
      </x:c>
      <x:c r="F474" s="1" t="str">
        <x:v>M01</x:v>
      </x:c>
      <x:c r="G474" s="1" t="str">
        <x:v>G05</x:v>
      </x:c>
      <x:c r="H474" s="5" t="n">
        <x:v>29.22</x:v>
      </x:c>
      <x:c r="I474" s="5" t="n">
        <x:v>5.94</x:v>
      </x:c>
      <x:c r="J474" s="5" t="n">
        <x:v>57.5</x:v>
      </x:c>
      <x:c r="K474" s="5" t="n">
        <x:v>39.2</x:v>
      </x:c>
      <x:c r="L474" s="5" t="n">
        <x:v>1.76</x:v>
      </x:c>
      <x:c r="M474" s="1" t="n">
        <x:v>1</x:v>
      </x:c>
      <x:c r="N474" s="6" t="n">
        <x:v>1.015</x:v>
      </x:c>
      <x:c r="O474" s="1" t="str">
        <x:v>합격</x:v>
      </x:c>
      <x:c r="P474" s="1"/>
      <x:c r="Q474" s="1" t="n">
        <x:v>39</x:v>
      </x:c>
      <x:c r="R474" s="1" t="str">
        <x:v>N</x:v>
      </x:c>
      <x:c r="S474" s="1" t="n">
        <x:v>0</x:v>
      </x:c>
      <x:c r="T474" s="1" t="str">
        <x:v>합격</x:v>
      </x:c>
    </x:row>
    <x:row r="475" ht="22" customHeight="1">
      <x:c r="A475" s="1" t="str">
        <x:v>R00474</x:v>
      </x:c>
      <x:c r="B475" s="4" t="n">
        <x:v>46212.367418981485</x:v>
      </x:c>
      <x:c r="C475" s="1" t="str">
        <x:v>주간</x:v>
      </x:c>
      <x:c r="D475" s="1" t="str">
        <x:v>L2</x:v>
      </x:c>
      <x:c r="E475" s="1" t="str">
        <x:v>P2</x:v>
      </x:c>
      <x:c r="F475" s="1" t="str">
        <x:v>M02</x:v>
      </x:c>
      <x:c r="G475" s="1" t="str">
        <x:v>G06</x:v>
      </x:c>
      <x:c r="H475" s="5" t="n">
        <x:v>30.53</x:v>
      </x:c>
      <x:c r="I475" s="5" t="n">
        <x:v>5.94</x:v>
      </x:c>
      <x:c r="J475" s="5" t="n">
        <x:v>58.6</x:v>
      </x:c>
      <x:c r="K475" s="5" t="n">
        <x:v>37.3</x:v>
      </x:c>
      <x:c r="L475" s="5" t="n">
        <x:v>1.93</x:v>
      </x:c>
      <x:c r="M475" s="1" t="n">
        <x:v>0</x:v>
      </x:c>
      <x:c r="N475" s="6" t="n">
        <x:v>1.011</x:v>
      </x:c>
      <x:c r="O475" s="1" t="str">
        <x:v>합격</x:v>
      </x:c>
      <x:c r="P475" s="1"/>
      <x:c r="Q475" s="1" t="n">
        <x:v>43</x:v>
      </x:c>
      <x:c r="R475" s="1" t="str">
        <x:v>N</x:v>
      </x:c>
      <x:c r="S475" s="1" t="n">
        <x:v>0</x:v>
      </x:c>
      <x:c r="T475" s="1" t="str">
        <x:v>합격</x:v>
      </x:c>
    </x:row>
    <x:row r="476" ht="22" customHeight="1">
      <x:c r="A476" s="1" t="str">
        <x:v>R00475</x:v>
      </x:c>
      <x:c r="B476" s="4" t="n">
        <x:v>46213.4846875</x:v>
      </x:c>
      <x:c r="C476" s="1" t="str">
        <x:v>주간</x:v>
      </x:c>
      <x:c r="D476" s="1" t="str">
        <x:v>L1</x:v>
      </x:c>
      <x:c r="E476" s="1" t="str">
        <x:v>P1</x:v>
      </x:c>
      <x:c r="F476" s="1" t="str">
        <x:v>M01</x:v>
      </x:c>
      <x:c r="G476" s="1" t="str">
        <x:v>G01</x:v>
      </x:c>
      <x:c r="H476" s="5" t="n">
        <x:v>30.92</x:v>
      </x:c>
      <x:c r="I476" s="5" t="n">
        <x:v>5.61</x:v>
      </x:c>
      <x:c r="J476" s="5" t="n">
        <x:v>56.3</x:v>
      </x:c>
      <x:c r="K476" s="5" t="n">
        <x:v>37.1</x:v>
      </x:c>
      <x:c r="L476" s="5" t="n">
        <x:v>2.12</x:v>
      </x:c>
      <x:c r="M476" s="1" t="n">
        <x:v>1</x:v>
      </x:c>
      <x:c r="N476" s="6" t="n">
        <x:v>0.995</x:v>
      </x:c>
      <x:c r="O476" s="1" t="str">
        <x:v>합격</x:v>
      </x:c>
      <x:c r="P476" s="1"/>
      <x:c r="Q476" s="1" t="n">
        <x:v>37</x:v>
      </x:c>
      <x:c r="R476" s="1" t="str">
        <x:v>N</x:v>
      </x:c>
      <x:c r="S476" s="1" t="n">
        <x:v>0</x:v>
      </x:c>
      <x:c r="T476" s="1" t="str">
        <x:v>합격</x:v>
      </x:c>
    </x:row>
    <x:row r="477" ht="22" customHeight="1">
      <x:c r="A477" s="1" t="str">
        <x:v>R00476</x:v>
      </x:c>
      <x:c r="B477" s="4" t="n">
        <x:v>46214.57241898148</x:v>
      </x:c>
      <x:c r="C477" s="1" t="str">
        <x:v>주간</x:v>
      </x:c>
      <x:c r="D477" s="1" t="str">
        <x:v>L2</x:v>
      </x:c>
      <x:c r="E477" s="1" t="str">
        <x:v>P2</x:v>
      </x:c>
      <x:c r="F477" s="1" t="str">
        <x:v>M02</x:v>
      </x:c>
      <x:c r="G477" s="1" t="str">
        <x:v>G02</x:v>
      </x:c>
      <x:c r="H477" s="5" t="n">
        <x:v>27.27</x:v>
      </x:c>
      <x:c r="I477" s="5" t="n">
        <x:v>5.69</x:v>
      </x:c>
      <x:c r="J477" s="5" t="n">
        <x:v>56.4</x:v>
      </x:c>
      <x:c r="K477" s="5" t="n">
        <x:v>36.8</x:v>
      </x:c>
      <x:c r="L477" s="5" t="n">
        <x:v>1.6</x:v>
      </x:c>
      <x:c r="M477" s="1" t="n">
        <x:v>0</x:v>
      </x:c>
      <x:c r="N477" s="6" t="n">
        <x:v>0.938</x:v>
      </x:c>
      <x:c r="O477" s="1" t="str">
        <x:v>합격</x:v>
      </x:c>
      <x:c r="P477" s="1"/>
      <x:c r="Q477" s="1" t="n">
        <x:v>35</x:v>
      </x:c>
      <x:c r="R477" s="1" t="str">
        <x:v>N</x:v>
      </x:c>
      <x:c r="S477" s="1" t="n">
        <x:v>0</x:v>
      </x:c>
      <x:c r="T477" s="1" t="str">
        <x:v>합격</x:v>
      </x:c>
    </x:row>
    <x:row r="478" ht="22" customHeight="1">
      <x:c r="A478" s="1" t="str">
        <x:v>R00477</x:v>
      </x:c>
      <x:c r="B478" s="4" t="n">
        <x:v>46215.08373842593</x:v>
      </x:c>
      <x:c r="C478" s="1" t="str">
        <x:v>야간</x:v>
      </x:c>
      <x:c r="D478" s="1" t="str">
        <x:v>L1</x:v>
      </x:c>
      <x:c r="E478" s="1" t="str">
        <x:v>P1</x:v>
      </x:c>
      <x:c r="F478" s="1" t="str">
        <x:v>M04</x:v>
      </x:c>
      <x:c r="G478" s="1" t="str">
        <x:v>G03</x:v>
      </x:c>
      <x:c r="H478" s="5" t="n">
        <x:v>27.28</x:v>
      </x:c>
      <x:c r="I478" s="5" t="n">
        <x:v>5.98</x:v>
      </x:c>
      <x:c r="J478" s="5" t="n">
        <x:v>51.7</x:v>
      </x:c>
      <x:c r="K478" s="5" t="n">
        <x:v>41.7</x:v>
      </x:c>
      <x:c r="L478" s="5" t="n">
        <x:v>1.86</x:v>
      </x:c>
      <x:c r="M478" s="1" t="n">
        <x:v>0</x:v>
      </x:c>
      <x:c r="N478" s="6" t="n">
        <x:v>0.907</x:v>
      </x:c>
      <x:c r="O478" s="1" t="str">
        <x:v>합격</x:v>
      </x:c>
      <x:c r="P478" s="1"/>
      <x:c r="Q478" s="1" t="n">
        <x:v>47</x:v>
      </x:c>
      <x:c r="R478" s="1" t="str">
        <x:v>N</x:v>
      </x:c>
      <x:c r="S478" s="1" t="n">
        <x:v>0</x:v>
      </x:c>
      <x:c r="T478" s="1" t="str">
        <x:v>합격</x:v>
      </x:c>
    </x:row>
    <x:row r="479" ht="22" customHeight="1">
      <x:c r="A479" s="1" t="str">
        <x:v>R00478</x:v>
      </x:c>
      <x:c r="B479" s="4" t="n">
        <x:v>46216.3959837963</x:v>
      </x:c>
      <x:c r="C479" s="1" t="str">
        <x:v>주간</x:v>
      </x:c>
      <x:c r="D479" s="1" t="str">
        <x:v>L2</x:v>
      </x:c>
      <x:c r="E479" s="1" t="str">
        <x:v>P2</x:v>
      </x:c>
      <x:c r="F479" s="1" t="str">
        <x:v>M02</x:v>
      </x:c>
      <x:c r="G479" s="1" t="str">
        <x:v>G04</x:v>
      </x:c>
      <x:c r="H479" s="5" t="n">
        <x:v>31.38</x:v>
      </x:c>
      <x:c r="I479" s="5" t="n">
        <x:v>5.89</x:v>
      </x:c>
      <x:c r="J479" s="5" t="n">
        <x:v>50.1</x:v>
      </x:c>
      <x:c r="K479" s="5" t="n">
        <x:v>40.1</x:v>
      </x:c>
      <x:c r="L479" s="5" t="n">
        <x:v>1.82</x:v>
      </x:c>
      <x:c r="M479" s="1" t="n">
        <x:v>0</x:v>
      </x:c>
      <x:c r="N479" s="6" t="n">
        <x:v>1.02</x:v>
      </x:c>
      <x:c r="O479" s="1" t="str">
        <x:v>합격</x:v>
      </x:c>
      <x:c r="P479" s="1"/>
      <x:c r="Q479" s="1" t="n">
        <x:v>42</x:v>
      </x:c>
      <x:c r="R479" s="1" t="str">
        <x:v>N</x:v>
      </x:c>
      <x:c r="S479" s="1" t="n">
        <x:v>0</x:v>
      </x:c>
      <x:c r="T479" s="1" t="str">
        <x:v>합격</x:v>
      </x:c>
    </x:row>
    <x:row r="480" ht="22" customHeight="1">
      <x:c r="A480" s="1" t="str">
        <x:v>R00479</x:v>
      </x:c>
      <x:c r="B480" s="4" t="n">
        <x:v>46217.90783564815</x:v>
      </x:c>
      <x:c r="C480" s="1" t="str">
        <x:v>야간</x:v>
      </x:c>
      <x:c r="D480" s="1" t="str">
        <x:v>L1</x:v>
      </x:c>
      <x:c r="E480" s="1" t="str">
        <x:v>P1</x:v>
      </x:c>
      <x:c r="F480" s="1" t="str">
        <x:v>M04</x:v>
      </x:c>
      <x:c r="G480" s="1" t="str">
        <x:v>G05</x:v>
      </x:c>
      <x:c r="H480" s="5" t="n">
        <x:v>31.72</x:v>
      </x:c>
      <x:c r="I480" s="5" t="n">
        <x:v>5.75</x:v>
      </x:c>
      <x:c r="J480" s="5" t="n">
        <x:v>57.4</x:v>
      </x:c>
      <x:c r="K480" s="5" t="n">
        <x:v>39.2</x:v>
      </x:c>
      <x:c r="L480" s="5" t="n">
        <x:v>2.19</x:v>
      </x:c>
      <x:c r="M480" s="1" t="n">
        <x:v>1</x:v>
      </x:c>
      <x:c r="N480" s="6" t="n">
        <x:v>0.868</x:v>
      </x:c>
      <x:c r="O480" s="1" t="str">
        <x:v>합격</x:v>
      </x:c>
      <x:c r="P480" s="1"/>
      <x:c r="Q480" s="1" t="n">
        <x:v>37</x:v>
      </x:c>
      <x:c r="R480" s="1" t="str">
        <x:v>N</x:v>
      </x:c>
      <x:c r="S480" s="1" t="n">
        <x:v>0</x:v>
      </x:c>
      <x:c r="T480" s="1" t="str">
        <x:v>합격</x:v>
      </x:c>
    </x:row>
    <x:row r="481" ht="22" customHeight="1">
      <x:c r="A481" s="1" t="str">
        <x:v>R00480</x:v>
      </x:c>
      <x:c r="B481" s="4" t="n">
        <x:v>46218.005162037036</x:v>
      </x:c>
      <x:c r="C481" s="1" t="str">
        <x:v>야간</x:v>
      </x:c>
      <x:c r="D481" s="1" t="str">
        <x:v>L1</x:v>
      </x:c>
      <x:c r="E481" s="1" t="str">
        <x:v>P1</x:v>
      </x:c>
      <x:c r="F481" s="1" t="str">
        <x:v>M03</x:v>
      </x:c>
      <x:c r="G481" s="1" t="str">
        <x:v>G06</x:v>
      </x:c>
      <x:c r="H481" s="5" t="n">
        <x:v>26.69</x:v>
      </x:c>
      <x:c r="I481" s="5" t="n">
        <x:v>5.97</x:v>
      </x:c>
      <x:c r="J481" s="5" t="n">
        <x:v>48.6</x:v>
      </x:c>
      <x:c r="K481" s="5" t="n">
        <x:v>36</x:v>
      </x:c>
      <x:c r="L481" s="5" t="n">
        <x:v>1.77</x:v>
      </x:c>
      <x:c r="M481" s="1" t="n">
        <x:v>1</x:v>
      </x:c>
      <x:c r="N481" s="6" t="n">
        <x:v>0.902</x:v>
      </x:c>
      <x:c r="O481" s="1" t="str">
        <x:v>합격</x:v>
      </x:c>
      <x:c r="P481" s="1"/>
      <x:c r="Q481" s="1" t="n">
        <x:v>42</x:v>
      </x:c>
      <x:c r="R481" s="1" t="str">
        <x:v>N</x:v>
      </x:c>
      <x:c r="S481" s="1" t="n">
        <x:v>0</x:v>
      </x:c>
      <x:c r="T481" s="1" t="str">
        <x:v>합격</x:v>
      </x:c>
    </x:row>
    <x:row r="482" ht="22" customHeight="1">
      <x:c r="A482" s="1" t="str">
        <x:v>R00481</x:v>
      </x:c>
      <x:c r="B482" s="4" t="n">
        <x:v>46219.38483796296</x:v>
      </x:c>
      <x:c r="C482" s="1" t="str">
        <x:v>주간</x:v>
      </x:c>
      <x:c r="D482" s="1" t="str">
        <x:v>L2</x:v>
      </x:c>
      <x:c r="E482" s="1" t="str">
        <x:v>P2</x:v>
      </x:c>
      <x:c r="F482" s="1" t="str">
        <x:v>M03</x:v>
      </x:c>
      <x:c r="G482" s="1" t="str">
        <x:v>G01</x:v>
      </x:c>
      <x:c r="H482" s="5" t="n">
        <x:v>33.38</x:v>
      </x:c>
      <x:c r="I482" s="5" t="n">
        <x:v>5.62</x:v>
      </x:c>
      <x:c r="J482" s="5" t="n">
        <x:v>49.7</x:v>
      </x:c>
      <x:c r="K482" s="5" t="n">
        <x:v>36.7</x:v>
      </x:c>
      <x:c r="L482" s="5" t="n">
        <x:v>1.71</x:v>
      </x:c>
      <x:c r="M482" s="1" t="n">
        <x:v>0</x:v>
      </x:c>
      <x:c r="N482" s="6" t="n">
        <x:v>1.017</x:v>
      </x:c>
      <x:c r="O482" s="1" t="str">
        <x:v>불합격</x:v>
      </x:c>
      <x:c r="P482" s="1" t="str">
        <x:v>치수불량</x:v>
      </x:c>
      <x:c r="Q482" s="1" t="n">
        <x:v>43</x:v>
      </x:c>
      <x:c r="R482" s="1" t="str">
        <x:v>Y</x:v>
      </x:c>
      <x:c r="S482" s="1" t="n">
        <x:v>9</x:v>
      </x:c>
      <x:c r="T482" s="1" t="str">
        <x:v>재작업후합격</x:v>
      </x:c>
    </x:row>
    <x:row r="483" ht="22" customHeight="1">
      <x:c r="A483" s="1" t="str">
        <x:v>R00482</x:v>
      </x:c>
      <x:c r="B483" s="4" t="n">
        <x:v>46220.921215277776</x:v>
      </x:c>
      <x:c r="C483" s="1" t="str">
        <x:v>야간</x:v>
      </x:c>
      <x:c r="D483" s="1" t="str">
        <x:v>L2</x:v>
      </x:c>
      <x:c r="E483" s="1" t="str">
        <x:v>P2</x:v>
      </x:c>
      <x:c r="F483" s="1" t="str">
        <x:v>M01</x:v>
      </x:c>
      <x:c r="G483" s="1" t="str">
        <x:v>G02</x:v>
      </x:c>
      <x:c r="H483" s="5" t="n">
        <x:v>30.12</x:v>
      </x:c>
      <x:c r="I483" s="5" t="n">
        <x:v>5.86</x:v>
      </x:c>
      <x:c r="J483" s="5" t="n">
        <x:v>47.1</x:v>
      </x:c>
      <x:c r="K483" s="5" t="n">
        <x:v>39.3</x:v>
      </x:c>
      <x:c r="L483" s="5" t="n">
        <x:v>2.17</x:v>
      </x:c>
      <x:c r="M483" s="1" t="n">
        <x:v>1</x:v>
      </x:c>
      <x:c r="N483" s="6" t="n">
        <x:v>1.049</x:v>
      </x:c>
      <x:c r="O483" s="1" t="str">
        <x:v>합격</x:v>
      </x:c>
      <x:c r="P483" s="1"/>
      <x:c r="Q483" s="1" t="n">
        <x:v>49</x:v>
      </x:c>
      <x:c r="R483" s="1" t="str">
        <x:v>N</x:v>
      </x:c>
      <x:c r="S483" s="1" t="n">
        <x:v>0</x:v>
      </x:c>
      <x:c r="T483" s="1" t="str">
        <x:v>합격</x:v>
      </x:c>
    </x:row>
    <x:row r="484" ht="22" customHeight="1">
      <x:c r="A484" s="1" t="str">
        <x:v>R00483</x:v>
      </x:c>
      <x:c r="B484" s="4" t="n">
        <x:v>46221.133263888885</x:v>
      </x:c>
      <x:c r="C484" s="1" t="str">
        <x:v>야간</x:v>
      </x:c>
      <x:c r="D484" s="1" t="str">
        <x:v>L2</x:v>
      </x:c>
      <x:c r="E484" s="1" t="str">
        <x:v>P2</x:v>
      </x:c>
      <x:c r="F484" s="1" t="str">
        <x:v>M02</x:v>
      </x:c>
      <x:c r="G484" s="1" t="str">
        <x:v>G03</x:v>
      </x:c>
      <x:c r="H484" s="5" t="n">
        <x:v>27.68</x:v>
      </x:c>
      <x:c r="I484" s="5" t="n">
        <x:v>5.62</x:v>
      </x:c>
      <x:c r="J484" s="5" t="n">
        <x:v>52.2</x:v>
      </x:c>
      <x:c r="K484" s="5" t="n">
        <x:v>36.3</x:v>
      </x:c>
      <x:c r="L484" s="5" t="n">
        <x:v>2.18</x:v>
      </x:c>
      <x:c r="M484" s="1" t="n">
        <x:v>1</x:v>
      </x:c>
      <x:c r="N484" s="6" t="n">
        <x:v>0.862</x:v>
      </x:c>
      <x:c r="O484" s="1" t="str">
        <x:v>합격</x:v>
      </x:c>
      <x:c r="P484" s="1"/>
      <x:c r="Q484" s="1" t="n">
        <x:v>39</x:v>
      </x:c>
      <x:c r="R484" s="1" t="str">
        <x:v>N</x:v>
      </x:c>
      <x:c r="S484" s="1" t="n">
        <x:v>0</x:v>
      </x:c>
      <x:c r="T484" s="1" t="str">
        <x:v>합격</x:v>
      </x:c>
    </x:row>
    <x:row r="485" ht="22" customHeight="1">
      <x:c r="A485" s="1" t="str">
        <x:v>R00484</x:v>
      </x:c>
      <x:c r="B485" s="4" t="n">
        <x:v>46222.0871412037</x:v>
      </x:c>
      <x:c r="C485" s="1" t="str">
        <x:v>야간</x:v>
      </x:c>
      <x:c r="D485" s="1" t="str">
        <x:v>L2</x:v>
      </x:c>
      <x:c r="E485" s="1" t="str">
        <x:v>P2</x:v>
      </x:c>
      <x:c r="F485" s="1" t="str">
        <x:v>M01</x:v>
      </x:c>
      <x:c r="G485" s="1" t="str">
        <x:v>G04</x:v>
      </x:c>
      <x:c r="H485" s="5" t="n">
        <x:v>29.68</x:v>
      </x:c>
      <x:c r="I485" s="5" t="n">
        <x:v>5.61</x:v>
      </x:c>
      <x:c r="J485" s="5" t="n">
        <x:v>52.3</x:v>
      </x:c>
      <x:c r="K485" s="5" t="n">
        <x:v>37.2</x:v>
      </x:c>
      <x:c r="L485" s="5" t="n">
        <x:v>1.52</x:v>
      </x:c>
      <x:c r="M485" s="1" t="n">
        <x:v>1</x:v>
      </x:c>
      <x:c r="N485" s="6" t="n">
        <x:v>0.989</x:v>
      </x:c>
      <x:c r="O485" s="1" t="str">
        <x:v>합격</x:v>
      </x:c>
      <x:c r="P485" s="1"/>
      <x:c r="Q485" s="1" t="n">
        <x:v>45</x:v>
      </x:c>
      <x:c r="R485" s="1" t="str">
        <x:v>N</x:v>
      </x:c>
      <x:c r="S485" s="1" t="n">
        <x:v>0</x:v>
      </x:c>
      <x:c r="T485" s="1" t="str">
        <x:v>합격</x:v>
      </x:c>
    </x:row>
    <x:row r="486" ht="22" customHeight="1">
      <x:c r="A486" s="1" t="str">
        <x:v>R00485</x:v>
      </x:c>
      <x:c r="B486" s="4" t="n">
        <x:v>46223.63890046296</x:v>
      </x:c>
      <x:c r="C486" s="1" t="str">
        <x:v>주간</x:v>
      </x:c>
      <x:c r="D486" s="1" t="str">
        <x:v>L2</x:v>
      </x:c>
      <x:c r="E486" s="1" t="str">
        <x:v>P2</x:v>
      </x:c>
      <x:c r="F486" s="1" t="str">
        <x:v>M04</x:v>
      </x:c>
      <x:c r="G486" s="1" t="str">
        <x:v>G05</x:v>
      </x:c>
      <x:c r="H486" s="5" t="n">
        <x:v>30.94</x:v>
      </x:c>
      <x:c r="I486" s="5" t="n">
        <x:v>5.98</x:v>
      </x:c>
      <x:c r="J486" s="5" t="n">
        <x:v>54.7</x:v>
      </x:c>
      <x:c r="K486" s="5" t="n">
        <x:v>36.9</x:v>
      </x:c>
      <x:c r="L486" s="5" t="n">
        <x:v>2.53</x:v>
      </x:c>
      <x:c r="M486" s="1" t="n">
        <x:v>0</x:v>
      </x:c>
      <x:c r="N486" s="6" t="n">
        <x:v>1.041</x:v>
      </x:c>
      <x:c r="O486" s="1" t="str">
        <x:v>합격</x:v>
      </x:c>
      <x:c r="P486" s="1"/>
      <x:c r="Q486" s="1" t="n">
        <x:v>44</x:v>
      </x:c>
      <x:c r="R486" s="1" t="str">
        <x:v>N</x:v>
      </x:c>
      <x:c r="S486" s="1" t="n">
        <x:v>0</x:v>
      </x:c>
      <x:c r="T486" s="1" t="str">
        <x:v>합격</x:v>
      </x:c>
    </x:row>
    <x:row r="487" ht="22" customHeight="1">
      <x:c r="A487" s="1" t="str">
        <x:v>R00486</x:v>
      </x:c>
      <x:c r="B487" s="4" t="n">
        <x:v>46224.49204861111</x:v>
      </x:c>
      <x:c r="C487" s="1" t="str">
        <x:v>주간</x:v>
      </x:c>
      <x:c r="D487" s="1" t="str">
        <x:v>L2</x:v>
      </x:c>
      <x:c r="E487" s="1" t="str">
        <x:v>P2</x:v>
      </x:c>
      <x:c r="F487" s="1" t="str">
        <x:v>M04</x:v>
      </x:c>
      <x:c r="G487" s="1" t="str">
        <x:v>G06</x:v>
      </x:c>
      <x:c r="H487" s="5" t="n">
        <x:v>29.58</x:v>
      </x:c>
      <x:c r="I487" s="5" t="n">
        <x:v>5.85</x:v>
      </x:c>
      <x:c r="J487" s="5" t="n">
        <x:v>57.1</x:v>
      </x:c>
      <x:c r="K487" s="5" t="n">
        <x:v>40.7</x:v>
      </x:c>
      <x:c r="L487" s="5"/>
      <x:c r="M487" s="1" t="n">
        <x:v>1</x:v>
      </x:c>
      <x:c r="N487" s="6" t="n">
        <x:v>1.044</x:v>
      </x:c>
      <x:c r="O487" s="1" t="str">
        <x:v>합격</x:v>
      </x:c>
      <x:c r="P487" s="1"/>
      <x:c r="Q487" s="1" t="n">
        <x:v>41</x:v>
      </x:c>
      <x:c r="R487" s="1" t="str">
        <x:v>N</x:v>
      </x:c>
      <x:c r="S487" s="1" t="n">
        <x:v>0</x:v>
      </x:c>
      <x:c r="T487" s="1" t="str">
        <x:v>합격</x:v>
      </x:c>
    </x:row>
    <x:row r="488" ht="22" customHeight="1">
      <x:c r="A488" s="1" t="str">
        <x:v>R00487</x:v>
      </x:c>
      <x:c r="B488" s="4" t="n">
        <x:v>46225.346967592595</x:v>
      </x:c>
      <x:c r="C488" s="1" t="str">
        <x:v>주간</x:v>
      </x:c>
      <x:c r="D488" s="1" t="str">
        <x:v>L1</x:v>
      </x:c>
      <x:c r="E488" s="1" t="str">
        <x:v>P1</x:v>
      </x:c>
      <x:c r="F488" s="1" t="str">
        <x:v>M01</x:v>
      </x:c>
      <x:c r="G488" s="1" t="str">
        <x:v>G01</x:v>
      </x:c>
      <x:c r="H488" s="5" t="n">
        <x:v>32.19</x:v>
      </x:c>
      <x:c r="I488" s="5" t="n">
        <x:v>5.81</x:v>
      </x:c>
      <x:c r="J488" s="5" t="n">
        <x:v>56.7</x:v>
      </x:c>
      <x:c r="K488" s="5" t="n">
        <x:v>40.4</x:v>
      </x:c>
      <x:c r="L488" s="5" t="n">
        <x:v>2.01</x:v>
      </x:c>
      <x:c r="M488" s="1" t="n">
        <x:v>0</x:v>
      </x:c>
      <x:c r="N488" s="6" t="n">
        <x:v>0.975</x:v>
      </x:c>
      <x:c r="O488" s="1" t="str">
        <x:v>합격</x:v>
      </x:c>
      <x:c r="P488" s="1"/>
      <x:c r="Q488" s="1" t="n">
        <x:v>35</x:v>
      </x:c>
      <x:c r="R488" s="1" t="str">
        <x:v>N</x:v>
      </x:c>
      <x:c r="S488" s="1" t="n">
        <x:v>0</x:v>
      </x:c>
      <x:c r="T488" s="1" t="str">
        <x:v>합격</x:v>
      </x:c>
    </x:row>
    <x:row r="489" ht="22" customHeight="1">
      <x:c r="A489" s="1" t="str">
        <x:v>R00488</x:v>
      </x:c>
      <x:c r="B489" s="4" t="n">
        <x:v>46226.55998842593</x:v>
      </x:c>
      <x:c r="C489" s="1" t="str">
        <x:v>주간</x:v>
      </x:c>
      <x:c r="D489" s="1" t="str">
        <x:v>L2</x:v>
      </x:c>
      <x:c r="E489" s="1" t="str">
        <x:v>P2</x:v>
      </x:c>
      <x:c r="F489" s="1" t="str">
        <x:v>M04</x:v>
      </x:c>
      <x:c r="G489" s="1" t="str">
        <x:v>G02</x:v>
      </x:c>
      <x:c r="H489" s="5" t="n">
        <x:v>31.69</x:v>
      </x:c>
      <x:c r="I489" s="5" t="n">
        <x:v>5.6</x:v>
      </x:c>
      <x:c r="J489" s="5" t="n">
        <x:v>50</x:v>
      </x:c>
      <x:c r="K489" s="5" t="n">
        <x:v>38.5</x:v>
      </x:c>
      <x:c r="L489" s="5" t="n">
        <x:v>2.21</x:v>
      </x:c>
      <x:c r="M489" s="1" t="n">
        <x:v>0</x:v>
      </x:c>
      <x:c r="N489" s="6" t="n">
        <x:v>0.987</x:v>
      </x:c>
      <x:c r="O489" s="1" t="str">
        <x:v>합격</x:v>
      </x:c>
      <x:c r="P489" s="1"/>
      <x:c r="Q489" s="1" t="n">
        <x:v>39</x:v>
      </x:c>
      <x:c r="R489" s="1" t="str">
        <x:v>N</x:v>
      </x:c>
      <x:c r="S489" s="1" t="n">
        <x:v>0</x:v>
      </x:c>
      <x:c r="T489" s="1" t="str">
        <x:v>합격</x:v>
      </x:c>
    </x:row>
    <x:row r="490" ht="22" customHeight="1">
      <x:c r="A490" s="1" t="str">
        <x:v>R00489</x:v>
      </x:c>
      <x:c r="B490" s="4" t="n">
        <x:v>46227.918333333335</x:v>
      </x:c>
      <x:c r="C490" s="1" t="str">
        <x:v>야간</x:v>
      </x:c>
      <x:c r="D490" s="1" t="str">
        <x:v>L1</x:v>
      </x:c>
      <x:c r="E490" s="1" t="str">
        <x:v>P1</x:v>
      </x:c>
      <x:c r="F490" s="1" t="str">
        <x:v>M04</x:v>
      </x:c>
      <x:c r="G490" s="1" t="str">
        <x:v>G03</x:v>
      </x:c>
      <x:c r="H490" s="5" t="n">
        <x:v>30.53</x:v>
      </x:c>
      <x:c r="I490" s="5" t="n">
        <x:v>5.97</x:v>
      </x:c>
      <x:c r="J490" s="5" t="n">
        <x:v>47.7</x:v>
      </x:c>
      <x:c r="K490" s="5" t="n">
        <x:v>41.7</x:v>
      </x:c>
      <x:c r="L490" s="5" t="n">
        <x:v>1.63</x:v>
      </x:c>
      <x:c r="M490" s="1" t="n">
        <x:v>0</x:v>
      </x:c>
      <x:c r="N490" s="6" t="n">
        <x:v>0.861</x:v>
      </x:c>
      <x:c r="O490" s="1" t="str">
        <x:v>합격</x:v>
      </x:c>
      <x:c r="P490" s="1"/>
      <x:c r="Q490" s="1" t="n">
        <x:v>46</x:v>
      </x:c>
      <x:c r="R490" s="1" t="str">
        <x:v>N</x:v>
      </x:c>
      <x:c r="S490" s="1" t="n">
        <x:v>0</x:v>
      </x:c>
      <x:c r="T490" s="1" t="str">
        <x:v>합격</x:v>
      </x:c>
    </x:row>
    <x:row r="491" ht="22" customHeight="1">
      <x:c r="A491" s="1" t="str">
        <x:v>R00490</x:v>
      </x:c>
      <x:c r="B491" s="4" t="n">
        <x:v>46228.47756944445</x:v>
      </x:c>
      <x:c r="C491" s="1" t="str">
        <x:v>주간</x:v>
      </x:c>
      <x:c r="D491" s="1" t="str">
        <x:v>L1</x:v>
      </x:c>
      <x:c r="E491" s="1" t="str">
        <x:v>P1</x:v>
      </x:c>
      <x:c r="F491" s="1" t="str">
        <x:v>M03</x:v>
      </x:c>
      <x:c r="G491" s="1" t="str">
        <x:v>G04</x:v>
      </x:c>
      <x:c r="H491" s="5" t="n">
        <x:v>27.97</x:v>
      </x:c>
      <x:c r="I491" s="5" t="n">
        <x:v>5.85</x:v>
      </x:c>
      <x:c r="J491" s="5" t="n">
        <x:v>47.8</x:v>
      </x:c>
      <x:c r="K491" s="5" t="n">
        <x:v>39</x:v>
      </x:c>
      <x:c r="L491" s="5"/>
      <x:c r="M491" s="1" t="n">
        <x:v>1</x:v>
      </x:c>
      <x:c r="N491" s="6" t="n">
        <x:v>1.004</x:v>
      </x:c>
      <x:c r="O491" s="1" t="str">
        <x:v>합격</x:v>
      </x:c>
      <x:c r="P491" s="1"/>
      <x:c r="Q491" s="1" t="n">
        <x:v>44</x:v>
      </x:c>
      <x:c r="R491" s="1" t="str">
        <x:v>N</x:v>
      </x:c>
      <x:c r="S491" s="1" t="n">
        <x:v>0</x:v>
      </x:c>
      <x:c r="T491" s="1" t="str">
        <x:v>합격</x:v>
      </x:c>
    </x:row>
    <x:row r="492" ht="22" customHeight="1">
      <x:c r="A492" s="1" t="str">
        <x:v>R00491</x:v>
      </x:c>
      <x:c r="B492" s="4" t="n">
        <x:v>46229.520520833335</x:v>
      </x:c>
      <x:c r="C492" s="1" t="str">
        <x:v>주간</x:v>
      </x:c>
      <x:c r="D492" s="1" t="str">
        <x:v>L1</x:v>
      </x:c>
      <x:c r="E492" s="1" t="str">
        <x:v>P1</x:v>
      </x:c>
      <x:c r="F492" s="1" t="str">
        <x:v>M01</x:v>
      </x:c>
      <x:c r="G492" s="1" t="str">
        <x:v>G05</x:v>
      </x:c>
      <x:c r="H492" s="5" t="n">
        <x:v>31.83</x:v>
      </x:c>
      <x:c r="I492" s="5" t="n">
        <x:v>5.93</x:v>
      </x:c>
      <x:c r="J492" s="5" t="n">
        <x:v>54.4</x:v>
      </x:c>
      <x:c r="K492" s="5" t="n">
        <x:v>37.5</x:v>
      </x:c>
      <x:c r="L492" s="5" t="n">
        <x:v>1.79</x:v>
      </x:c>
      <x:c r="M492" s="1" t="n">
        <x:v>0</x:v>
      </x:c>
      <x:c r="N492" s="6" t="n">
        <x:v>0.919</x:v>
      </x:c>
      <x:c r="O492" s="1" t="str">
        <x:v>합격</x:v>
      </x:c>
      <x:c r="P492" s="1"/>
      <x:c r="Q492" s="1" t="n">
        <x:v>39</x:v>
      </x:c>
      <x:c r="R492" s="1" t="str">
        <x:v>N</x:v>
      </x:c>
      <x:c r="S492" s="1" t="n">
        <x:v>0</x:v>
      </x:c>
      <x:c r="T492" s="1" t="str">
        <x:v>합격</x:v>
      </x:c>
    </x:row>
    <x:row r="493" ht="22" customHeight="1">
      <x:c r="A493" s="1" t="str">
        <x:v>R00492</x:v>
      </x:c>
      <x:c r="B493" s="4" t="n">
        <x:v>46230.86388888889</x:v>
      </x:c>
      <x:c r="C493" s="1" t="str">
        <x:v>야간</x:v>
      </x:c>
      <x:c r="D493" s="1" t="str">
        <x:v>L1</x:v>
      </x:c>
      <x:c r="E493" s="1" t="str">
        <x:v>P1</x:v>
      </x:c>
      <x:c r="F493" s="1" t="str">
        <x:v>M04</x:v>
      </x:c>
      <x:c r="G493" s="1" t="str">
        <x:v>G06</x:v>
      </x:c>
      <x:c r="H493" s="5" t="n">
        <x:v>29.39</x:v>
      </x:c>
      <x:c r="I493" s="5" t="n">
        <x:v>5.91</x:v>
      </x:c>
      <x:c r="J493" s="5" t="n">
        <x:v>57.9</x:v>
      </x:c>
      <x:c r="K493" s="5" t="n">
        <x:v>40.7</x:v>
      </x:c>
      <x:c r="L493" s="5" t="n">
        <x:v>2.03</x:v>
      </x:c>
      <x:c r="M493" s="1" t="n">
        <x:v>1</x:v>
      </x:c>
      <x:c r="N493" s="6" t="n">
        <x:v>0.961</x:v>
      </x:c>
      <x:c r="O493" s="1" t="str">
        <x:v>합격</x:v>
      </x:c>
      <x:c r="P493" s="1"/>
      <x:c r="Q493" s="1" t="n">
        <x:v>49</x:v>
      </x:c>
      <x:c r="R493" s="1" t="str">
        <x:v>N</x:v>
      </x:c>
      <x:c r="S493" s="1" t="n">
        <x:v>0</x:v>
      </x:c>
      <x:c r="T493" s="1" t="str">
        <x:v>합격</x:v>
      </x:c>
    </x:row>
    <x:row r="494" ht="22" customHeight="1">
      <x:c r="A494" s="1" t="str">
        <x:v>R00493</x:v>
      </x:c>
      <x:c r="B494" s="4" t="n">
        <x:v>46231.85586805556</x:v>
      </x:c>
      <x:c r="C494" s="1" t="str">
        <x:v>야간</x:v>
      </x:c>
      <x:c r="D494" s="1" t="str">
        <x:v>L1</x:v>
      </x:c>
      <x:c r="E494" s="1" t="str">
        <x:v>P1</x:v>
      </x:c>
      <x:c r="F494" s="1" t="str">
        <x:v>M03</x:v>
      </x:c>
      <x:c r="G494" s="1" t="str">
        <x:v>G01</x:v>
      </x:c>
      <x:c r="H494" s="5" t="n">
        <x:v>32.28</x:v>
      </x:c>
      <x:c r="I494" s="5" t="n">
        <x:v>5.97</x:v>
      </x:c>
      <x:c r="J494" s="5" t="n">
        <x:v>47.8</x:v>
      </x:c>
      <x:c r="K494" s="5" t="n">
        <x:v>37.7</x:v>
      </x:c>
      <x:c r="L494" s="5" t="n">
        <x:v>1.53</x:v>
      </x:c>
      <x:c r="M494" s="1" t="n">
        <x:v>1</x:v>
      </x:c>
      <x:c r="N494" s="6" t="n">
        <x:v>0.897</x:v>
      </x:c>
      <x:c r="O494" s="1" t="str">
        <x:v>합격</x:v>
      </x:c>
      <x:c r="P494" s="1"/>
      <x:c r="Q494" s="1" t="n">
        <x:v>48</x:v>
      </x:c>
      <x:c r="R494" s="1" t="str">
        <x:v>N</x:v>
      </x:c>
      <x:c r="S494" s="1" t="n">
        <x:v>0</x:v>
      </x:c>
      <x:c r="T494" s="1" t="str">
        <x:v>합격</x:v>
      </x:c>
    </x:row>
    <x:row r="495" ht="22" customHeight="1">
      <x:c r="A495" s="1" t="str">
        <x:v>R00494</x:v>
      </x:c>
      <x:c r="B495" s="4" t="n">
        <x:v>46232.8425462963</x:v>
      </x:c>
      <x:c r="C495" s="1" t="str">
        <x:v>야간</x:v>
      </x:c>
      <x:c r="D495" s="1" t="str">
        <x:v>L2</x:v>
      </x:c>
      <x:c r="E495" s="1" t="str">
        <x:v>P2</x:v>
      </x:c>
      <x:c r="F495" s="1" t="str">
        <x:v>M02</x:v>
      </x:c>
      <x:c r="G495" s="1" t="str">
        <x:v>G02</x:v>
      </x:c>
      <x:c r="H495" s="5" t="n">
        <x:v>27.75</x:v>
      </x:c>
      <x:c r="I495" s="5" t="n">
        <x:v>5.65</x:v>
      </x:c>
      <x:c r="J495" s="5" t="n">
        <x:v>51.2</x:v>
      </x:c>
      <x:c r="K495" s="5" t="n">
        <x:v>36.7</x:v>
      </x:c>
      <x:c r="L495" s="5" t="n">
        <x:v>2.55</x:v>
      </x:c>
      <x:c r="M495" s="1" t="n">
        <x:v>1</x:v>
      </x:c>
      <x:c r="N495" s="6" t="n">
        <x:v>0.915</x:v>
      </x:c>
      <x:c r="O495" s="1" t="str">
        <x:v>합격</x:v>
      </x:c>
      <x:c r="P495" s="1"/>
      <x:c r="Q495" s="1" t="n">
        <x:v>39</x:v>
      </x:c>
      <x:c r="R495" s="1" t="str">
        <x:v>N</x:v>
      </x:c>
      <x:c r="S495" s="1" t="n">
        <x:v>0</x:v>
      </x:c>
      <x:c r="T495" s="1" t="str">
        <x:v>합격</x:v>
      </x:c>
    </x:row>
    <x:row r="496" ht="22" customHeight="1">
      <x:c r="A496" s="1" t="str">
        <x:v>R00495</x:v>
      </x:c>
      <x:c r="B496" s="4" t="n">
        <x:v>46233.393530092595</x:v>
      </x:c>
      <x:c r="C496" s="1" t="str">
        <x:v>주간</x:v>
      </x:c>
      <x:c r="D496" s="1" t="str">
        <x:v>L2</x:v>
      </x:c>
      <x:c r="E496" s="1" t="str">
        <x:v>P2</x:v>
      </x:c>
      <x:c r="F496" s="1" t="str">
        <x:v>M02</x:v>
      </x:c>
      <x:c r="G496" s="1" t="str">
        <x:v>G03</x:v>
      </x:c>
      <x:c r="H496" s="5" t="n">
        <x:v>29.95</x:v>
      </x:c>
      <x:c r="I496" s="5" t="n">
        <x:v>5.9</x:v>
      </x:c>
      <x:c r="J496" s="5" t="n">
        <x:v>58.6</x:v>
      </x:c>
      <x:c r="K496" s="5" t="n">
        <x:v>39.3</x:v>
      </x:c>
      <x:c r="L496" s="5" t="n">
        <x:v>2.09</x:v>
      </x:c>
      <x:c r="M496" s="1" t="n">
        <x:v>0</x:v>
      </x:c>
      <x:c r="N496" s="6" t="n">
        <x:v>0.9</x:v>
      </x:c>
      <x:c r="O496" s="1" t="str">
        <x:v>합격</x:v>
      </x:c>
      <x:c r="P496" s="1"/>
      <x:c r="Q496" s="1" t="n">
        <x:v>38</x:v>
      </x:c>
      <x:c r="R496" s="1" t="str">
        <x:v>N</x:v>
      </x:c>
      <x:c r="S496" s="1" t="n">
        <x:v>0</x:v>
      </x:c>
      <x:c r="T496" s="1" t="str">
        <x:v>합격</x:v>
      </x:c>
    </x:row>
    <x:row r="497" ht="22" customHeight="1">
      <x:c r="A497" s="1" t="str">
        <x:v>R00496</x:v>
      </x:c>
      <x:c r="B497" s="4" t="n">
        <x:v>46234.12944444444</x:v>
      </x:c>
      <x:c r="C497" s="1" t="str">
        <x:v>야간</x:v>
      </x:c>
      <x:c r="D497" s="1" t="str">
        <x:v>L2</x:v>
      </x:c>
      <x:c r="E497" s="1" t="str">
        <x:v>P2</x:v>
      </x:c>
      <x:c r="F497" s="1" t="str">
        <x:v>M01</x:v>
      </x:c>
      <x:c r="G497" s="1" t="str">
        <x:v>G04</x:v>
      </x:c>
      <x:c r="H497" s="5" t="n">
        <x:v>27.84</x:v>
      </x:c>
      <x:c r="I497" s="5" t="n">
        <x:v>5.9</x:v>
      </x:c>
      <x:c r="J497" s="5" t="n">
        <x:v>47.2</x:v>
      </x:c>
      <x:c r="K497" s="5" t="n">
        <x:v>39.4</x:v>
      </x:c>
      <x:c r="L497" s="5" t="n">
        <x:v>1.78</x:v>
      </x:c>
      <x:c r="M497" s="1" t="n">
        <x:v>1</x:v>
      </x:c>
      <x:c r="N497" s="6" t="n">
        <x:v>0.983</x:v>
      </x:c>
      <x:c r="O497" s="1" t="str">
        <x:v>합격</x:v>
      </x:c>
      <x:c r="P497" s="1"/>
      <x:c r="Q497" s="1" t="n">
        <x:v>46</x:v>
      </x:c>
      <x:c r="R497" s="1" t="str">
        <x:v>N</x:v>
      </x:c>
      <x:c r="S497" s="1" t="n">
        <x:v>0</x:v>
      </x:c>
      <x:c r="T497" s="1" t="str">
        <x:v>합격</x:v>
      </x:c>
    </x:row>
    <x:row r="498" ht="22" customHeight="1">
      <x:c r="A498" s="1" t="str">
        <x:v>R00497</x:v>
      </x:c>
      <x:c r="B498" s="4" t="n">
        <x:v>46204.34166666667</x:v>
      </x:c>
      <x:c r="C498" s="1" t="str">
        <x:v>주간</x:v>
      </x:c>
      <x:c r="D498" s="1" t="str">
        <x:v>L2</x:v>
      </x:c>
      <x:c r="E498" s="1" t="str">
        <x:v>P2</x:v>
      </x:c>
      <x:c r="F498" s="1" t="str">
        <x:v>M02</x:v>
      </x:c>
      <x:c r="G498" s="1" t="str">
        <x:v>G05</x:v>
      </x:c>
      <x:c r="H498" s="5" t="n">
        <x:v>31.56</x:v>
      </x:c>
      <x:c r="I498" s="5" t="n">
        <x:v>5.66</x:v>
      </x:c>
      <x:c r="J498" s="5" t="n">
        <x:v>56.6</x:v>
      </x:c>
      <x:c r="K498" s="5" t="n">
        <x:v>38</x:v>
      </x:c>
      <x:c r="L498" s="5" t="n">
        <x:v>1.39</x:v>
      </x:c>
      <x:c r="M498" s="1" t="n">
        <x:v>1</x:v>
      </x:c>
      <x:c r="N498" s="6" t="n">
        <x:v>0.988</x:v>
      </x:c>
      <x:c r="O498" s="1" t="str">
        <x:v>합격</x:v>
      </x:c>
      <x:c r="P498" s="1"/>
      <x:c r="Q498" s="1" t="n">
        <x:v>45</x:v>
      </x:c>
      <x:c r="R498" s="1" t="str">
        <x:v>N</x:v>
      </x:c>
      <x:c r="S498" s="1" t="n">
        <x:v>0</x:v>
      </x:c>
      <x:c r="T498" s="1" t="str">
        <x:v>합격</x:v>
      </x:c>
    </x:row>
    <x:row r="499" ht="22" customHeight="1">
      <x:c r="A499" s="1" t="str">
        <x:v>R00498</x:v>
      </x:c>
      <x:c r="B499" s="4" t="n">
        <x:v>46205.972407407404</x:v>
      </x:c>
      <x:c r="C499" s="1" t="str">
        <x:v>야간</x:v>
      </x:c>
      <x:c r="D499" s="1" t="str">
        <x:v>L1</x:v>
      </x:c>
      <x:c r="E499" s="1" t="str">
        <x:v>P1</x:v>
      </x:c>
      <x:c r="F499" s="1" t="str">
        <x:v>M04</x:v>
      </x:c>
      <x:c r="G499" s="1" t="str">
        <x:v>G06</x:v>
      </x:c>
      <x:c r="H499" s="5" t="n">
        <x:v>28.67</x:v>
      </x:c>
      <x:c r="I499" s="5" t="n">
        <x:v>5.7</x:v>
      </x:c>
      <x:c r="J499" s="5" t="n">
        <x:v>55.4</x:v>
      </x:c>
      <x:c r="K499" s="5" t="n">
        <x:v>37.3</x:v>
      </x:c>
      <x:c r="L499" s="5" t="n">
        <x:v>1.44</x:v>
      </x:c>
      <x:c r="M499" s="1" t="n">
        <x:v>1</x:v>
      </x:c>
      <x:c r="N499" s="6" t="n">
        <x:v>0.959</x:v>
      </x:c>
      <x:c r="O499" s="1" t="str">
        <x:v>합격</x:v>
      </x:c>
      <x:c r="P499" s="1"/>
      <x:c r="Q499" s="1" t="n">
        <x:v>45</x:v>
      </x:c>
      <x:c r="R499" s="1" t="str">
        <x:v>N</x:v>
      </x:c>
      <x:c r="S499" s="1" t="n">
        <x:v>0</x:v>
      </x:c>
      <x:c r="T499" s="1" t="str">
        <x:v>합격</x:v>
      </x:c>
    </x:row>
    <x:row r="500" ht="22" customHeight="1">
      <x:c r="A500" s="1" t="str">
        <x:v>R00499</x:v>
      </x:c>
      <x:c r="B500" s="4" t="n">
        <x:v>46206.567037037035</x:v>
      </x:c>
      <x:c r="C500" s="1" t="str">
        <x:v>주간</x:v>
      </x:c>
      <x:c r="D500" s="1" t="str">
        <x:v>L1</x:v>
      </x:c>
      <x:c r="E500" s="1" t="str">
        <x:v>P1</x:v>
      </x:c>
      <x:c r="F500" s="1" t="str">
        <x:v>M01</x:v>
      </x:c>
      <x:c r="G500" s="1" t="str">
        <x:v>G01</x:v>
      </x:c>
      <x:c r="H500" s="5" t="n">
        <x:v>30.47</x:v>
      </x:c>
      <x:c r="I500" s="5" t="n">
        <x:v>5.69</x:v>
      </x:c>
      <x:c r="J500" s="5" t="n">
        <x:v>52.8</x:v>
      </x:c>
      <x:c r="K500" s="5" t="n">
        <x:v>41.8</x:v>
      </x:c>
      <x:c r="L500" s="5" t="n">
        <x:v>1.78</x:v>
      </x:c>
      <x:c r="M500" s="1" t="n">
        <x:v>0</x:v>
      </x:c>
      <x:c r="N500" s="6" t="n">
        <x:v>0.945</x:v>
      </x:c>
      <x:c r="O500" s="1" t="str">
        <x:v>합격</x:v>
      </x:c>
      <x:c r="P500" s="1"/>
      <x:c r="Q500" s="1" t="n">
        <x:v>37</x:v>
      </x:c>
      <x:c r="R500" s="1" t="str">
        <x:v>N</x:v>
      </x:c>
      <x:c r="S500" s="1" t="n">
        <x:v>0</x:v>
      </x:c>
      <x:c r="T500" s="1" t="str">
        <x:v>합격</x:v>
      </x:c>
    </x:row>
    <x:row r="501" ht="22" customHeight="1">
      <x:c r="A501" s="1" t="str">
        <x:v>R00500</x:v>
      </x:c>
      <x:c r="B501" s="4" t="n">
        <x:v>46207.49663194444</x:v>
      </x:c>
      <x:c r="C501" s="1" t="str">
        <x:v>주간</x:v>
      </x:c>
      <x:c r="D501" s="1" t="str">
        <x:v>L1</x:v>
      </x:c>
      <x:c r="E501" s="1" t="str">
        <x:v>P1</x:v>
      </x:c>
      <x:c r="F501" s="1" t="str">
        <x:v>M01</x:v>
      </x:c>
      <x:c r="G501" s="1" t="str">
        <x:v>G02</x:v>
      </x:c>
      <x:c r="H501" s="5" t="n">
        <x:v>30.49</x:v>
      </x:c>
      <x:c r="I501" s="5" t="n">
        <x:v>5.77</x:v>
      </x:c>
      <x:c r="J501" s="5" t="n">
        <x:v>48.8</x:v>
      </x:c>
      <x:c r="K501" s="5" t="n">
        <x:v>37.8</x:v>
      </x:c>
      <x:c r="L501" s="5" t="n">
        <x:v>1.81</x:v>
      </x:c>
      <x:c r="M501" s="1" t="n">
        <x:v>0</x:v>
      </x:c>
      <x:c r="N501" s="6" t="n">
        <x:v>0.943</x:v>
      </x:c>
      <x:c r="O501" s="1" t="str">
        <x:v>합격</x:v>
      </x:c>
      <x:c r="P501" s="1"/>
      <x:c r="Q501" s="1" t="n">
        <x:v>40</x:v>
      </x:c>
      <x:c r="R501" s="1" t="str">
        <x:v>N</x:v>
      </x:c>
      <x:c r="S501" s="1" t="n">
        <x:v>0</x:v>
      </x:c>
      <x:c r="T501" s="1" t="str">
        <x:v>합격</x:v>
      </x:c>
    </x:row>
    <x:row r="502" ht="22" customHeight="1">
      <x:c r="A502" s="1" t="str">
        <x:v>R00501</x:v>
      </x:c>
      <x:c r="B502" s="4" t="n">
        <x:v>46208.55107638889</x:v>
      </x:c>
      <x:c r="C502" s="1" t="str">
        <x:v>주간</x:v>
      </x:c>
      <x:c r="D502" s="1" t="str">
        <x:v>L2</x:v>
      </x:c>
      <x:c r="E502" s="1" t="str">
        <x:v>P2</x:v>
      </x:c>
      <x:c r="F502" s="1" t="str">
        <x:v>M02</x:v>
      </x:c>
      <x:c r="G502" s="1" t="str">
        <x:v>G03</x:v>
      </x:c>
      <x:c r="H502" s="5" t="n">
        <x:v>28.33</x:v>
      </x:c>
      <x:c r="I502" s="5" t="n">
        <x:v>5.77</x:v>
      </x:c>
      <x:c r="J502" s="5" t="n">
        <x:v>55.5</x:v>
      </x:c>
      <x:c r="K502" s="5" t="n">
        <x:v>35.9</x:v>
      </x:c>
      <x:c r="L502" s="5" t="n">
        <x:v>2.47</x:v>
      </x:c>
      <x:c r="M502" s="1" t="n">
        <x:v>0</x:v>
      </x:c>
      <x:c r="N502" s="6" t="n">
        <x:v>1.011</x:v>
      </x:c>
      <x:c r="O502" s="1" t="str">
        <x:v>합격</x:v>
      </x:c>
      <x:c r="P502" s="1"/>
      <x:c r="Q502" s="1" t="n">
        <x:v>40</x:v>
      </x:c>
      <x:c r="R502" s="1" t="str">
        <x:v>N</x:v>
      </x:c>
      <x:c r="S502" s="1" t="n">
        <x:v>0</x:v>
      </x:c>
      <x:c r="T502" s="1" t="str">
        <x:v>합격</x:v>
      </x:c>
    </x:row>
    <x:row r="503" ht="22" customHeight="1">
      <x:c r="A503" s="1" t="str">
        <x:v>R00502</x:v>
      </x:c>
      <x:c r="B503" s="4" t="n">
        <x:v>46209.64519675926</x:v>
      </x:c>
      <x:c r="C503" s="1" t="str">
        <x:v>주간</x:v>
      </x:c>
      <x:c r="D503" s="1" t="str">
        <x:v>L1</x:v>
      </x:c>
      <x:c r="E503" s="1" t="str">
        <x:v>P1</x:v>
      </x:c>
      <x:c r="F503" s="1" t="str">
        <x:v>M03</x:v>
      </x:c>
      <x:c r="G503" s="1" t="str">
        <x:v>G04</x:v>
      </x:c>
      <x:c r="H503" s="5" t="n">
        <x:v>32.01</x:v>
      </x:c>
      <x:c r="I503" s="5" t="n">
        <x:v>5.68</x:v>
      </x:c>
      <x:c r="J503" s="5" t="n">
        <x:v>47.3</x:v>
      </x:c>
      <x:c r="K503" s="5" t="n">
        <x:v>39.8</x:v>
      </x:c>
      <x:c r="L503" s="5" t="n">
        <x:v>1.9</x:v>
      </x:c>
      <x:c r="M503" s="1" t="n">
        <x:v>0</x:v>
      </x:c>
      <x:c r="N503" s="6" t="n">
        <x:v>0.927</x:v>
      </x:c>
      <x:c r="O503" s="1" t="str">
        <x:v>합격</x:v>
      </x:c>
      <x:c r="P503" s="1"/>
      <x:c r="Q503" s="1" t="n">
        <x:v>40</x:v>
      </x:c>
      <x:c r="R503" s="1" t="str">
        <x:v>N</x:v>
      </x:c>
      <x:c r="S503" s="1" t="n">
        <x:v>0</x:v>
      </x:c>
      <x:c r="T503" s="1" t="str">
        <x:v>합격</x:v>
      </x:c>
    </x:row>
    <x:row r="504" ht="22" customHeight="1">
      <x:c r="A504" s="1" t="str">
        <x:v>R00503</x:v>
      </x:c>
      <x:c r="B504" s="4" t="n">
        <x:v>46210.64923611111</x:v>
      </x:c>
      <x:c r="C504" s="1" t="str">
        <x:v>주간</x:v>
      </x:c>
      <x:c r="D504" s="1" t="str">
        <x:v>L1</x:v>
      </x:c>
      <x:c r="E504" s="1" t="str">
        <x:v>P1</x:v>
      </x:c>
      <x:c r="F504" s="1" t="str">
        <x:v>M01</x:v>
      </x:c>
      <x:c r="G504" s="1" t="str">
        <x:v>G05</x:v>
      </x:c>
      <x:c r="H504" s="5" t="n">
        <x:v>27.75</x:v>
      </x:c>
      <x:c r="I504" s="5" t="n">
        <x:v>5.73</x:v>
      </x:c>
      <x:c r="J504" s="5" t="n">
        <x:v>55.4</x:v>
      </x:c>
      <x:c r="K504" s="5" t="n">
        <x:v>39.4</x:v>
      </x:c>
      <x:c r="L504" s="5" t="n">
        <x:v>1.71</x:v>
      </x:c>
      <x:c r="M504" s="1" t="n">
        <x:v>0</x:v>
      </x:c>
      <x:c r="N504" s="6" t="n">
        <x:v>0.865</x:v>
      </x:c>
      <x:c r="O504" s="1" t="str">
        <x:v>합격</x:v>
      </x:c>
      <x:c r="P504" s="1"/>
      <x:c r="Q504" s="1" t="n">
        <x:v>43</x:v>
      </x:c>
      <x:c r="R504" s="1" t="str">
        <x:v>N</x:v>
      </x:c>
      <x:c r="S504" s="1" t="n">
        <x:v>0</x:v>
      </x:c>
      <x:c r="T504" s="1" t="str">
        <x:v>합격</x:v>
      </x:c>
    </x:row>
    <x:row r="505" ht="22" customHeight="1">
      <x:c r="A505" s="1" t="str">
        <x:v>R00504</x:v>
      </x:c>
      <x:c r="B505" s="4" t="n">
        <x:v>46211.45575231482</x:v>
      </x:c>
      <x:c r="C505" s="1" t="str">
        <x:v>주간</x:v>
      </x:c>
      <x:c r="D505" s="1" t="str">
        <x:v>L2</x:v>
      </x:c>
      <x:c r="E505" s="1" t="str">
        <x:v>P2</x:v>
      </x:c>
      <x:c r="F505" s="1" t="str">
        <x:v>M04</x:v>
      </x:c>
      <x:c r="G505" s="1" t="str">
        <x:v>G06</x:v>
      </x:c>
      <x:c r="H505" s="5" t="n">
        <x:v>31.1</x:v>
      </x:c>
      <x:c r="I505" s="5" t="n">
        <x:v>5.77</x:v>
      </x:c>
      <x:c r="J505" s="5" t="n">
        <x:v>53.1</x:v>
      </x:c>
      <x:c r="K505" s="5" t="n">
        <x:v>35.5</x:v>
      </x:c>
      <x:c r="L505" s="5" t="n">
        <x:v>1.5</x:v>
      </x:c>
      <x:c r="M505" s="1" t="n">
        <x:v>0</x:v>
      </x:c>
      <x:c r="N505" s="6" t="n">
        <x:v>0.936</x:v>
      </x:c>
      <x:c r="O505" s="1" t="str">
        <x:v>합격</x:v>
      </x:c>
      <x:c r="P505" s="1"/>
      <x:c r="Q505" s="1" t="n">
        <x:v>46</x:v>
      </x:c>
      <x:c r="R505" s="1" t="str">
        <x:v>N</x:v>
      </x:c>
      <x:c r="S505" s="1" t="n">
        <x:v>0</x:v>
      </x:c>
      <x:c r="T505" s="1" t="str">
        <x:v>합격</x:v>
      </x:c>
    </x:row>
    <x:row r="506" ht="22" customHeight="1">
      <x:c r="A506" s="1" t="str">
        <x:v>R00505</x:v>
      </x:c>
      <x:c r="B506" s="4" t="n">
        <x:v>46212.55679398148</x:v>
      </x:c>
      <x:c r="C506" s="1" t="str">
        <x:v>주간</x:v>
      </x:c>
      <x:c r="D506" s="1" t="str">
        <x:v>L1</x:v>
      </x:c>
      <x:c r="E506" s="1" t="str">
        <x:v>P1</x:v>
      </x:c>
      <x:c r="F506" s="1" t="str">
        <x:v>M03</x:v>
      </x:c>
      <x:c r="G506" s="1" t="str">
        <x:v>G01</x:v>
      </x:c>
      <x:c r="H506" s="5" t="n">
        <x:v>28.59</x:v>
      </x:c>
      <x:c r="I506" s="5" t="n">
        <x:v>5.9</x:v>
      </x:c>
      <x:c r="J506" s="5" t="n">
        <x:v>49.7</x:v>
      </x:c>
      <x:c r="K506" s="5" t="n">
        <x:v>37.4</x:v>
      </x:c>
      <x:c r="L506" s="5" t="n">
        <x:v>1.53</x:v>
      </x:c>
      <x:c r="M506" s="1" t="n">
        <x:v>1</x:v>
      </x:c>
      <x:c r="N506" s="6" t="n">
        <x:v>1.035</x:v>
      </x:c>
      <x:c r="O506" s="1" t="str">
        <x:v>합격</x:v>
      </x:c>
      <x:c r="P506" s="1"/>
      <x:c r="Q506" s="1" t="n">
        <x:v>36</x:v>
      </x:c>
      <x:c r="R506" s="1" t="str">
        <x:v>N</x:v>
      </x:c>
      <x:c r="S506" s="1" t="n">
        <x:v>0</x:v>
      </x:c>
      <x:c r="T506" s="1" t="str">
        <x:v>합격</x:v>
      </x:c>
    </x:row>
    <x:row r="507" ht="22" customHeight="1">
      <x:c r="A507" s="1" t="str">
        <x:v>R00506</x:v>
      </x:c>
      <x:c r="B507" s="4" t="n">
        <x:v>46213.032476851855</x:v>
      </x:c>
      <x:c r="C507" s="1" t="str">
        <x:v>야간</x:v>
      </x:c>
      <x:c r="D507" s="1" t="str">
        <x:v>L1</x:v>
      </x:c>
      <x:c r="E507" s="1" t="str">
        <x:v>P1</x:v>
      </x:c>
      <x:c r="F507" s="1" t="str">
        <x:v>M04</x:v>
      </x:c>
      <x:c r="G507" s="1" t="str">
        <x:v>G02</x:v>
      </x:c>
      <x:c r="H507" s="5" t="n">
        <x:v>31.25</x:v>
      </x:c>
      <x:c r="I507" s="5" t="n">
        <x:v>5.68</x:v>
      </x:c>
      <x:c r="J507" s="5" t="n">
        <x:v>50.8</x:v>
      </x:c>
      <x:c r="K507" s="5" t="n">
        <x:v>40.3</x:v>
      </x:c>
      <x:c r="L507" s="5" t="n">
        <x:v>2.35</x:v>
      </x:c>
      <x:c r="M507" s="1" t="n">
        <x:v>1</x:v>
      </x:c>
      <x:c r="N507" s="6" t="n">
        <x:v>0.862</x:v>
      </x:c>
      <x:c r="O507" s="1" t="str">
        <x:v>합격</x:v>
      </x:c>
      <x:c r="P507" s="1"/>
      <x:c r="Q507" s="1" t="n">
        <x:v>49</x:v>
      </x:c>
      <x:c r="R507" s="1" t="str">
        <x:v>N</x:v>
      </x:c>
      <x:c r="S507" s="1" t="n">
        <x:v>0</x:v>
      </x:c>
      <x:c r="T507" s="1" t="str">
        <x:v>합격</x:v>
      </x:c>
    </x:row>
    <x:row r="508" ht="22" customHeight="1">
      <x:c r="A508" s="1" t="str">
        <x:v>R00507</x:v>
      </x:c>
      <x:c r="B508" s="4" t="n">
        <x:v>46214.07581018518</x:v>
      </x:c>
      <x:c r="C508" s="1" t="str">
        <x:v>야간</x:v>
      </x:c>
      <x:c r="D508" s="1" t="str">
        <x:v>L2</x:v>
      </x:c>
      <x:c r="E508" s="1" t="str">
        <x:v>P2</x:v>
      </x:c>
      <x:c r="F508" s="1" t="str">
        <x:v>M01</x:v>
      </x:c>
      <x:c r="G508" s="1" t="str">
        <x:v>G03</x:v>
      </x:c>
      <x:c r="H508" s="5" t="n">
        <x:v>30.5</x:v>
      </x:c>
      <x:c r="I508" s="5" t="n">
        <x:v>5.86</x:v>
      </x:c>
      <x:c r="J508" s="5" t="n">
        <x:v>49.7</x:v>
      </x:c>
      <x:c r="K508" s="5" t="n">
        <x:v>37.4</x:v>
      </x:c>
      <x:c r="L508" s="5" t="n">
        <x:v>1.66</x:v>
      </x:c>
      <x:c r="M508" s="1" t="n">
        <x:v>0</x:v>
      </x:c>
      <x:c r="N508" s="6" t="n">
        <x:v>0.851</x:v>
      </x:c>
      <x:c r="O508" s="1" t="str">
        <x:v>합격</x:v>
      </x:c>
      <x:c r="P508" s="1"/>
      <x:c r="Q508" s="1" t="n">
        <x:v>38</x:v>
      </x:c>
      <x:c r="R508" s="1" t="str">
        <x:v>N</x:v>
      </x:c>
      <x:c r="S508" s="1" t="n">
        <x:v>0</x:v>
      </x:c>
      <x:c r="T508" s="1" t="str">
        <x:v>합격</x:v>
      </x:c>
    </x:row>
    <x:row r="509" ht="22" customHeight="1">
      <x:c r="A509" s="1" t="str">
        <x:v>R00508</x:v>
      </x:c>
      <x:c r="B509" s="4" t="n">
        <x:v>46215.56130787037</x:v>
      </x:c>
      <x:c r="C509" s="1" t="str">
        <x:v>주간</x:v>
      </x:c>
      <x:c r="D509" s="1" t="str">
        <x:v>L2</x:v>
      </x:c>
      <x:c r="E509" s="1" t="str">
        <x:v>P2</x:v>
      </x:c>
      <x:c r="F509" s="1" t="str">
        <x:v>M04</x:v>
      </x:c>
      <x:c r="G509" s="1" t="str">
        <x:v>G04</x:v>
      </x:c>
      <x:c r="H509" s="5" t="n">
        <x:v>32.75</x:v>
      </x:c>
      <x:c r="I509" s="5" t="n">
        <x:v>6</x:v>
      </x:c>
      <x:c r="J509" s="5" t="n">
        <x:v>48.5</x:v>
      </x:c>
      <x:c r="K509" s="5" t="n">
        <x:v>39.3</x:v>
      </x:c>
      <x:c r="L509" s="5" t="n">
        <x:v>2.16</x:v>
      </x:c>
      <x:c r="M509" s="1" t="n">
        <x:v>0</x:v>
      </x:c>
      <x:c r="N509" s="6" t="n">
        <x:v>0.873</x:v>
      </x:c>
      <x:c r="O509" s="1" t="str">
        <x:v>합격</x:v>
      </x:c>
      <x:c r="P509" s="1"/>
      <x:c r="Q509" s="1" t="n">
        <x:v>46</x:v>
      </x:c>
      <x:c r="R509" s="1" t="str">
        <x:v>N</x:v>
      </x:c>
      <x:c r="S509" s="1" t="n">
        <x:v>0</x:v>
      </x:c>
      <x:c r="T509" s="1" t="str">
        <x:v>합격</x:v>
      </x:c>
    </x:row>
    <x:row r="510" ht="22" customHeight="1">
      <x:c r="A510" s="1" t="str">
        <x:v>R00509</x:v>
      </x:c>
      <x:c r="B510" s="4" t="n">
        <x:v>46216.63836805556</x:v>
      </x:c>
      <x:c r="C510" s="1" t="str">
        <x:v>주간</x:v>
      </x:c>
      <x:c r="D510" s="1" t="str">
        <x:v>L1</x:v>
      </x:c>
      <x:c r="E510" s="1" t="str">
        <x:v>P1</x:v>
      </x:c>
      <x:c r="F510" s="1" t="str">
        <x:v>M01</x:v>
      </x:c>
      <x:c r="G510" s="1" t="str">
        <x:v>G05</x:v>
      </x:c>
      <x:c r="H510" s="5" t="n">
        <x:v>32.22</x:v>
      </x:c>
      <x:c r="I510" s="5" t="n">
        <x:v>5.95</x:v>
      </x:c>
      <x:c r="J510" s="5" t="n">
        <x:v>57.1</x:v>
      </x:c>
      <x:c r="K510" s="5" t="n">
        <x:v>37.9</x:v>
      </x:c>
      <x:c r="L510" s="5" t="n">
        <x:v>1.96</x:v>
      </x:c>
      <x:c r="M510" s="1" t="n">
        <x:v>1</x:v>
      </x:c>
      <x:c r="N510" s="6" t="n">
        <x:v>0.881</x:v>
      </x:c>
      <x:c r="O510" s="1" t="str">
        <x:v>합격</x:v>
      </x:c>
      <x:c r="P510" s="1"/>
      <x:c r="Q510" s="1" t="n">
        <x:v>39</x:v>
      </x:c>
      <x:c r="R510" s="1" t="str">
        <x:v>N</x:v>
      </x:c>
      <x:c r="S510" s="1" t="n">
        <x:v>0</x:v>
      </x:c>
      <x:c r="T510" s="1" t="str">
        <x:v>합격</x:v>
      </x:c>
    </x:row>
    <x:row r="511" ht="22" customHeight="1">
      <x:c r="A511" s="1" t="str">
        <x:v>R00510</x:v>
      </x:c>
      <x:c r="B511" s="4" t="n">
        <x:v>46217.06616898148</x:v>
      </x:c>
      <x:c r="C511" s="1" t="str">
        <x:v>야간</x:v>
      </x:c>
      <x:c r="D511" s="1" t="str">
        <x:v>L2</x:v>
      </x:c>
      <x:c r="E511" s="1" t="str">
        <x:v>P2</x:v>
      </x:c>
      <x:c r="F511" s="1" t="str">
        <x:v>M02</x:v>
      </x:c>
      <x:c r="G511" s="1" t="str">
        <x:v>G06</x:v>
      </x:c>
      <x:c r="H511" s="5" t="n">
        <x:v>30.84</x:v>
      </x:c>
      <x:c r="I511" s="5" t="n">
        <x:v>5.92</x:v>
      </x:c>
      <x:c r="J511" s="5" t="n">
        <x:v>53.1</x:v>
      </x:c>
      <x:c r="K511" s="5" t="n">
        <x:v>39.7</x:v>
      </x:c>
      <x:c r="L511" s="5" t="n">
        <x:v>1.42</x:v>
      </x:c>
      <x:c r="M511" s="1" t="n">
        <x:v>0</x:v>
      </x:c>
      <x:c r="N511" s="6" t="n">
        <x:v>1.043</x:v>
      </x:c>
      <x:c r="O511" s="1" t="str">
        <x:v>합격</x:v>
      </x:c>
      <x:c r="P511" s="1"/>
      <x:c r="Q511" s="1" t="n">
        <x:v>35</x:v>
      </x:c>
      <x:c r="R511" s="1" t="str">
        <x:v>N</x:v>
      </x:c>
      <x:c r="S511" s="1" t="n">
        <x:v>0</x:v>
      </x:c>
      <x:c r="T511" s="1" t="str">
        <x:v>합격</x:v>
      </x:c>
    </x:row>
    <x:row r="512" ht="22" customHeight="1">
      <x:c r="A512" s="1" t="str">
        <x:v>R00511</x:v>
      </x:c>
      <x:c r="B512" s="4" t="n">
        <x:v>46218.911990740744</x:v>
      </x:c>
      <x:c r="C512" s="1" t="str">
        <x:v>야간</x:v>
      </x:c>
      <x:c r="D512" s="1" t="str">
        <x:v>L2</x:v>
      </x:c>
      <x:c r="E512" s="1" t="str">
        <x:v>P2</x:v>
      </x:c>
      <x:c r="F512" s="1" t="str">
        <x:v>M02</x:v>
      </x:c>
      <x:c r="G512" s="1" t="str">
        <x:v>G01</x:v>
      </x:c>
      <x:c r="H512" s="5" t="n">
        <x:v>31.53</x:v>
      </x:c>
      <x:c r="I512" s="5" t="n">
        <x:v>5.93</x:v>
      </x:c>
      <x:c r="J512" s="5" t="n">
        <x:v>54.2</x:v>
      </x:c>
      <x:c r="K512" s="5" t="n">
        <x:v>38.5</x:v>
      </x:c>
      <x:c r="L512" s="5" t="n">
        <x:v>2.4</x:v>
      </x:c>
      <x:c r="M512" s="1" t="n">
        <x:v>1</x:v>
      </x:c>
      <x:c r="N512" s="6" t="n">
        <x:v>0.989</x:v>
      </x:c>
      <x:c r="O512" s="1" t="str">
        <x:v>합격</x:v>
      </x:c>
      <x:c r="P512" s="1"/>
      <x:c r="Q512" s="1" t="n">
        <x:v>38</x:v>
      </x:c>
      <x:c r="R512" s="1" t="str">
        <x:v>N</x:v>
      </x:c>
      <x:c r="S512" s="1" t="n">
        <x:v>0</x:v>
      </x:c>
      <x:c r="T512" s="1" t="str">
        <x:v>합격</x:v>
      </x:c>
    </x:row>
    <x:row r="513" ht="22" customHeight="1">
      <x:c r="A513" s="1" t="str">
        <x:v>R00512</x:v>
      </x:c>
      <x:c r="B513" s="4" t="n">
        <x:v>46219.9334375</x:v>
      </x:c>
      <x:c r="C513" s="1" t="str">
        <x:v>야간</x:v>
      </x:c>
      <x:c r="D513" s="1" t="str">
        <x:v>L1</x:v>
      </x:c>
      <x:c r="E513" s="1" t="str">
        <x:v>P1</x:v>
      </x:c>
      <x:c r="F513" s="1" t="str">
        <x:v>M03</x:v>
      </x:c>
      <x:c r="G513" s="1" t="str">
        <x:v>G02</x:v>
      </x:c>
      <x:c r="H513" s="5" t="n">
        <x:v>26.12</x:v>
      </x:c>
      <x:c r="I513" s="5" t="n">
        <x:v>5.7</x:v>
      </x:c>
      <x:c r="J513" s="5" t="n">
        <x:v>49.4</x:v>
      </x:c>
      <x:c r="K513" s="5" t="n">
        <x:v>38.6</x:v>
      </x:c>
      <x:c r="L513" s="5" t="n">
        <x:v>2.32</x:v>
      </x:c>
      <x:c r="M513" s="1" t="n">
        <x:v>0</x:v>
      </x:c>
      <x:c r="N513" s="6" t="n">
        <x:v>0.902</x:v>
      </x:c>
      <x:c r="O513" s="1" t="str">
        <x:v>합격</x:v>
      </x:c>
      <x:c r="P513" s="1"/>
      <x:c r="Q513" s="1" t="n">
        <x:v>37</x:v>
      </x:c>
      <x:c r="R513" s="1" t="str">
        <x:v>N</x:v>
      </x:c>
      <x:c r="S513" s="1" t="n">
        <x:v>0</x:v>
      </x:c>
      <x:c r="T513" s="1" t="str">
        <x:v>합격</x:v>
      </x:c>
    </x:row>
    <x:row r="514" ht="22" customHeight="1">
      <x:c r="A514" s="1" t="str">
        <x:v>R00513</x:v>
      </x:c>
      <x:c r="B514" s="4" t="n">
        <x:v>46220.93834490741</x:v>
      </x:c>
      <x:c r="C514" s="1" t="str">
        <x:v>야간</x:v>
      </x:c>
      <x:c r="D514" s="1" t="str">
        <x:v>L1</x:v>
      </x:c>
      <x:c r="E514" s="1" t="str">
        <x:v>P1</x:v>
      </x:c>
      <x:c r="F514" s="1" t="str">
        <x:v>M04</x:v>
      </x:c>
      <x:c r="G514" s="1" t="str">
        <x:v>G03</x:v>
      </x:c>
      <x:c r="H514" s="5" t="n">
        <x:v>29.29</x:v>
      </x:c>
      <x:c r="I514" s="5" t="n">
        <x:v>5.91</x:v>
      </x:c>
      <x:c r="J514" s="5" t="n">
        <x:v>55.8</x:v>
      </x:c>
      <x:c r="K514" s="5" t="n">
        <x:v>38.7</x:v>
      </x:c>
      <x:c r="L514" s="5" t="n">
        <x:v>2.69</x:v>
      </x:c>
      <x:c r="M514" s="1" t="n">
        <x:v>1</x:v>
      </x:c>
      <x:c r="N514" s="6" t="n">
        <x:v>0.86</x:v>
      </x:c>
      <x:c r="O514" s="1" t="str">
        <x:v>합격</x:v>
      </x:c>
      <x:c r="P514" s="1"/>
      <x:c r="Q514" s="1" t="n">
        <x:v>46</x:v>
      </x:c>
      <x:c r="R514" s="1" t="str">
        <x:v>N</x:v>
      </x:c>
      <x:c r="S514" s="1" t="n">
        <x:v>0</x:v>
      </x:c>
      <x:c r="T514" s="1" t="str">
        <x:v>합격</x:v>
      </x:c>
    </x:row>
    <x:row r="515" ht="22" customHeight="1">
      <x:c r="A515" s="1" t="str">
        <x:v>R00514</x:v>
      </x:c>
      <x:c r="B515" s="4" t="n">
        <x:v>46221.37793981482</x:v>
      </x:c>
      <x:c r="C515" s="1" t="str">
        <x:v>주간</x:v>
      </x:c>
      <x:c r="D515" s="1" t="str">
        <x:v>L2</x:v>
      </x:c>
      <x:c r="E515" s="1" t="str">
        <x:v>P2</x:v>
      </x:c>
      <x:c r="F515" s="1" t="str">
        <x:v>M02</x:v>
      </x:c>
      <x:c r="G515" s="1" t="str">
        <x:v>G04</x:v>
      </x:c>
      <x:c r="H515" s="5" t="n">
        <x:v>29.01</x:v>
      </x:c>
      <x:c r="I515" s="5" t="n">
        <x:v>5.79</x:v>
      </x:c>
      <x:c r="J515" s="5" t="n">
        <x:v>51.5</x:v>
      </x:c>
      <x:c r="K515" s="5" t="n">
        <x:v>39.9</x:v>
      </x:c>
      <x:c r="L515" s="5" t="n">
        <x:v>1.82</x:v>
      </x:c>
      <x:c r="M515" s="1" t="n">
        <x:v>0</x:v>
      </x:c>
      <x:c r="N515" s="6" t="n">
        <x:v>0.925</x:v>
      </x:c>
      <x:c r="O515" s="1" t="str">
        <x:v>합격</x:v>
      </x:c>
      <x:c r="P515" s="1"/>
      <x:c r="Q515" s="1" t="n">
        <x:v>38</x:v>
      </x:c>
      <x:c r="R515" s="1" t="str">
        <x:v>N</x:v>
      </x:c>
      <x:c r="S515" s="1" t="n">
        <x:v>0</x:v>
      </x:c>
      <x:c r="T515" s="1" t="str">
        <x:v>합격</x:v>
      </x:c>
    </x:row>
    <x:row r="516" ht="22" customHeight="1">
      <x:c r="A516" s="1" t="str">
        <x:v>R00515</x:v>
      </x:c>
      <x:c r="B516" s="4" t="n">
        <x:v>46222.15951388889</x:v>
      </x:c>
      <x:c r="C516" s="1" t="str">
        <x:v>야간</x:v>
      </x:c>
      <x:c r="D516" s="1" t="str">
        <x:v>L1</x:v>
      </x:c>
      <x:c r="E516" s="1" t="str">
        <x:v>P1</x:v>
      </x:c>
      <x:c r="F516" s="1" t="str">
        <x:v>M04</x:v>
      </x:c>
      <x:c r="G516" s="1" t="str">
        <x:v>G05</x:v>
      </x:c>
      <x:c r="H516" s="5" t="n">
        <x:v>27.98</x:v>
      </x:c>
      <x:c r="I516" s="5" t="n">
        <x:v>5.92</x:v>
      </x:c>
      <x:c r="J516" s="5" t="n">
        <x:v>53.2</x:v>
      </x:c>
      <x:c r="K516" s="5" t="n">
        <x:v>36.9</x:v>
      </x:c>
      <x:c r="L516" s="5" t="n">
        <x:v>2.5</x:v>
      </x:c>
      <x:c r="M516" s="1" t="n">
        <x:v>1</x:v>
      </x:c>
      <x:c r="N516" s="6" t="n">
        <x:v>0.858</x:v>
      </x:c>
      <x:c r="O516" s="1" t="str">
        <x:v>합격</x:v>
      </x:c>
      <x:c r="P516" s="1"/>
      <x:c r="Q516" s="1" t="n">
        <x:v>41</x:v>
      </x:c>
      <x:c r="R516" s="1" t="str">
        <x:v>N</x:v>
      </x:c>
      <x:c r="S516" s="1" t="n">
        <x:v>0</x:v>
      </x:c>
      <x:c r="T516" s="1" t="str">
        <x:v>합격</x:v>
      </x:c>
    </x:row>
    <x:row r="517" ht="22" customHeight="1">
      <x:c r="A517" s="1" t="str">
        <x:v>R00516</x:v>
      </x:c>
      <x:c r="B517" s="4" t="n">
        <x:v>46223.405752314815</x:v>
      </x:c>
      <x:c r="C517" s="1" t="str">
        <x:v>주간</x:v>
      </x:c>
      <x:c r="D517" s="1" t="str">
        <x:v>L2</x:v>
      </x:c>
      <x:c r="E517" s="1" t="str">
        <x:v>P2</x:v>
      </x:c>
      <x:c r="F517" s="1" t="str">
        <x:v>M02</x:v>
      </x:c>
      <x:c r="G517" s="1" t="str">
        <x:v>G06</x:v>
      </x:c>
      <x:c r="H517" s="5" t="n">
        <x:v>31.12</x:v>
      </x:c>
      <x:c r="I517" s="5" t="n">
        <x:v>5.73</x:v>
      </x:c>
      <x:c r="J517" s="5" t="n">
        <x:v>49.6</x:v>
      </x:c>
      <x:c r="K517" s="5" t="n">
        <x:v>35.9</x:v>
      </x:c>
      <x:c r="L517" s="5" t="n">
        <x:v>2.68</x:v>
      </x:c>
      <x:c r="M517" s="1" t="n">
        <x:v>1</x:v>
      </x:c>
      <x:c r="N517" s="6" t="n">
        <x:v>1.012</x:v>
      </x:c>
      <x:c r="O517" s="1" t="str">
        <x:v>합격</x:v>
      </x:c>
      <x:c r="P517" s="1"/>
      <x:c r="Q517" s="1" t="n">
        <x:v>42</x:v>
      </x:c>
      <x:c r="R517" s="1" t="str">
        <x:v>N</x:v>
      </x:c>
      <x:c r="S517" s="1" t="n">
        <x:v>0</x:v>
      </x:c>
      <x:c r="T517" s="1" t="str">
        <x:v>합격</x:v>
      </x:c>
    </x:row>
    <x:row r="518" ht="22" customHeight="1">
      <x:c r="A518" s="1" t="str">
        <x:v>R00517</x:v>
      </x:c>
      <x:c r="B518" s="4" t="n">
        <x:v>46224.01730324074</x:v>
      </x:c>
      <x:c r="C518" s="1" t="str">
        <x:v>야간</x:v>
      </x:c>
      <x:c r="D518" s="1" t="str">
        <x:v>L1</x:v>
      </x:c>
      <x:c r="E518" s="1" t="str">
        <x:v>P1</x:v>
      </x:c>
      <x:c r="F518" s="1" t="str">
        <x:v>M04</x:v>
      </x:c>
      <x:c r="G518" s="1" t="str">
        <x:v>G01</x:v>
      </x:c>
      <x:c r="H518" s="5" t="n">
        <x:v>27.45</x:v>
      </x:c>
      <x:c r="I518" s="5" t="n">
        <x:v>5.74</x:v>
      </x:c>
      <x:c r="J518" s="5" t="n">
        <x:v>48.9</x:v>
      </x:c>
      <x:c r="K518" s="5" t="n">
        <x:v>35.8</x:v>
      </x:c>
      <x:c r="L518" s="5" t="n">
        <x:v>1.33</x:v>
      </x:c>
      <x:c r="M518" s="1" t="n">
        <x:v>0</x:v>
      </x:c>
      <x:c r="N518" s="6" t="n">
        <x:v>0.951</x:v>
      </x:c>
      <x:c r="O518" s="1" t="str">
        <x:v>합격</x:v>
      </x:c>
      <x:c r="P518" s="1"/>
      <x:c r="Q518" s="1" t="n">
        <x:v>48</x:v>
      </x:c>
      <x:c r="R518" s="1" t="str">
        <x:v>N</x:v>
      </x:c>
      <x:c r="S518" s="1" t="n">
        <x:v>0</x:v>
      </x:c>
      <x:c r="T518" s="1" t="str">
        <x:v>합격</x:v>
      </x:c>
    </x:row>
    <x:row r="519" ht="22" customHeight="1">
      <x:c r="A519" s="1" t="str">
        <x:v>R00518</x:v>
      </x:c>
      <x:c r="B519" s="4" t="n">
        <x:v>46225.61890046296</x:v>
      </x:c>
      <x:c r="C519" s="1" t="str">
        <x:v>주간</x:v>
      </x:c>
      <x:c r="D519" s="1" t="str">
        <x:v>L1</x:v>
      </x:c>
      <x:c r="E519" s="1" t="str">
        <x:v>P1</x:v>
      </x:c>
      <x:c r="F519" s="1" t="str">
        <x:v>M03</x:v>
      </x:c>
      <x:c r="G519" s="1" t="str">
        <x:v>G02</x:v>
      </x:c>
      <x:c r="H519" s="5" t="n">
        <x:v>29.91</x:v>
      </x:c>
      <x:c r="I519" s="5" t="n">
        <x:v>5.67</x:v>
      </x:c>
      <x:c r="J519" s="5" t="n">
        <x:v>55.8</x:v>
      </x:c>
      <x:c r="K519" s="5" t="n">
        <x:v>40.8</x:v>
      </x:c>
      <x:c r="L519" s="5" t="n">
        <x:v>2.52</x:v>
      </x:c>
      <x:c r="M519" s="1" t="n">
        <x:v>1</x:v>
      </x:c>
      <x:c r="N519" s="6" t="n">
        <x:v>0.991</x:v>
      </x:c>
      <x:c r="O519" s="1" t="str">
        <x:v>합격</x:v>
      </x:c>
      <x:c r="P519" s="1"/>
      <x:c r="Q519" s="1" t="n">
        <x:v>38</x:v>
      </x:c>
      <x:c r="R519" s="1" t="str">
        <x:v>N</x:v>
      </x:c>
      <x:c r="S519" s="1" t="n">
        <x:v>0</x:v>
      </x:c>
      <x:c r="T519" s="1" t="str">
        <x:v>합격</x:v>
      </x:c>
    </x:row>
    <x:row r="520" ht="22" customHeight="1">
      <x:c r="A520" s="1" t="str">
        <x:v>R00519</x:v>
      </x:c>
      <x:c r="B520" s="4" t="n">
        <x:v>46226.0937962963</x:v>
      </x:c>
      <x:c r="C520" s="1" t="str">
        <x:v>야간</x:v>
      </x:c>
      <x:c r="D520" s="1" t="str">
        <x:v>L2</x:v>
      </x:c>
      <x:c r="E520" s="1" t="str">
        <x:v>P2</x:v>
      </x:c>
      <x:c r="F520" s="1" t="str">
        <x:v>M04</x:v>
      </x:c>
      <x:c r="G520" s="1" t="str">
        <x:v>G03</x:v>
      </x:c>
      <x:c r="H520" s="5" t="n">
        <x:v>33.44</x:v>
      </x:c>
      <x:c r="I520" s="5" t="n">
        <x:v>5.92</x:v>
      </x:c>
      <x:c r="J520" s="5" t="n">
        <x:v>58.6</x:v>
      </x:c>
      <x:c r="K520" s="5" t="n">
        <x:v>37.9</x:v>
      </x:c>
      <x:c r="L520" s="5" t="n">
        <x:v>2.36</x:v>
      </x:c>
      <x:c r="M520" s="1" t="n">
        <x:v>0</x:v>
      </x:c>
      <x:c r="N520" s="6" t="n">
        <x:v>0.852</x:v>
      </x:c>
      <x:c r="O520" s="1" t="str">
        <x:v>불합격</x:v>
      </x:c>
      <x:c r="P520" s="1" t="str">
        <x:v>외관불량</x:v>
      </x:c>
      <x:c r="Q520" s="1" t="n">
        <x:v>41</x:v>
      </x:c>
      <x:c r="R520" s="1" t="str">
        <x:v>Y</x:v>
      </x:c>
      <x:c r="S520" s="1" t="n">
        <x:v>9</x:v>
      </x:c>
      <x:c r="T520" s="1" t="str">
        <x:v>재작업후합격</x:v>
      </x:c>
    </x:row>
    <x:row r="521" ht="22" customHeight="1">
      <x:c r="A521" s="1" t="str">
        <x:v>R00520</x:v>
      </x:c>
      <x:c r="B521" s="4" t="n">
        <x:v>46227.152233796296</x:v>
      </x:c>
      <x:c r="C521" s="1" t="str">
        <x:v>야간</x:v>
      </x:c>
      <x:c r="D521" s="1" t="str">
        <x:v>L1</x:v>
      </x:c>
      <x:c r="E521" s="1" t="str">
        <x:v>P1</x:v>
      </x:c>
      <x:c r="F521" s="1" t="str">
        <x:v>M04</x:v>
      </x:c>
      <x:c r="G521" s="1" t="str">
        <x:v>G04</x:v>
      </x:c>
      <x:c r="H521" s="5" t="n">
        <x:v>31.15</x:v>
      </x:c>
      <x:c r="I521" s="5" t="n">
        <x:v>5.79</x:v>
      </x:c>
      <x:c r="J521" s="5" t="n">
        <x:v>47.3</x:v>
      </x:c>
      <x:c r="K521" s="5" t="n">
        <x:v>41.3</x:v>
      </x:c>
      <x:c r="L521" s="5" t="n">
        <x:v>1.83</x:v>
      </x:c>
      <x:c r="M521" s="1" t="n">
        <x:v>0</x:v>
      </x:c>
      <x:c r="N521" s="6" t="n">
        <x:v>0.909</x:v>
      </x:c>
      <x:c r="O521" s="1" t="str">
        <x:v>합격</x:v>
      </x:c>
      <x:c r="P521" s="1"/>
      <x:c r="Q521" s="1" t="n">
        <x:v>49</x:v>
      </x:c>
      <x:c r="R521" s="1" t="str">
        <x:v>N</x:v>
      </x:c>
      <x:c r="S521" s="1" t="n">
        <x:v>0</x:v>
      </x:c>
      <x:c r="T521" s="1" t="str">
        <x:v>합격</x:v>
      </x:c>
    </x:row>
    <x:row r="522" ht="22" customHeight="1">
      <x:c r="A522" s="1" t="str">
        <x:v>R00521</x:v>
      </x:c>
      <x:c r="B522" s="4" t="n">
        <x:v>46228.5066087963</x:v>
      </x:c>
      <x:c r="C522" s="1" t="str">
        <x:v>주간</x:v>
      </x:c>
      <x:c r="D522" s="1" t="str">
        <x:v>L2</x:v>
      </x:c>
      <x:c r="E522" s="1" t="str">
        <x:v>P2</x:v>
      </x:c>
      <x:c r="F522" s="1" t="str">
        <x:v>M02</x:v>
      </x:c>
      <x:c r="G522" s="1" t="str">
        <x:v>G05</x:v>
      </x:c>
      <x:c r="H522" s="5" t="n">
        <x:v>29.12</x:v>
      </x:c>
      <x:c r="I522" s="5" t="n">
        <x:v>5.88</x:v>
      </x:c>
      <x:c r="J522" s="5" t="n">
        <x:v>54.8</x:v>
      </x:c>
      <x:c r="K522" s="5" t="n">
        <x:v>37.1</x:v>
      </x:c>
      <x:c r="L522" s="5" t="n">
        <x:v>2.65</x:v>
      </x:c>
      <x:c r="M522" s="1" t="n">
        <x:v>1</x:v>
      </x:c>
      <x:c r="N522" s="6" t="n">
        <x:v>0.886</x:v>
      </x:c>
      <x:c r="O522" s="1" t="str">
        <x:v>합격</x:v>
      </x:c>
      <x:c r="P522" s="1"/>
      <x:c r="Q522" s="1" t="n">
        <x:v>47</x:v>
      </x:c>
      <x:c r="R522" s="1" t="str">
        <x:v>N</x:v>
      </x:c>
      <x:c r="S522" s="1" t="n">
        <x:v>0</x:v>
      </x:c>
      <x:c r="T522" s="1" t="str">
        <x:v>합격</x:v>
      </x:c>
    </x:row>
    <x:row r="523" ht="22" customHeight="1">
      <x:c r="A523" s="1" t="str">
        <x:v>R00522</x:v>
      </x:c>
      <x:c r="B523" s="4" t="n">
        <x:v>46229.139699074076</x:v>
      </x:c>
      <x:c r="C523" s="1" t="str">
        <x:v>야간</x:v>
      </x:c>
      <x:c r="D523" s="1" t="str">
        <x:v>L1</x:v>
      </x:c>
      <x:c r="E523" s="1" t="str">
        <x:v>P1</x:v>
      </x:c>
      <x:c r="F523" s="1" t="str">
        <x:v>M03</x:v>
      </x:c>
      <x:c r="G523" s="1" t="str">
        <x:v>G06</x:v>
      </x:c>
      <x:c r="H523" s="5" t="n">
        <x:v>25.8</x:v>
      </x:c>
      <x:c r="I523" s="5" t="n">
        <x:v>5.95</x:v>
      </x:c>
      <x:c r="J523" s="5" t="n">
        <x:v>56</x:v>
      </x:c>
      <x:c r="K523" s="5" t="n">
        <x:v>38.2</x:v>
      </x:c>
      <x:c r="L523" s="5" t="n">
        <x:v>2.09</x:v>
      </x:c>
      <x:c r="M523" s="1" t="n">
        <x:v>1</x:v>
      </x:c>
      <x:c r="N523" s="6" t="n">
        <x:v>1.034</x:v>
      </x:c>
      <x:c r="O523" s="1" t="str">
        <x:v>합격</x:v>
      </x:c>
      <x:c r="P523" s="1"/>
      <x:c r="Q523" s="1" t="n">
        <x:v>48</x:v>
      </x:c>
      <x:c r="R523" s="1" t="str">
        <x:v>N</x:v>
      </x:c>
      <x:c r="S523" s="1" t="n">
        <x:v>0</x:v>
      </x:c>
      <x:c r="T523" s="1" t="str">
        <x:v>합격</x:v>
      </x:c>
    </x:row>
    <x:row r="524" ht="22" customHeight="1">
      <x:c r="A524" s="1" t="str">
        <x:v>R00523</x:v>
      </x:c>
      <x:c r="B524" s="4" t="n">
        <x:v>46230.45482638889</x:v>
      </x:c>
      <x:c r="C524" s="1" t="str">
        <x:v>주간</x:v>
      </x:c>
      <x:c r="D524" s="1" t="str">
        <x:v>L2</x:v>
      </x:c>
      <x:c r="E524" s="1" t="str">
        <x:v>P2</x:v>
      </x:c>
      <x:c r="F524" s="1" t="str">
        <x:v>M04</x:v>
      </x:c>
      <x:c r="G524" s="1" t="str">
        <x:v>G01</x:v>
      </x:c>
      <x:c r="H524" s="5" t="n">
        <x:v>28.8</x:v>
      </x:c>
      <x:c r="I524" s="5" t="n">
        <x:v>5.62</x:v>
      </x:c>
      <x:c r="J524" s="5" t="n">
        <x:v>56.9</x:v>
      </x:c>
      <x:c r="K524" s="5" t="n">
        <x:v>40</x:v>
      </x:c>
      <x:c r="L524" s="5" t="n">
        <x:v>1.7</x:v>
      </x:c>
      <x:c r="M524" s="1" t="n">
        <x:v>0</x:v>
      </x:c>
      <x:c r="N524" s="6" t="n">
        <x:v>0.95</x:v>
      </x:c>
      <x:c r="O524" s="1" t="str">
        <x:v>합격</x:v>
      </x:c>
      <x:c r="P524" s="1"/>
      <x:c r="Q524" s="1" t="n">
        <x:v>39</x:v>
      </x:c>
      <x:c r="R524" s="1" t="str">
        <x:v>N</x:v>
      </x:c>
      <x:c r="S524" s="1" t="n">
        <x:v>0</x:v>
      </x:c>
      <x:c r="T524" s="1" t="str">
        <x:v>합격</x:v>
      </x:c>
    </x:row>
    <x:row r="525" ht="22" customHeight="1">
      <x:c r="A525" s="1" t="str">
        <x:v>R00524</x:v>
      </x:c>
      <x:c r="B525" s="4" t="n">
        <x:v>46231.66135416667</x:v>
      </x:c>
      <x:c r="C525" s="1" t="str">
        <x:v>주간</x:v>
      </x:c>
      <x:c r="D525" s="1" t="str">
        <x:v>L1</x:v>
      </x:c>
      <x:c r="E525" s="1" t="str">
        <x:v>P1</x:v>
      </x:c>
      <x:c r="F525" s="1" t="str">
        <x:v>M01</x:v>
      </x:c>
      <x:c r="G525" s="1" t="str">
        <x:v>G02</x:v>
      </x:c>
      <x:c r="H525" s="5" t="n">
        <x:v>28.39</x:v>
      </x:c>
      <x:c r="I525" s="5" t="n">
        <x:v>5.66</x:v>
      </x:c>
      <x:c r="J525" s="5" t="n">
        <x:v>53.6</x:v>
      </x:c>
      <x:c r="K525" s="5" t="n">
        <x:v>37.2</x:v>
      </x:c>
      <x:c r="L525" s="5" t="n">
        <x:v>1.49</x:v>
      </x:c>
      <x:c r="M525" s="1" t="n">
        <x:v>0</x:v>
      </x:c>
      <x:c r="N525" s="6" t="n">
        <x:v>0.938</x:v>
      </x:c>
      <x:c r="O525" s="1" t="str">
        <x:v>합격</x:v>
      </x:c>
      <x:c r="P525" s="1"/>
      <x:c r="Q525" s="1" t="n">
        <x:v>40</x:v>
      </x:c>
      <x:c r="R525" s="1" t="str">
        <x:v>N</x:v>
      </x:c>
      <x:c r="S525" s="1" t="n">
        <x:v>0</x:v>
      </x:c>
      <x:c r="T525" s="1" t="str">
        <x:v>합격</x:v>
      </x:c>
    </x:row>
    <x:row r="526" ht="22" customHeight="1">
      <x:c r="A526" s="1" t="str">
        <x:v>R00525</x:v>
      </x:c>
      <x:c r="B526" s="4" t="n">
        <x:v>46232.60135416667</x:v>
      </x:c>
      <x:c r="C526" s="1" t="str">
        <x:v>주간</x:v>
      </x:c>
      <x:c r="D526" s="1" t="str">
        <x:v>L2</x:v>
      </x:c>
      <x:c r="E526" s="1" t="str">
        <x:v>P2</x:v>
      </x:c>
      <x:c r="F526" s="1" t="str">
        <x:v>M02</x:v>
      </x:c>
      <x:c r="G526" s="1" t="str">
        <x:v>G03</x:v>
      </x:c>
      <x:c r="H526" s="5" t="n">
        <x:v>31.76</x:v>
      </x:c>
      <x:c r="I526" s="5" t="n">
        <x:v>5.71</x:v>
      </x:c>
      <x:c r="J526" s="5" t="n">
        <x:v>53.7</x:v>
      </x:c>
      <x:c r="K526" s="5" t="n">
        <x:v>38.3</x:v>
      </x:c>
      <x:c r="L526" s="5" t="n">
        <x:v>2.25</x:v>
      </x:c>
      <x:c r="M526" s="1" t="n">
        <x:v>0</x:v>
      </x:c>
      <x:c r="N526" s="6" t="n">
        <x:v>0.969</x:v>
      </x:c>
      <x:c r="O526" s="1" t="str">
        <x:v>합격</x:v>
      </x:c>
      <x:c r="P526" s="1"/>
      <x:c r="Q526" s="1" t="n">
        <x:v>48</x:v>
      </x:c>
      <x:c r="R526" s="1" t="str">
        <x:v>N</x:v>
      </x:c>
      <x:c r="S526" s="1" t="n">
        <x:v>0</x:v>
      </x:c>
      <x:c r="T526" s="1" t="str">
        <x:v>합격</x:v>
      </x:c>
    </x:row>
    <x:row r="527" ht="22" customHeight="1">
      <x:c r="A527" s="1" t="str">
        <x:v>R00526</x:v>
      </x:c>
      <x:c r="B527" s="4" t="n">
        <x:v>46233.40084490741</x:v>
      </x:c>
      <x:c r="C527" s="1" t="str">
        <x:v>주간</x:v>
      </x:c>
      <x:c r="D527" s="1" t="str">
        <x:v>L1</x:v>
      </x:c>
      <x:c r="E527" s="1" t="str">
        <x:v>P1</x:v>
      </x:c>
      <x:c r="F527" s="1" t="str">
        <x:v>M03</x:v>
      </x:c>
      <x:c r="G527" s="1" t="str">
        <x:v>G04</x:v>
      </x:c>
      <x:c r="H527" s="5" t="n">
        <x:v>32.06</x:v>
      </x:c>
      <x:c r="I527" s="5" t="n">
        <x:v>5.81</x:v>
      </x:c>
      <x:c r="J527" s="5" t="n">
        <x:v>50.9</x:v>
      </x:c>
      <x:c r="K527" s="5" t="n">
        <x:v>40.4</x:v>
      </x:c>
      <x:c r="L527" s="5" t="n">
        <x:v>1.57</x:v>
      </x:c>
      <x:c r="M527" s="1" t="n">
        <x:v>1</x:v>
      </x:c>
      <x:c r="N527" s="6" t="n">
        <x:v>0.946</x:v>
      </x:c>
      <x:c r="O527" s="1" t="str">
        <x:v>합격</x:v>
      </x:c>
      <x:c r="P527" s="1"/>
      <x:c r="Q527" s="1" t="n">
        <x:v>37</x:v>
      </x:c>
      <x:c r="R527" s="1" t="str">
        <x:v>N</x:v>
      </x:c>
      <x:c r="S527" s="1" t="n">
        <x:v>0</x:v>
      </x:c>
      <x:c r="T527" s="1" t="str">
        <x:v>합격</x:v>
      </x:c>
    </x:row>
    <x:row r="528" ht="22" customHeight="1">
      <x:c r="A528" s="1" t="str">
        <x:v>R00527</x:v>
      </x:c>
      <x:c r="B528" s="4" t="n">
        <x:v>46234.416597222225</x:v>
      </x:c>
      <x:c r="C528" s="1" t="str">
        <x:v>주간</x:v>
      </x:c>
      <x:c r="D528" s="1" t="str">
        <x:v>L1</x:v>
      </x:c>
      <x:c r="E528" s="1" t="str">
        <x:v>P1</x:v>
      </x:c>
      <x:c r="F528" s="1" t="str">
        <x:v>M01</x:v>
      </x:c>
      <x:c r="G528" s="1" t="str">
        <x:v>G05</x:v>
      </x:c>
      <x:c r="H528" s="5" t="n">
        <x:v>31.24</x:v>
      </x:c>
      <x:c r="I528" s="5" t="n">
        <x:v>5.83</x:v>
      </x:c>
      <x:c r="J528" s="5" t="n">
        <x:v>54.4</x:v>
      </x:c>
      <x:c r="K528" s="5" t="n">
        <x:v>39.3</x:v>
      </x:c>
      <x:c r="L528" s="5" t="n">
        <x:v>2.59</x:v>
      </x:c>
      <x:c r="M528" s="1" t="n">
        <x:v>0</x:v>
      </x:c>
      <x:c r="N528" s="6" t="n">
        <x:v>0.957</x:v>
      </x:c>
      <x:c r="O528" s="1" t="str">
        <x:v>합격</x:v>
      </x:c>
      <x:c r="P528" s="1"/>
      <x:c r="Q528" s="1" t="n">
        <x:v>37</x:v>
      </x:c>
      <x:c r="R528" s="1" t="str">
        <x:v>N</x:v>
      </x:c>
      <x:c r="S528" s="1" t="n">
        <x:v>0</x:v>
      </x:c>
      <x:c r="T528" s="1" t="str">
        <x:v>합격</x:v>
      </x:c>
    </x:row>
    <x:row r="529" ht="22" customHeight="1">
      <x:c r="A529" s="1" t="str">
        <x:v>R00528</x:v>
      </x:c>
      <x:c r="B529" s="4" t="n">
        <x:v>46204.988171296296</x:v>
      </x:c>
      <x:c r="C529" s="1" t="str">
        <x:v>야간</x:v>
      </x:c>
      <x:c r="D529" s="1" t="str">
        <x:v>L1</x:v>
      </x:c>
      <x:c r="E529" s="1" t="str">
        <x:v>P1</x:v>
      </x:c>
      <x:c r="F529" s="1" t="str">
        <x:v>M04</x:v>
      </x:c>
      <x:c r="G529" s="1" t="str">
        <x:v>G06</x:v>
      </x:c>
      <x:c r="H529" s="5" t="n">
        <x:v>30.36</x:v>
      </x:c>
      <x:c r="I529" s="5" t="n">
        <x:v>5.98</x:v>
      </x:c>
      <x:c r="J529" s="5" t="n">
        <x:v>51</x:v>
      </x:c>
      <x:c r="K529" s="5" t="n">
        <x:v>36.7</x:v>
      </x:c>
      <x:c r="L529" s="5" t="n">
        <x:v>1.45</x:v>
      </x:c>
      <x:c r="M529" s="1" t="n">
        <x:v>1</x:v>
      </x:c>
      <x:c r="N529" s="6" t="n">
        <x:v>0.945</x:v>
      </x:c>
      <x:c r="O529" s="1" t="str">
        <x:v>합격</x:v>
      </x:c>
      <x:c r="P529" s="1"/>
      <x:c r="Q529" s="1" t="n">
        <x:v>37</x:v>
      </x:c>
      <x:c r="R529" s="1" t="str">
        <x:v>N</x:v>
      </x:c>
      <x:c r="S529" s="1" t="n">
        <x:v>0</x:v>
      </x:c>
      <x:c r="T529" s="1" t="str">
        <x:v>합격</x:v>
      </x:c>
    </x:row>
    <x:row r="530" ht="22" customHeight="1">
      <x:c r="A530" s="1" t="str">
        <x:v>R00529</x:v>
      </x:c>
      <x:c r="B530" s="4" t="n">
        <x:v>46205.8927662037</x:v>
      </x:c>
      <x:c r="C530" s="1" t="str">
        <x:v>야간</x:v>
      </x:c>
      <x:c r="D530" s="1" t="str">
        <x:v>L1</x:v>
      </x:c>
      <x:c r="E530" s="1" t="str">
        <x:v>P1</x:v>
      </x:c>
      <x:c r="F530" s="1" t="str">
        <x:v>M03</x:v>
      </x:c>
      <x:c r="G530" s="1" t="str">
        <x:v>G01</x:v>
      </x:c>
      <x:c r="H530" s="5" t="n">
        <x:v>33.65</x:v>
      </x:c>
      <x:c r="I530" s="5" t="n">
        <x:v>5.93</x:v>
      </x:c>
      <x:c r="J530" s="5" t="n">
        <x:v>50.2</x:v>
      </x:c>
      <x:c r="K530" s="5" t="n">
        <x:v>40.5</x:v>
      </x:c>
      <x:c r="L530" s="5" t="n">
        <x:v>1.92</x:v>
      </x:c>
      <x:c r="M530" s="1" t="n">
        <x:v>1</x:v>
      </x:c>
      <x:c r="N530" s="6" t="n">
        <x:v>0.994</x:v>
      </x:c>
      <x:c r="O530" s="1" t="str">
        <x:v>합격</x:v>
      </x:c>
      <x:c r="P530" s="1"/>
      <x:c r="Q530" s="1" t="n">
        <x:v>49</x:v>
      </x:c>
      <x:c r="R530" s="1" t="str">
        <x:v>N</x:v>
      </x:c>
      <x:c r="S530" s="1" t="n">
        <x:v>0</x:v>
      </x:c>
      <x:c r="T530" s="1" t="str">
        <x:v>합격</x:v>
      </x:c>
    </x:row>
    <x:row r="531" ht="22" customHeight="1">
      <x:c r="A531" s="1" t="str">
        <x:v>R00530</x:v>
      </x:c>
      <x:c r="B531" s="4" t="n">
        <x:v>46206.833506944444</x:v>
      </x:c>
      <x:c r="C531" s="1" t="str">
        <x:v>야간</x:v>
      </x:c>
      <x:c r="D531" s="1" t="str">
        <x:v>L2</x:v>
      </x:c>
      <x:c r="E531" s="1" t="str">
        <x:v>P2</x:v>
      </x:c>
      <x:c r="F531" s="1" t="str">
        <x:v>M01</x:v>
      </x:c>
      <x:c r="G531" s="1" t="str">
        <x:v>G02</x:v>
      </x:c>
      <x:c r="H531" s="5" t="n">
        <x:v>29.2</x:v>
      </x:c>
      <x:c r="I531" s="5" t="n">
        <x:v>5.76</x:v>
      </x:c>
      <x:c r="J531" s="5" t="n">
        <x:v>56.2</x:v>
      </x:c>
      <x:c r="K531" s="5" t="n">
        <x:v>37.4</x:v>
      </x:c>
      <x:c r="L531" s="5" t="n">
        <x:v>1.96</x:v>
      </x:c>
      <x:c r="M531" s="1" t="n">
        <x:v>1</x:v>
      </x:c>
      <x:c r="N531" s="6" t="n">
        <x:v>0.971</x:v>
      </x:c>
      <x:c r="O531" s="1" t="str">
        <x:v>합격</x:v>
      </x:c>
      <x:c r="P531" s="1"/>
      <x:c r="Q531" s="1" t="n">
        <x:v>38</x:v>
      </x:c>
      <x:c r="R531" s="1" t="str">
        <x:v>N</x:v>
      </x:c>
      <x:c r="S531" s="1" t="n">
        <x:v>0</x:v>
      </x:c>
      <x:c r="T531" s="1" t="str">
        <x:v>합격</x:v>
      </x:c>
    </x:row>
    <x:row r="532" ht="22" customHeight="1">
      <x:c r="A532" s="1" t="str">
        <x:v>R00531</x:v>
      </x:c>
      <x:c r="B532" s="4" t="n">
        <x:v>46207.5622337963</x:v>
      </x:c>
      <x:c r="C532" s="1" t="str">
        <x:v>주간</x:v>
      </x:c>
      <x:c r="D532" s="1" t="str">
        <x:v>L2</x:v>
      </x:c>
      <x:c r="E532" s="1" t="str">
        <x:v>P2</x:v>
      </x:c>
      <x:c r="F532" s="1" t="str">
        <x:v>M04</x:v>
      </x:c>
      <x:c r="G532" s="1" t="str">
        <x:v>G03</x:v>
      </x:c>
      <x:c r="H532" s="5" t="n">
        <x:v>32.09</x:v>
      </x:c>
      <x:c r="I532" s="5" t="n">
        <x:v>5.8</x:v>
      </x:c>
      <x:c r="J532" s="5" t="n">
        <x:v>47.9</x:v>
      </x:c>
      <x:c r="K532" s="5" t="n">
        <x:v>41.7</x:v>
      </x:c>
      <x:c r="L532" s="5" t="n">
        <x:v>2.51</x:v>
      </x:c>
      <x:c r="M532" s="1" t="n">
        <x:v>0</x:v>
      </x:c>
      <x:c r="N532" s="6" t="n">
        <x:v>0.908</x:v>
      </x:c>
      <x:c r="O532" s="1" t="str">
        <x:v>합격</x:v>
      </x:c>
      <x:c r="P532" s="1"/>
      <x:c r="Q532" s="1" t="n">
        <x:v>46</x:v>
      </x:c>
      <x:c r="R532" s="1" t="str">
        <x:v>N</x:v>
      </x:c>
      <x:c r="S532" s="1" t="n">
        <x:v>0</x:v>
      </x:c>
      <x:c r="T532" s="1" t="str">
        <x:v>합격</x:v>
      </x:c>
    </x:row>
    <x:row r="533" ht="22" customHeight="1">
      <x:c r="A533" s="1" t="str">
        <x:v>R00532</x:v>
      </x:c>
      <x:c r="B533" s="4" t="n">
        <x:v>46208.95773148148</x:v>
      </x:c>
      <x:c r="C533" s="1" t="str">
        <x:v>야간</x:v>
      </x:c>
      <x:c r="D533" s="1" t="str">
        <x:v>L1</x:v>
      </x:c>
      <x:c r="E533" s="1" t="str">
        <x:v>P1</x:v>
      </x:c>
      <x:c r="F533" s="1" t="str">
        <x:v>M04</x:v>
      </x:c>
      <x:c r="G533" s="1" t="str">
        <x:v>G04</x:v>
      </x:c>
      <x:c r="H533" s="5" t="n">
        <x:v>28.93</x:v>
      </x:c>
      <x:c r="I533" s="5" t="n">
        <x:v>5.81</x:v>
      </x:c>
      <x:c r="J533" s="5" t="n">
        <x:v>58.4</x:v>
      </x:c>
      <x:c r="K533" s="5" t="n">
        <x:v>36</x:v>
      </x:c>
      <x:c r="L533" s="5" t="n">
        <x:v>2.59</x:v>
      </x:c>
      <x:c r="M533" s="1" t="n">
        <x:v>1</x:v>
      </x:c>
      <x:c r="N533" s="6" t="n">
        <x:v>0.955</x:v>
      </x:c>
      <x:c r="O533" s="1" t="str">
        <x:v>합격</x:v>
      </x:c>
      <x:c r="P533" s="1"/>
      <x:c r="Q533" s="1" t="n">
        <x:v>44</x:v>
      </x:c>
      <x:c r="R533" s="1" t="str">
        <x:v>N</x:v>
      </x:c>
      <x:c r="S533" s="1" t="n">
        <x:v>0</x:v>
      </x:c>
      <x:c r="T533" s="1" t="str">
        <x:v>합격</x:v>
      </x:c>
    </x:row>
    <x:row r="534" ht="22" customHeight="1">
      <x:c r="A534" s="1" t="str">
        <x:v>R00533</x:v>
      </x:c>
      <x:c r="B534" s="4" t="n">
        <x:v>46209.54163194444</x:v>
      </x:c>
      <x:c r="C534" s="1" t="str">
        <x:v>주간</x:v>
      </x:c>
      <x:c r="D534" s="1" t="str">
        <x:v>L1</x:v>
      </x:c>
      <x:c r="E534" s="1" t="str">
        <x:v>P1</x:v>
      </x:c>
      <x:c r="F534" s="1" t="str">
        <x:v>M01</x:v>
      </x:c>
      <x:c r="G534" s="1" t="str">
        <x:v>G05</x:v>
      </x:c>
      <x:c r="H534" s="5" t="n">
        <x:v>29.27</x:v>
      </x:c>
      <x:c r="I534" s="5" t="n">
        <x:v>5.64</x:v>
      </x:c>
      <x:c r="J534" s="5" t="n">
        <x:v>53</x:v>
      </x:c>
      <x:c r="K534" s="5" t="n">
        <x:v>41.9</x:v>
      </x:c>
      <x:c r="L534" s="5" t="n">
        <x:v>2.07</x:v>
      </x:c>
      <x:c r="M534" s="1" t="n">
        <x:v>1</x:v>
      </x:c>
      <x:c r="N534" s="6" t="n">
        <x:v>1.04</x:v>
      </x:c>
      <x:c r="O534" s="1" t="str">
        <x:v>합격</x:v>
      </x:c>
      <x:c r="P534" s="1"/>
      <x:c r="Q534" s="1" t="n">
        <x:v>46</x:v>
      </x:c>
      <x:c r="R534" s="1" t="str">
        <x:v>N</x:v>
      </x:c>
      <x:c r="S534" s="1" t="n">
        <x:v>0</x:v>
      </x:c>
      <x:c r="T534" s="1" t="str">
        <x:v>합격</x:v>
      </x:c>
    </x:row>
    <x:row r="535" ht="22" customHeight="1">
      <x:c r="A535" s="1" t="str">
        <x:v>R00534</x:v>
      </x:c>
      <x:c r="B535" s="4" t="n">
        <x:v>46210.86620370371</x:v>
      </x:c>
      <x:c r="C535" s="1" t="str">
        <x:v>야간</x:v>
      </x:c>
      <x:c r="D535" s="1" t="str">
        <x:v>L2</x:v>
      </x:c>
      <x:c r="E535" s="1" t="str">
        <x:v>P2</x:v>
      </x:c>
      <x:c r="F535" s="1" t="str">
        <x:v>M01</x:v>
      </x:c>
      <x:c r="G535" s="1" t="str">
        <x:v>G06</x:v>
      </x:c>
      <x:c r="H535" s="5" t="n">
        <x:v>31.1</x:v>
      </x:c>
      <x:c r="I535" s="5" t="n">
        <x:v>5.76</x:v>
      </x:c>
      <x:c r="J535" s="5" t="n">
        <x:v>53.3</x:v>
      </x:c>
      <x:c r="K535" s="5" t="n">
        <x:v>36.8</x:v>
      </x:c>
      <x:c r="L535" s="5" t="n">
        <x:v>2.1</x:v>
      </x:c>
      <x:c r="M535" s="1" t="n">
        <x:v>1</x:v>
      </x:c>
      <x:c r="N535" s="6" t="n">
        <x:v>0.975</x:v>
      </x:c>
      <x:c r="O535" s="1" t="str">
        <x:v>합격</x:v>
      </x:c>
      <x:c r="P535" s="1"/>
      <x:c r="Q535" s="1" t="n">
        <x:v>40</x:v>
      </x:c>
      <x:c r="R535" s="1" t="str">
        <x:v>N</x:v>
      </x:c>
      <x:c r="S535" s="1" t="n">
        <x:v>0</x:v>
      </x:c>
      <x:c r="T535" s="1" t="str">
        <x:v>합격</x:v>
      </x:c>
    </x:row>
    <x:row r="536" ht="22" customHeight="1">
      <x:c r="A536" s="1" t="str">
        <x:v>R00535</x:v>
      </x:c>
      <x:c r="B536" s="4" t="n">
        <x:v>46211.43681712963</x:v>
      </x:c>
      <x:c r="C536" s="1" t="str">
        <x:v>주간</x:v>
      </x:c>
      <x:c r="D536" s="1" t="str">
        <x:v>L2</x:v>
      </x:c>
      <x:c r="E536" s="1" t="str">
        <x:v>P2</x:v>
      </x:c>
      <x:c r="F536" s="1" t="str">
        <x:v>M02</x:v>
      </x:c>
      <x:c r="G536" s="1" t="str">
        <x:v>G01</x:v>
      </x:c>
      <x:c r="H536" s="5" t="n">
        <x:v>32.8</x:v>
      </x:c>
      <x:c r="I536" s="5" t="n">
        <x:v>5.98</x:v>
      </x:c>
      <x:c r="J536" s="5" t="n">
        <x:v>48.3</x:v>
      </x:c>
      <x:c r="K536" s="5" t="n">
        <x:v>41.4</x:v>
      </x:c>
      <x:c r="L536" s="5" t="n">
        <x:v>2.21</x:v>
      </x:c>
      <x:c r="M536" s="1" t="n">
        <x:v>1</x:v>
      </x:c>
      <x:c r="N536" s="6" t="n">
        <x:v>1.002</x:v>
      </x:c>
      <x:c r="O536" s="1" t="str">
        <x:v>합격</x:v>
      </x:c>
      <x:c r="P536" s="1"/>
      <x:c r="Q536" s="1" t="n">
        <x:v>35</x:v>
      </x:c>
      <x:c r="R536" s="1" t="str">
        <x:v>N</x:v>
      </x:c>
      <x:c r="S536" s="1" t="n">
        <x:v>0</x:v>
      </x:c>
      <x:c r="T536" s="1" t="str">
        <x:v>합격</x:v>
      </x:c>
    </x:row>
    <x:row r="537" ht="22" customHeight="1">
      <x:c r="A537" s="1" t="str">
        <x:v>R00536</x:v>
      </x:c>
      <x:c r="B537" s="4" t="n">
        <x:v>46212.499456018515</x:v>
      </x:c>
      <x:c r="C537" s="1" t="str">
        <x:v>주간</x:v>
      </x:c>
      <x:c r="D537" s="1" t="str">
        <x:v>L1</x:v>
      </x:c>
      <x:c r="E537" s="1" t="str">
        <x:v>P1</x:v>
      </x:c>
      <x:c r="F537" s="1" t="str">
        <x:v>M03</x:v>
      </x:c>
      <x:c r="G537" s="1" t="str">
        <x:v>G02</x:v>
      </x:c>
      <x:c r="H537" s="5" t="n">
        <x:v>32.03</x:v>
      </x:c>
      <x:c r="I537" s="5" t="n">
        <x:v>5.67</x:v>
      </x:c>
      <x:c r="J537" s="5" t="n">
        <x:v>48.1</x:v>
      </x:c>
      <x:c r="K537" s="5" t="n">
        <x:v>39.9</x:v>
      </x:c>
      <x:c r="L537" s="5" t="n">
        <x:v>1.53</x:v>
      </x:c>
      <x:c r="M537" s="1" t="n">
        <x:v>0</x:v>
      </x:c>
      <x:c r="N537" s="6" t="n">
        <x:v>0.922</x:v>
      </x:c>
      <x:c r="O537" s="1" t="str">
        <x:v>합격</x:v>
      </x:c>
      <x:c r="P537" s="1"/>
      <x:c r="Q537" s="1" t="n">
        <x:v>45</x:v>
      </x:c>
      <x:c r="R537" s="1" t="str">
        <x:v>N</x:v>
      </x:c>
      <x:c r="S537" s="1" t="n">
        <x:v>0</x:v>
      </x:c>
      <x:c r="T537" s="1" t="str">
        <x:v>합격</x:v>
      </x:c>
    </x:row>
    <x:row r="538" ht="22" customHeight="1">
      <x:c r="A538" s="1" t="str">
        <x:v>R00537</x:v>
      </x:c>
      <x:c r="B538" s="4" t="n">
        <x:v>46213.026724537034</x:v>
      </x:c>
      <x:c r="C538" s="1" t="str">
        <x:v>야간</x:v>
      </x:c>
      <x:c r="D538" s="1" t="str">
        <x:v>L1</x:v>
      </x:c>
      <x:c r="E538" s="1" t="str">
        <x:v>P1</x:v>
      </x:c>
      <x:c r="F538" s="1" t="str">
        <x:v>M04</x:v>
      </x:c>
      <x:c r="G538" s="1" t="str">
        <x:v>G03</x:v>
      </x:c>
      <x:c r="H538" s="5" t="n">
        <x:v>29.16</x:v>
      </x:c>
      <x:c r="I538" s="5" t="n">
        <x:v>5.86</x:v>
      </x:c>
      <x:c r="J538" s="5" t="n">
        <x:v>50.7</x:v>
      </x:c>
      <x:c r="K538" s="5" t="n">
        <x:v>35.5</x:v>
      </x:c>
      <x:c r="L538" s="5" t="n">
        <x:v>2.41</x:v>
      </x:c>
      <x:c r="M538" s="1" t="n">
        <x:v>0</x:v>
      </x:c>
      <x:c r="N538" s="6" t="n">
        <x:v>0.959</x:v>
      </x:c>
      <x:c r="O538" s="1" t="str">
        <x:v>합격</x:v>
      </x:c>
      <x:c r="P538" s="1"/>
      <x:c r="Q538" s="1" t="n">
        <x:v>47</x:v>
      </x:c>
      <x:c r="R538" s="1" t="str">
        <x:v>N</x:v>
      </x:c>
      <x:c r="S538" s="1" t="n">
        <x:v>0</x:v>
      </x:c>
      <x:c r="T538" s="1" t="str">
        <x:v>합격</x:v>
      </x:c>
    </x:row>
    <x:row r="539" ht="22" customHeight="1">
      <x:c r="A539" s="1" t="str">
        <x:v>R00538</x:v>
      </x:c>
      <x:c r="B539" s="4" t="n">
        <x:v>46214.99827546296</x:v>
      </x:c>
      <x:c r="C539" s="1" t="str">
        <x:v>야간</x:v>
      </x:c>
      <x:c r="D539" s="1" t="str">
        <x:v>L2</x:v>
      </x:c>
      <x:c r="E539" s="1" t="str">
        <x:v>P2</x:v>
      </x:c>
      <x:c r="F539" s="1" t="str">
        <x:v>M01</x:v>
      </x:c>
      <x:c r="G539" s="1" t="str">
        <x:v>G04</x:v>
      </x:c>
      <x:c r="H539" s="5" t="n">
        <x:v>28.85</x:v>
      </x:c>
      <x:c r="I539" s="5" t="n">
        <x:v>5.69</x:v>
      </x:c>
      <x:c r="J539" s="5" t="n">
        <x:v>48.2</x:v>
      </x:c>
      <x:c r="K539" s="5" t="n">
        <x:v>41.2</x:v>
      </x:c>
      <x:c r="L539" s="5"/>
      <x:c r="M539" s="1" t="n">
        <x:v>0</x:v>
      </x:c>
      <x:c r="N539" s="6" t="n">
        <x:v>0.858</x:v>
      </x:c>
      <x:c r="O539" s="1" t="str">
        <x:v>합격</x:v>
      </x:c>
      <x:c r="P539" s="1"/>
      <x:c r="Q539" s="1" t="n">
        <x:v>44</x:v>
      </x:c>
      <x:c r="R539" s="1" t="str">
        <x:v>N</x:v>
      </x:c>
      <x:c r="S539" s="1" t="n">
        <x:v>0</x:v>
      </x:c>
      <x:c r="T539" s="1" t="str">
        <x:v>합격</x:v>
      </x:c>
    </x:row>
    <x:row r="540" ht="22" customHeight="1">
      <x:c r="A540" s="1" t="str">
        <x:v>R00539</x:v>
      </x:c>
      <x:c r="B540" s="4" t="n">
        <x:v>46215.94972222222</x:v>
      </x:c>
      <x:c r="C540" s="1" t="str">
        <x:v>야간</x:v>
      </x:c>
      <x:c r="D540" s="1" t="str">
        <x:v>L1</x:v>
      </x:c>
      <x:c r="E540" s="1" t="str">
        <x:v>P1</x:v>
      </x:c>
      <x:c r="F540" s="1" t="str">
        <x:v>M03</x:v>
      </x:c>
      <x:c r="G540" s="1" t="str">
        <x:v>G05</x:v>
      </x:c>
      <x:c r="H540" s="5" t="n">
        <x:v>33.58</x:v>
      </x:c>
      <x:c r="I540" s="5" t="n">
        <x:v>5.68</x:v>
      </x:c>
      <x:c r="J540" s="5" t="n">
        <x:v>52</x:v>
      </x:c>
      <x:c r="K540" s="5" t="n">
        <x:v>40.7</x:v>
      </x:c>
      <x:c r="L540" s="5" t="n">
        <x:v>1.58</x:v>
      </x:c>
      <x:c r="M540" s="1" t="n">
        <x:v>1</x:v>
      </x:c>
      <x:c r="N540" s="6" t="n">
        <x:v>1.036</x:v>
      </x:c>
      <x:c r="O540" s="1" t="str">
        <x:v>합격</x:v>
      </x:c>
      <x:c r="P540" s="1"/>
      <x:c r="Q540" s="1" t="n">
        <x:v>44</x:v>
      </x:c>
      <x:c r="R540" s="1" t="str">
        <x:v>N</x:v>
      </x:c>
      <x:c r="S540" s="1" t="n">
        <x:v>0</x:v>
      </x:c>
      <x:c r="T540" s="1" t="str">
        <x:v>합격</x:v>
      </x:c>
    </x:row>
    <x:row r="541" ht="22" customHeight="1">
      <x:c r="A541" s="1" t="str">
        <x:v>R00540</x:v>
      </x:c>
      <x:c r="B541" s="4" t="n">
        <x:v>46216.90113425926</x:v>
      </x:c>
      <x:c r="C541" s="1" t="str">
        <x:v>야간</x:v>
      </x:c>
      <x:c r="D541" s="1" t="str">
        <x:v>L2</x:v>
      </x:c>
      <x:c r="E541" s="1" t="str">
        <x:v>P2</x:v>
      </x:c>
      <x:c r="F541" s="1" t="str">
        <x:v>M01</x:v>
      </x:c>
      <x:c r="G541" s="1" t="str">
        <x:v>G06</x:v>
      </x:c>
      <x:c r="H541" s="5" t="n">
        <x:v>29.11</x:v>
      </x:c>
      <x:c r="I541" s="5" t="n">
        <x:v>5.73</x:v>
      </x:c>
      <x:c r="J541" s="5" t="n">
        <x:v>55.1</x:v>
      </x:c>
      <x:c r="K541" s="5" t="n">
        <x:v>41.3</x:v>
      </x:c>
      <x:c r="L541" s="5" t="n">
        <x:v>1.49</x:v>
      </x:c>
      <x:c r="M541" s="1" t="n">
        <x:v>0</x:v>
      </x:c>
      <x:c r="N541" s="6" t="n">
        <x:v>0.988</x:v>
      </x:c>
      <x:c r="O541" s="1" t="str">
        <x:v>합격</x:v>
      </x:c>
      <x:c r="P541" s="1"/>
      <x:c r="Q541" s="1" t="n">
        <x:v>46</x:v>
      </x:c>
      <x:c r="R541" s="1" t="str">
        <x:v>N</x:v>
      </x:c>
      <x:c r="S541" s="1" t="n">
        <x:v>0</x:v>
      </x:c>
      <x:c r="T541" s="1" t="str">
        <x:v>합격</x:v>
      </x:c>
    </x:row>
    <x:row r="542" ht="22" customHeight="1">
      <x:c r="A542" s="1" t="str">
        <x:v>R00541</x:v>
      </x:c>
      <x:c r="B542" s="4" t="n">
        <x:v>46217.49951388889</x:v>
      </x:c>
      <x:c r="C542" s="1" t="str">
        <x:v>주간</x:v>
      </x:c>
      <x:c r="D542" s="1" t="str">
        <x:v>L1</x:v>
      </x:c>
      <x:c r="E542" s="1" t="str">
        <x:v>P1</x:v>
      </x:c>
      <x:c r="F542" s="1" t="str">
        <x:v>M03</x:v>
      </x:c>
      <x:c r="G542" s="1" t="str">
        <x:v>G01</x:v>
      </x:c>
      <x:c r="H542" s="5" t="n">
        <x:v>31.88</x:v>
      </x:c>
      <x:c r="I542" s="5" t="n">
        <x:v>5.74</x:v>
      </x:c>
      <x:c r="J542" s="5" t="n">
        <x:v>50.9</x:v>
      </x:c>
      <x:c r="K542" s="5" t="n">
        <x:v>37.3</x:v>
      </x:c>
      <x:c r="L542" s="5" t="n">
        <x:v>1.8</x:v>
      </x:c>
      <x:c r="M542" s="1" t="n">
        <x:v>1</x:v>
      </x:c>
      <x:c r="N542" s="6" t="n">
        <x:v>1.033</x:v>
      </x:c>
      <x:c r="O542" s="1" t="str">
        <x:v>합격</x:v>
      </x:c>
      <x:c r="P542" s="1"/>
      <x:c r="Q542" s="1" t="n">
        <x:v>39</x:v>
      </x:c>
      <x:c r="R542" s="1" t="str">
        <x:v>N</x:v>
      </x:c>
      <x:c r="S542" s="1" t="n">
        <x:v>0</x:v>
      </x:c>
      <x:c r="T542" s="1" t="str">
        <x:v>합격</x:v>
      </x:c>
    </x:row>
    <x:row r="543" ht="22" customHeight="1">
      <x:c r="A543" s="1" t="str">
        <x:v>R00542</x:v>
      </x:c>
      <x:c r="B543" s="4" t="n">
        <x:v>46218.09049768518</x:v>
      </x:c>
      <x:c r="C543" s="1" t="str">
        <x:v>야간</x:v>
      </x:c>
      <x:c r="D543" s="1" t="str">
        <x:v>L1</x:v>
      </x:c>
      <x:c r="E543" s="1" t="str">
        <x:v>P1</x:v>
      </x:c>
      <x:c r="F543" s="1" t="str">
        <x:v>M03</x:v>
      </x:c>
      <x:c r="G543" s="1" t="str">
        <x:v>G02</x:v>
      </x:c>
      <x:c r="H543" s="5" t="n">
        <x:v>26.75</x:v>
      </x:c>
      <x:c r="I543" s="5" t="n">
        <x:v>5.69</x:v>
      </x:c>
      <x:c r="J543" s="5" t="n">
        <x:v>52.3</x:v>
      </x:c>
      <x:c r="K543" s="5" t="n">
        <x:v>39.3</x:v>
      </x:c>
      <x:c r="L543" s="5" t="n">
        <x:v>2.51</x:v>
      </x:c>
      <x:c r="M543" s="1" t="n">
        <x:v>1</x:v>
      </x:c>
      <x:c r="N543" s="6" t="n">
        <x:v>1.011</x:v>
      </x:c>
      <x:c r="O543" s="1" t="str">
        <x:v>합격</x:v>
      </x:c>
      <x:c r="P543" s="1"/>
      <x:c r="Q543" s="1" t="n">
        <x:v>38</x:v>
      </x:c>
      <x:c r="R543" s="1" t="str">
        <x:v>N</x:v>
      </x:c>
      <x:c r="S543" s="1" t="n">
        <x:v>0</x:v>
      </x:c>
      <x:c r="T543" s="1" t="str">
        <x:v>합격</x:v>
      </x:c>
    </x:row>
    <x:row r="544" ht="22" customHeight="1">
      <x:c r="A544" s="1" t="str">
        <x:v>R00543</x:v>
      </x:c>
      <x:c r="B544" s="4" t="n">
        <x:v>46219.54162037037</x:v>
      </x:c>
      <x:c r="C544" s="1" t="str">
        <x:v>주간</x:v>
      </x:c>
      <x:c r="D544" s="1" t="str">
        <x:v>L2</x:v>
      </x:c>
      <x:c r="E544" s="1" t="str">
        <x:v>P2</x:v>
      </x:c>
      <x:c r="F544" s="1" t="str">
        <x:v>M04</x:v>
      </x:c>
      <x:c r="G544" s="1" t="str">
        <x:v>G03</x:v>
      </x:c>
      <x:c r="H544" s="5" t="n">
        <x:v>30.3</x:v>
      </x:c>
      <x:c r="I544" s="5" t="n">
        <x:v>5.67</x:v>
      </x:c>
      <x:c r="J544" s="5" t="n">
        <x:v>54.1</x:v>
      </x:c>
      <x:c r="K544" s="5" t="n">
        <x:v>38.5</x:v>
      </x:c>
      <x:c r="L544" s="5" t="n">
        <x:v>1.59</x:v>
      </x:c>
      <x:c r="M544" s="1" t="n">
        <x:v>0</x:v>
      </x:c>
      <x:c r="N544" s="6" t="n">
        <x:v>0.965</x:v>
      </x:c>
      <x:c r="O544" s="1" t="str">
        <x:v>합격</x:v>
      </x:c>
      <x:c r="P544" s="1"/>
      <x:c r="Q544" s="1" t="n">
        <x:v>47</x:v>
      </x:c>
      <x:c r="R544" s="1" t="str">
        <x:v>N</x:v>
      </x:c>
      <x:c r="S544" s="1" t="n">
        <x:v>0</x:v>
      </x:c>
      <x:c r="T544" s="1" t="str">
        <x:v>합격</x:v>
      </x:c>
    </x:row>
    <x:row r="545" ht="22" customHeight="1">
      <x:c r="A545" s="1" t="str">
        <x:v>R00544</x:v>
      </x:c>
      <x:c r="B545" s="4" t="n">
        <x:v>46220.89324074074</x:v>
      </x:c>
      <x:c r="C545" s="1" t="str">
        <x:v>야간</x:v>
      </x:c>
      <x:c r="D545" s="1" t="str">
        <x:v>L2</x:v>
      </x:c>
      <x:c r="E545" s="1" t="str">
        <x:v>P2</x:v>
      </x:c>
      <x:c r="F545" s="1" t="str">
        <x:v>M02</x:v>
      </x:c>
      <x:c r="G545" s="1" t="str">
        <x:v>G04</x:v>
      </x:c>
      <x:c r="H545" s="5" t="n">
        <x:v>30.35</x:v>
      </x:c>
      <x:c r="I545" s="5" t="n">
        <x:v>6</x:v>
      </x:c>
      <x:c r="J545" s="5" t="n">
        <x:v>55.7</x:v>
      </x:c>
      <x:c r="K545" s="5" t="n">
        <x:v>38.5</x:v>
      </x:c>
      <x:c r="L545" s="5" t="n">
        <x:v>2.56</x:v>
      </x:c>
      <x:c r="M545" s="1" t="n">
        <x:v>1</x:v>
      </x:c>
      <x:c r="N545" s="6" t="n">
        <x:v>0.972</x:v>
      </x:c>
      <x:c r="O545" s="1" t="str">
        <x:v>합격</x:v>
      </x:c>
      <x:c r="P545" s="1"/>
      <x:c r="Q545" s="1" t="n">
        <x:v>45</x:v>
      </x:c>
      <x:c r="R545" s="1" t="str">
        <x:v>N</x:v>
      </x:c>
      <x:c r="S545" s="1" t="n">
        <x:v>0</x:v>
      </x:c>
      <x:c r="T545" s="1" t="str">
        <x:v>합격</x:v>
      </x:c>
    </x:row>
    <x:row r="546" ht="22" customHeight="1">
      <x:c r="A546" s="1" t="str">
        <x:v>R00545</x:v>
      </x:c>
      <x:c r="B546" s="4" t="n">
        <x:v>46221.502430555556</x:v>
      </x:c>
      <x:c r="C546" s="1" t="str">
        <x:v>주간</x:v>
      </x:c>
      <x:c r="D546" s="1" t="str">
        <x:v>L2</x:v>
      </x:c>
      <x:c r="E546" s="1" t="str">
        <x:v>P2</x:v>
      </x:c>
      <x:c r="F546" s="1" t="str">
        <x:v>M02</x:v>
      </x:c>
      <x:c r="G546" s="1" t="str">
        <x:v>G05</x:v>
      </x:c>
      <x:c r="H546" s="5" t="n">
        <x:v>30.58</x:v>
      </x:c>
      <x:c r="I546" s="5" t="n">
        <x:v>5.86</x:v>
      </x:c>
      <x:c r="J546" s="5" t="n">
        <x:v>48.6</x:v>
      </x:c>
      <x:c r="K546" s="5" t="n">
        <x:v>39</x:v>
      </x:c>
      <x:c r="L546" s="5" t="n">
        <x:v>1.85</x:v>
      </x:c>
      <x:c r="M546" s="1" t="n">
        <x:v>0</x:v>
      </x:c>
      <x:c r="N546" s="6" t="n">
        <x:v>1.037</x:v>
      </x:c>
      <x:c r="O546" s="1" t="str">
        <x:v>합격</x:v>
      </x:c>
      <x:c r="P546" s="1"/>
      <x:c r="Q546" s="1" t="n">
        <x:v>38</x:v>
      </x:c>
      <x:c r="R546" s="1" t="str">
        <x:v>N</x:v>
      </x:c>
      <x:c r="S546" s="1" t="n">
        <x:v>0</x:v>
      </x:c>
      <x:c r="T546" s="1" t="str">
        <x:v>합격</x:v>
      </x:c>
    </x:row>
    <x:row r="547" ht="22" customHeight="1">
      <x:c r="A547" s="1" t="str">
        <x:v>R00546</x:v>
      </x:c>
      <x:c r="B547" s="4" t="n">
        <x:v>46222.94112268519</x:v>
      </x:c>
      <x:c r="C547" s="1" t="str">
        <x:v>야간</x:v>
      </x:c>
      <x:c r="D547" s="1" t="str">
        <x:v>L2</x:v>
      </x:c>
      <x:c r="E547" s="1" t="str">
        <x:v>P2</x:v>
      </x:c>
      <x:c r="F547" s="1" t="str">
        <x:v>M01</x:v>
      </x:c>
      <x:c r="G547" s="1" t="str">
        <x:v>G06</x:v>
      </x:c>
      <x:c r="H547" s="5" t="n">
        <x:v>28.81</x:v>
      </x:c>
      <x:c r="I547" s="5" t="n">
        <x:v>5.69</x:v>
      </x:c>
      <x:c r="J547" s="5" t="n">
        <x:v>56</x:v>
      </x:c>
      <x:c r="K547" s="5" t="n">
        <x:v>37.8</x:v>
      </x:c>
      <x:c r="L547" s="5" t="n">
        <x:v>2.22</x:v>
      </x:c>
      <x:c r="M547" s="1" t="n">
        <x:v>1</x:v>
      </x:c>
      <x:c r="N547" s="6" t="n">
        <x:v>1.027</x:v>
      </x:c>
      <x:c r="O547" s="1" t="str">
        <x:v>합격</x:v>
      </x:c>
      <x:c r="P547" s="1"/>
      <x:c r="Q547" s="1" t="n">
        <x:v>38</x:v>
      </x:c>
      <x:c r="R547" s="1" t="str">
        <x:v>N</x:v>
      </x:c>
      <x:c r="S547" s="1" t="n">
        <x:v>0</x:v>
      </x:c>
      <x:c r="T547" s="1" t="str">
        <x:v>합격</x:v>
      </x:c>
    </x:row>
    <x:row r="548" ht="22" customHeight="1">
      <x:c r="A548" s="1" t="str">
        <x:v>R00547</x:v>
      </x:c>
      <x:c r="B548" s="4" t="n">
        <x:v>46223.606828703705</x:v>
      </x:c>
      <x:c r="C548" s="1" t="str">
        <x:v>주간</x:v>
      </x:c>
      <x:c r="D548" s="1" t="str">
        <x:v>L1</x:v>
      </x:c>
      <x:c r="E548" s="1" t="str">
        <x:v>P1</x:v>
      </x:c>
      <x:c r="F548" s="1" t="str">
        <x:v>M01</x:v>
      </x:c>
      <x:c r="G548" s="1" t="str">
        <x:v>G01</x:v>
      </x:c>
      <x:c r="H548" s="5" t="n">
        <x:v>28.61</x:v>
      </x:c>
      <x:c r="I548" s="5" t="n">
        <x:v>5.63</x:v>
      </x:c>
      <x:c r="J548" s="5" t="n">
        <x:v>56.3</x:v>
      </x:c>
      <x:c r="K548" s="5" t="n">
        <x:v>39.1</x:v>
      </x:c>
      <x:c r="L548" s="5" t="n">
        <x:v>2.16</x:v>
      </x:c>
      <x:c r="M548" s="1" t="n">
        <x:v>1</x:v>
      </x:c>
      <x:c r="N548" s="6" t="n">
        <x:v>0.922</x:v>
      </x:c>
      <x:c r="O548" s="1" t="str">
        <x:v>합격</x:v>
      </x:c>
      <x:c r="P548" s="1"/>
      <x:c r="Q548" s="1" t="n">
        <x:v>48</x:v>
      </x:c>
      <x:c r="R548" s="1" t="str">
        <x:v>N</x:v>
      </x:c>
      <x:c r="S548" s="1" t="n">
        <x:v>0</x:v>
      </x:c>
      <x:c r="T548" s="1" t="str">
        <x:v>합격</x:v>
      </x:c>
    </x:row>
    <x:row r="549" ht="22" customHeight="1">
      <x:c r="A549" s="1" t="str">
        <x:v>R00548</x:v>
      </x:c>
      <x:c r="B549" s="4" t="n">
        <x:v>46224.834641203706</x:v>
      </x:c>
      <x:c r="C549" s="1" t="str">
        <x:v>야간</x:v>
      </x:c>
      <x:c r="D549" s="1" t="str">
        <x:v>L1</x:v>
      </x:c>
      <x:c r="E549" s="1" t="str">
        <x:v>P1</x:v>
      </x:c>
      <x:c r="F549" s="1" t="str">
        <x:v>M03</x:v>
      </x:c>
      <x:c r="G549" s="1" t="str">
        <x:v>G02</x:v>
      </x:c>
      <x:c r="H549" s="5" t="n">
        <x:v>29.71</x:v>
      </x:c>
      <x:c r="I549" s="5" t="n">
        <x:v>5.73</x:v>
      </x:c>
      <x:c r="J549" s="5" t="n">
        <x:v>49.9</x:v>
      </x:c>
      <x:c r="K549" s="5" t="n">
        <x:v>37.4</x:v>
      </x:c>
      <x:c r="L549" s="5" t="n">
        <x:v>1.34</x:v>
      </x:c>
      <x:c r="M549" s="1" t="n">
        <x:v>0</x:v>
      </x:c>
      <x:c r="N549" s="6" t="n">
        <x:v>1.016</x:v>
      </x:c>
      <x:c r="O549" s="1" t="str">
        <x:v>합격</x:v>
      </x:c>
      <x:c r="P549" s="1"/>
      <x:c r="Q549" s="1" t="n">
        <x:v>36</x:v>
      </x:c>
      <x:c r="R549" s="1" t="str">
        <x:v>N</x:v>
      </x:c>
      <x:c r="S549" s="1" t="n">
        <x:v>0</x:v>
      </x:c>
      <x:c r="T549" s="1" t="str">
        <x:v>합격</x:v>
      </x:c>
    </x:row>
    <x:row r="550" ht="22" customHeight="1">
      <x:c r="A550" s="1" t="str">
        <x:v>R00549</x:v>
      </x:c>
      <x:c r="B550" s="4" t="n">
        <x:v>46225.59037037037</x:v>
      </x:c>
      <x:c r="C550" s="1" t="str">
        <x:v>주간</x:v>
      </x:c>
      <x:c r="D550" s="1" t="str">
        <x:v>L1</x:v>
      </x:c>
      <x:c r="E550" s="1" t="str">
        <x:v>P1</x:v>
      </x:c>
      <x:c r="F550" s="1" t="str">
        <x:v>M01</x:v>
      </x:c>
      <x:c r="G550" s="1" t="str">
        <x:v>G03</x:v>
      </x:c>
      <x:c r="H550" s="5" t="n">
        <x:v>29.99</x:v>
      </x:c>
      <x:c r="I550" s="5" t="n">
        <x:v>5.72</x:v>
      </x:c>
      <x:c r="J550" s="5" t="n">
        <x:v>56.5</x:v>
      </x:c>
      <x:c r="K550" s="5" t="n">
        <x:v>39.7</x:v>
      </x:c>
      <x:c r="L550" s="5" t="n">
        <x:v>1.47</x:v>
      </x:c>
      <x:c r="M550" s="1" t="n">
        <x:v>0</x:v>
      </x:c>
      <x:c r="N550" s="6" t="n">
        <x:v>0.99</x:v>
      </x:c>
      <x:c r="O550" s="1" t="str">
        <x:v>합격</x:v>
      </x:c>
      <x:c r="P550" s="1"/>
      <x:c r="Q550" s="1" t="n">
        <x:v>46</x:v>
      </x:c>
      <x:c r="R550" s="1" t="str">
        <x:v>N</x:v>
      </x:c>
      <x:c r="S550" s="1" t="n">
        <x:v>0</x:v>
      </x:c>
      <x:c r="T550" s="1" t="str">
        <x:v>합격</x:v>
      </x:c>
    </x:row>
    <x:row r="551" ht="22" customHeight="1">
      <x:c r="A551" s="1" t="str">
        <x:v>R00550</x:v>
      </x:c>
      <x:c r="B551" s="4" t="n">
        <x:v>46226.13601851852</x:v>
      </x:c>
      <x:c r="C551" s="1" t="str">
        <x:v>야간</x:v>
      </x:c>
      <x:c r="D551" s="1" t="str">
        <x:v>L2</x:v>
      </x:c>
      <x:c r="E551" s="1" t="str">
        <x:v>P2</x:v>
      </x:c>
      <x:c r="F551" s="1" t="str">
        <x:v>M01</x:v>
      </x:c>
      <x:c r="G551" s="1" t="str">
        <x:v>G04</x:v>
      </x:c>
      <x:c r="H551" s="5" t="n">
        <x:v>29.94</x:v>
      </x:c>
      <x:c r="I551" s="5" t="n">
        <x:v>5.92</x:v>
      </x:c>
      <x:c r="J551" s="5" t="n">
        <x:v>54</x:v>
      </x:c>
      <x:c r="K551" s="5" t="n">
        <x:v>35.4</x:v>
      </x:c>
      <x:c r="L551" s="5" t="n">
        <x:v>2.68</x:v>
      </x:c>
      <x:c r="M551" s="1" t="n">
        <x:v>0</x:v>
      </x:c>
      <x:c r="N551" s="6" t="n">
        <x:v>0.992</x:v>
      </x:c>
      <x:c r="O551" s="1" t="str">
        <x:v>합격</x:v>
      </x:c>
      <x:c r="P551" s="1"/>
      <x:c r="Q551" s="1" t="n">
        <x:v>36</x:v>
      </x:c>
      <x:c r="R551" s="1" t="str">
        <x:v>N</x:v>
      </x:c>
      <x:c r="S551" s="1" t="n">
        <x:v>0</x:v>
      </x:c>
      <x:c r="T551" s="1" t="str">
        <x:v>합격</x:v>
      </x:c>
    </x:row>
    <x:row r="552" ht="22" customHeight="1">
      <x:c r="A552" s="1" t="str">
        <x:v>R00551</x:v>
      </x:c>
      <x:c r="B552" s="4" t="n">
        <x:v>46227.48752314815</x:v>
      </x:c>
      <x:c r="C552" s="1" t="str">
        <x:v>주간</x:v>
      </x:c>
      <x:c r="D552" s="1" t="str">
        <x:v>L1</x:v>
      </x:c>
      <x:c r="E552" s="1" t="str">
        <x:v>P1</x:v>
      </x:c>
      <x:c r="F552" s="1" t="str">
        <x:v>M01</x:v>
      </x:c>
      <x:c r="G552" s="1" t="str">
        <x:v>G05</x:v>
      </x:c>
      <x:c r="H552" s="5" t="n">
        <x:v>32.27</x:v>
      </x:c>
      <x:c r="I552" s="5" t="n">
        <x:v>5.98</x:v>
      </x:c>
      <x:c r="J552" s="5" t="n">
        <x:v>58.4</x:v>
      </x:c>
      <x:c r="K552" s="5" t="n">
        <x:v>36.2</x:v>
      </x:c>
      <x:c r="L552" s="5" t="n">
        <x:v>1.53</x:v>
      </x:c>
      <x:c r="M552" s="1" t="n">
        <x:v>0</x:v>
      </x:c>
      <x:c r="N552" s="6" t="n">
        <x:v>0.951</x:v>
      </x:c>
      <x:c r="O552" s="1" t="str">
        <x:v>합격</x:v>
      </x:c>
      <x:c r="P552" s="1"/>
      <x:c r="Q552" s="1" t="n">
        <x:v>36</x:v>
      </x:c>
      <x:c r="R552" s="1" t="str">
        <x:v>N</x:v>
      </x:c>
      <x:c r="S552" s="1" t="n">
        <x:v>0</x:v>
      </x:c>
      <x:c r="T552" s="1" t="str">
        <x:v>합격</x:v>
      </x:c>
    </x:row>
    <x:row r="553" ht="22" customHeight="1">
      <x:c r="A553" s="1" t="str">
        <x:v>R00552</x:v>
      </x:c>
      <x:c r="B553" s="4" t="n">
        <x:v>46228.96152777778</x:v>
      </x:c>
      <x:c r="C553" s="1" t="str">
        <x:v>야간</x:v>
      </x:c>
      <x:c r="D553" s="1" t="str">
        <x:v>L1</x:v>
      </x:c>
      <x:c r="E553" s="1" t="str">
        <x:v>P1</x:v>
      </x:c>
      <x:c r="F553" s="1" t="str">
        <x:v>M03</x:v>
      </x:c>
      <x:c r="G553" s="1" t="str">
        <x:v>G06</x:v>
      </x:c>
      <x:c r="H553" s="5" t="n">
        <x:v>27.6</x:v>
      </x:c>
      <x:c r="I553" s="5" t="n">
        <x:v>5.68</x:v>
      </x:c>
      <x:c r="J553" s="5" t="n">
        <x:v>48.5</x:v>
      </x:c>
      <x:c r="K553" s="5" t="n">
        <x:v>38.1</x:v>
      </x:c>
      <x:c r="L553" s="5" t="n">
        <x:v>2.4</x:v>
      </x:c>
      <x:c r="M553" s="1" t="n">
        <x:v>0</x:v>
      </x:c>
      <x:c r="N553" s="6" t="n">
        <x:v>1.043</x:v>
      </x:c>
      <x:c r="O553" s="1" t="str">
        <x:v>합격</x:v>
      </x:c>
      <x:c r="P553" s="1"/>
      <x:c r="Q553" s="1" t="n">
        <x:v>37</x:v>
      </x:c>
      <x:c r="R553" s="1" t="str">
        <x:v>N</x:v>
      </x:c>
      <x:c r="S553" s="1" t="n">
        <x:v>0</x:v>
      </x:c>
      <x:c r="T553" s="1" t="str">
        <x:v>합격</x:v>
      </x:c>
    </x:row>
    <x:row r="554" ht="22" customHeight="1">
      <x:c r="A554" s="1" t="str">
        <x:v>R00553</x:v>
      </x:c>
      <x:c r="B554" s="4" t="n">
        <x:v>46229.41693287037</x:v>
      </x:c>
      <x:c r="C554" s="1" t="str">
        <x:v>주간</x:v>
      </x:c>
      <x:c r="D554" s="1" t="str">
        <x:v>L2</x:v>
      </x:c>
      <x:c r="E554" s="1" t="str">
        <x:v>P2</x:v>
      </x:c>
      <x:c r="F554" s="1" t="str">
        <x:v>M03</x:v>
      </x:c>
      <x:c r="G554" s="1" t="str">
        <x:v>G01</x:v>
      </x:c>
      <x:c r="H554" s="5" t="n">
        <x:v>33.64</x:v>
      </x:c>
      <x:c r="I554" s="5" t="n">
        <x:v>5.88</x:v>
      </x:c>
      <x:c r="J554" s="5" t="n">
        <x:v>47.8</x:v>
      </x:c>
      <x:c r="K554" s="5" t="n">
        <x:v>37.7</x:v>
      </x:c>
      <x:c r="L554" s="5" t="n">
        <x:v>1.56</x:v>
      </x:c>
      <x:c r="M554" s="1" t="n">
        <x:v>1</x:v>
      </x:c>
      <x:c r="N554" s="6" t="n">
        <x:v>1.045</x:v>
      </x:c>
      <x:c r="O554" s="1" t="str">
        <x:v>불합격</x:v>
      </x:c>
      <x:c r="P554" s="1" t="str">
        <x:v>체결불량</x:v>
      </x:c>
      <x:c r="Q554" s="1" t="n">
        <x:v>41</x:v>
      </x:c>
      <x:c r="R554" s="1" t="str">
        <x:v>Y</x:v>
      </x:c>
      <x:c r="S554" s="1" t="n">
        <x:v>9</x:v>
      </x:c>
      <x:c r="T554" s="1" t="str">
        <x:v>재작업후합격</x:v>
      </x:c>
    </x:row>
    <x:row r="555" ht="22" customHeight="1">
      <x:c r="A555" s="1" t="str">
        <x:v>R00554</x:v>
      </x:c>
      <x:c r="B555" s="4" t="n">
        <x:v>46230.856087962966</x:v>
      </x:c>
      <x:c r="C555" s="1" t="str">
        <x:v>야간</x:v>
      </x:c>
      <x:c r="D555" s="1" t="str">
        <x:v>L1</x:v>
      </x:c>
      <x:c r="E555" s="1" t="str">
        <x:v>P1</x:v>
      </x:c>
      <x:c r="F555" s="1" t="str">
        <x:v>M04</x:v>
      </x:c>
      <x:c r="G555" s="1" t="str">
        <x:v>G02</x:v>
      </x:c>
      <x:c r="H555" s="5" t="n">
        <x:v>32.01</x:v>
      </x:c>
      <x:c r="I555" s="5" t="n">
        <x:v>5.85</x:v>
      </x:c>
      <x:c r="J555" s="5" t="n">
        <x:v>52.6</x:v>
      </x:c>
      <x:c r="K555" s="5" t="n">
        <x:v>39</x:v>
      </x:c>
      <x:c r="L555" s="5" t="n">
        <x:v>1.46</x:v>
      </x:c>
      <x:c r="M555" s="1" t="n">
        <x:v>1</x:v>
      </x:c>
      <x:c r="N555" s="6" t="n">
        <x:v>0.865</x:v>
      </x:c>
      <x:c r="O555" s="1" t="str">
        <x:v>합격</x:v>
      </x:c>
      <x:c r="P555" s="1"/>
      <x:c r="Q555" s="1" t="n">
        <x:v>44</x:v>
      </x:c>
      <x:c r="R555" s="1" t="str">
        <x:v>N</x:v>
      </x:c>
      <x:c r="S555" s="1" t="n">
        <x:v>0</x:v>
      </x:c>
      <x:c r="T555" s="1" t="str">
        <x:v>합격</x:v>
      </x:c>
    </x:row>
    <x:row r="556" ht="22" customHeight="1">
      <x:c r="A556" s="1" t="str">
        <x:v>R00555</x:v>
      </x:c>
      <x:c r="B556" s="4" t="n">
        <x:v>46231.47076388889</x:v>
      </x:c>
      <x:c r="C556" s="1" t="str">
        <x:v>주간</x:v>
      </x:c>
      <x:c r="D556" s="1" t="str">
        <x:v>L2</x:v>
      </x:c>
      <x:c r="E556" s="1" t="str">
        <x:v>P2</x:v>
      </x:c>
      <x:c r="F556" s="1" t="str">
        <x:v>M02</x:v>
      </x:c>
      <x:c r="G556" s="1" t="str">
        <x:v>G03</x:v>
      </x:c>
      <x:c r="H556" s="5" t="n">
        <x:v>29.2</x:v>
      </x:c>
      <x:c r="I556" s="5" t="n">
        <x:v>5.67</x:v>
      </x:c>
      <x:c r="J556" s="5" t="n">
        <x:v>47.8</x:v>
      </x:c>
      <x:c r="K556" s="5" t="n">
        <x:v>38.8</x:v>
      </x:c>
      <x:c r="L556" s="5" t="n">
        <x:v>1.98</x:v>
      </x:c>
      <x:c r="M556" s="1" t="n">
        <x:v>0</x:v>
      </x:c>
      <x:c r="N556" s="6" t="n">
        <x:v>1.035</x:v>
      </x:c>
      <x:c r="O556" s="1" t="str">
        <x:v>합격</x:v>
      </x:c>
      <x:c r="P556" s="1"/>
      <x:c r="Q556" s="1" t="n">
        <x:v>41</x:v>
      </x:c>
      <x:c r="R556" s="1" t="str">
        <x:v>N</x:v>
      </x:c>
      <x:c r="S556" s="1" t="n">
        <x:v>0</x:v>
      </x:c>
      <x:c r="T556" s="1" t="str">
        <x:v>합격</x:v>
      </x:c>
    </x:row>
    <x:row r="557" ht="22" customHeight="1">
      <x:c r="A557" s="1" t="str">
        <x:v>R00556</x:v>
      </x:c>
      <x:c r="B557" s="4" t="n">
        <x:v>46232.90604166667</x:v>
      </x:c>
      <x:c r="C557" s="1" t="str">
        <x:v>야간</x:v>
      </x:c>
      <x:c r="D557" s="1" t="str">
        <x:v>L1</x:v>
      </x:c>
      <x:c r="E557" s="1" t="str">
        <x:v>P1</x:v>
      </x:c>
      <x:c r="F557" s="1" t="str">
        <x:v>M03</x:v>
      </x:c>
      <x:c r="G557" s="1" t="str">
        <x:v>G04</x:v>
      </x:c>
      <x:c r="H557" s="5" t="n">
        <x:v>32.55</x:v>
      </x:c>
      <x:c r="I557" s="5" t="n">
        <x:v>5.99</x:v>
      </x:c>
      <x:c r="J557" s="5" t="n">
        <x:v>49</x:v>
      </x:c>
      <x:c r="K557" s="5" t="n">
        <x:v>40.6</x:v>
      </x:c>
      <x:c r="L557" s="5"/>
      <x:c r="M557" s="1" t="n">
        <x:v>1</x:v>
      </x:c>
      <x:c r="N557" s="6" t="n">
        <x:v>1.034</x:v>
      </x:c>
      <x:c r="O557" s="1" t="str">
        <x:v>합격</x:v>
      </x:c>
      <x:c r="P557" s="1"/>
      <x:c r="Q557" s="1" t="n">
        <x:v>48</x:v>
      </x:c>
      <x:c r="R557" s="1" t="str">
        <x:v>N</x:v>
      </x:c>
      <x:c r="S557" s="1" t="n">
        <x:v>0</x:v>
      </x:c>
      <x:c r="T557" s="1" t="str">
        <x:v>합격</x:v>
      </x:c>
    </x:row>
    <x:row r="558" ht="22" customHeight="1">
      <x:c r="A558" s="1" t="str">
        <x:v>R00557</x:v>
      </x:c>
      <x:c r="B558" s="4" t="n">
        <x:v>46233.1340162037</x:v>
      </x:c>
      <x:c r="C558" s="1" t="str">
        <x:v>야간</x:v>
      </x:c>
      <x:c r="D558" s="1" t="str">
        <x:v>L1</x:v>
      </x:c>
      <x:c r="E558" s="1" t="str">
        <x:v>P1</x:v>
      </x:c>
      <x:c r="F558" s="1" t="str">
        <x:v>M03</x:v>
      </x:c>
      <x:c r="G558" s="1" t="str">
        <x:v>G05</x:v>
      </x:c>
      <x:c r="H558" s="5" t="n">
        <x:v>33.32</x:v>
      </x:c>
      <x:c r="I558" s="5" t="n">
        <x:v>5.73</x:v>
      </x:c>
      <x:c r="J558" s="5" t="n">
        <x:v>55.9</x:v>
      </x:c>
      <x:c r="K558" s="5" t="n">
        <x:v>39.1</x:v>
      </x:c>
      <x:c r="L558" s="5" t="n">
        <x:v>1.37</x:v>
      </x:c>
      <x:c r="M558" s="1" t="n">
        <x:v>1</x:v>
      </x:c>
      <x:c r="N558" s="6" t="n">
        <x:v>0.929</x:v>
      </x:c>
      <x:c r="O558" s="1" t="str">
        <x:v>합격</x:v>
      </x:c>
      <x:c r="P558" s="1"/>
      <x:c r="Q558" s="1" t="n">
        <x:v>47</x:v>
      </x:c>
      <x:c r="R558" s="1" t="str">
        <x:v>N</x:v>
      </x:c>
      <x:c r="S558" s="1" t="n">
        <x:v>0</x:v>
      </x:c>
      <x:c r="T558" s="1" t="str">
        <x:v>합격</x:v>
      </x:c>
    </x:row>
    <x:row r="559" ht="22" customHeight="1">
      <x:c r="A559" s="1" t="str">
        <x:v>R00558</x:v>
      </x:c>
      <x:c r="B559" s="4" t="n">
        <x:v>46234.63197916667</x:v>
      </x:c>
      <x:c r="C559" s="1" t="str">
        <x:v>주간</x:v>
      </x:c>
      <x:c r="D559" s="1" t="str">
        <x:v>L2</x:v>
      </x:c>
      <x:c r="E559" s="1" t="str">
        <x:v>P2</x:v>
      </x:c>
      <x:c r="F559" s="1" t="str">
        <x:v>M02</x:v>
      </x:c>
      <x:c r="G559" s="1" t="str">
        <x:v>G06</x:v>
      </x:c>
      <x:c r="H559" s="5" t="n">
        <x:v>30.71</x:v>
      </x:c>
      <x:c r="I559" s="5" t="n">
        <x:v>5.98</x:v>
      </x:c>
      <x:c r="J559" s="5" t="n">
        <x:v>50.5</x:v>
      </x:c>
      <x:c r="K559" s="5" t="n">
        <x:v>38.4</x:v>
      </x:c>
      <x:c r="L559" s="5" t="n">
        <x:v>1.93</x:v>
      </x:c>
      <x:c r="M559" s="1" t="n">
        <x:v>0</x:v>
      </x:c>
      <x:c r="N559" s="6" t="n">
        <x:v>0.9</x:v>
      </x:c>
      <x:c r="O559" s="1" t="str">
        <x:v>합격</x:v>
      </x:c>
      <x:c r="P559" s="1"/>
      <x:c r="Q559" s="1" t="n">
        <x:v>45</x:v>
      </x:c>
      <x:c r="R559" s="1" t="str">
        <x:v>N</x:v>
      </x:c>
      <x:c r="S559" s="1" t="n">
        <x:v>0</x:v>
      </x:c>
      <x:c r="T559" s="1" t="str">
        <x:v>합격</x:v>
      </x:c>
    </x:row>
    <x:row r="560" ht="22" customHeight="1">
      <x:c r="A560" s="1" t="str">
        <x:v>R00559</x:v>
      </x:c>
      <x:c r="B560" s="4" t="n">
        <x:v>46204.16202546296</x:v>
      </x:c>
      <x:c r="C560" s="1" t="str">
        <x:v>야간</x:v>
      </x:c>
      <x:c r="D560" s="1" t="str">
        <x:v>L2</x:v>
      </x:c>
      <x:c r="E560" s="1" t="str">
        <x:v>P2</x:v>
      </x:c>
      <x:c r="F560" s="1" t="str">
        <x:v>M01</x:v>
      </x:c>
      <x:c r="G560" s="1" t="str">
        <x:v>G01</x:v>
      </x:c>
      <x:c r="H560" s="5" t="n">
        <x:v>31.51</x:v>
      </x:c>
      <x:c r="I560" s="5" t="n">
        <x:v>5.77</x:v>
      </x:c>
      <x:c r="J560" s="5" t="n">
        <x:v>52.6</x:v>
      </x:c>
      <x:c r="K560" s="5" t="n">
        <x:v>36.4</x:v>
      </x:c>
      <x:c r="L560" s="5" t="n">
        <x:v>1.31</x:v>
      </x:c>
      <x:c r="M560" s="1" t="n">
        <x:v>0</x:v>
      </x:c>
      <x:c r="N560" s="6" t="n">
        <x:v>0.909</x:v>
      </x:c>
      <x:c r="O560" s="1" t="str">
        <x:v>합격</x:v>
      </x:c>
      <x:c r="P560" s="1"/>
      <x:c r="Q560" s="1" t="n">
        <x:v>47</x:v>
      </x:c>
      <x:c r="R560" s="1" t="str">
        <x:v>N</x:v>
      </x:c>
      <x:c r="S560" s="1" t="n">
        <x:v>0</x:v>
      </x:c>
      <x:c r="T560" s="1" t="str">
        <x:v>합격</x:v>
      </x:c>
    </x:row>
    <x:row r="561" ht="22" customHeight="1">
      <x:c r="A561" s="1" t="str">
        <x:v>R00560</x:v>
      </x:c>
      <x:c r="B561" s="4" t="n">
        <x:v>46205.560740740744</x:v>
      </x:c>
      <x:c r="C561" s="1" t="str">
        <x:v>주간</x:v>
      </x:c>
      <x:c r="D561" s="1" t="str">
        <x:v>L1</x:v>
      </x:c>
      <x:c r="E561" s="1" t="str">
        <x:v>P1</x:v>
      </x:c>
      <x:c r="F561" s="1" t="str">
        <x:v>M04</x:v>
      </x:c>
      <x:c r="G561" s="1" t="str">
        <x:v>G02</x:v>
      </x:c>
      <x:c r="H561" s="5" t="n">
        <x:v>26.12</x:v>
      </x:c>
      <x:c r="I561" s="5" t="n">
        <x:v>5.8</x:v>
      </x:c>
      <x:c r="J561" s="5" t="n">
        <x:v>56.4</x:v>
      </x:c>
      <x:c r="K561" s="5" t="n">
        <x:v>39.2</x:v>
      </x:c>
      <x:c r="L561" s="5" t="n">
        <x:v>2.44</x:v>
      </x:c>
      <x:c r="M561" s="1" t="n">
        <x:v>1</x:v>
      </x:c>
      <x:c r="N561" s="6" t="n">
        <x:v>0.877</x:v>
      </x:c>
      <x:c r="O561" s="1" t="str">
        <x:v>불합격</x:v>
      </x:c>
      <x:c r="P561" s="1" t="str">
        <x:v>외관불량</x:v>
      </x:c>
      <x:c r="Q561" s="1" t="n">
        <x:v>39</x:v>
      </x:c>
      <x:c r="R561" s="1" t="str">
        <x:v>Y</x:v>
      </x:c>
      <x:c r="S561" s="1" t="n">
        <x:v>7</x:v>
      </x:c>
      <x:c r="T561" s="1" t="str">
        <x:v>재작업후합격</x:v>
      </x:c>
    </x:row>
    <x:row r="562" ht="22" customHeight="1">
      <x:c r="A562" s="1" t="str">
        <x:v>R00561</x:v>
      </x:c>
      <x:c r="B562" s="4" t="n">
        <x:v>46206.135347222225</x:v>
      </x:c>
      <x:c r="C562" s="1" t="str">
        <x:v>야간</x:v>
      </x:c>
      <x:c r="D562" s="1" t="str">
        <x:v>L1</x:v>
      </x:c>
      <x:c r="E562" s="1" t="str">
        <x:v>P1</x:v>
      </x:c>
      <x:c r="F562" s="1" t="str">
        <x:v>M03</x:v>
      </x:c>
      <x:c r="G562" s="1" t="str">
        <x:v>G03</x:v>
      </x:c>
      <x:c r="H562" s="5" t="n">
        <x:v>33.56</x:v>
      </x:c>
      <x:c r="I562" s="5" t="n">
        <x:v>5.7</x:v>
      </x:c>
      <x:c r="J562" s="5" t="n">
        <x:v>49.6</x:v>
      </x:c>
      <x:c r="K562" s="5" t="n">
        <x:v>38.7</x:v>
      </x:c>
      <x:c r="L562" s="5" t="n">
        <x:v>2.44</x:v>
      </x:c>
      <x:c r="M562" s="1" t="n">
        <x:v>1</x:v>
      </x:c>
      <x:c r="N562" s="6" t="n">
        <x:v>0.852</x:v>
      </x:c>
      <x:c r="O562" s="1" t="str">
        <x:v>합격</x:v>
      </x:c>
      <x:c r="P562" s="1"/>
      <x:c r="Q562" s="1" t="n">
        <x:v>36</x:v>
      </x:c>
      <x:c r="R562" s="1" t="str">
        <x:v>N</x:v>
      </x:c>
      <x:c r="S562" s="1" t="n">
        <x:v>0</x:v>
      </x:c>
      <x:c r="T562" s="1" t="str">
        <x:v>합격</x:v>
      </x:c>
    </x:row>
    <x:row r="563" ht="22" customHeight="1">
      <x:c r="A563" s="1" t="str">
        <x:v>R00562</x:v>
      </x:c>
      <x:c r="B563" s="4" t="n">
        <x:v>46207.60790509259</x:v>
      </x:c>
      <x:c r="C563" s="1" t="str">
        <x:v>주간</x:v>
      </x:c>
      <x:c r="D563" s="1" t="str">
        <x:v>L2</x:v>
      </x:c>
      <x:c r="E563" s="1" t="str">
        <x:v>P2</x:v>
      </x:c>
      <x:c r="F563" s="1" t="str">
        <x:v>M04</x:v>
      </x:c>
      <x:c r="G563" s="1" t="str">
        <x:v>G04</x:v>
      </x:c>
      <x:c r="H563" s="5" t="n">
        <x:v>28.97</x:v>
      </x:c>
      <x:c r="I563" s="5" t="n">
        <x:v>5.69</x:v>
      </x:c>
      <x:c r="J563" s="5" t="n">
        <x:v>55.7</x:v>
      </x:c>
      <x:c r="K563" s="5" t="n">
        <x:v>38.9</x:v>
      </x:c>
      <x:c r="L563" s="5" t="n">
        <x:v>2.69</x:v>
      </x:c>
      <x:c r="M563" s="1" t="n">
        <x:v>1</x:v>
      </x:c>
      <x:c r="N563" s="6" t="n">
        <x:v>0.89</x:v>
      </x:c>
      <x:c r="O563" s="1" t="str">
        <x:v>합격</x:v>
      </x:c>
      <x:c r="P563" s="1"/>
      <x:c r="Q563" s="1" t="n">
        <x:v>41</x:v>
      </x:c>
      <x:c r="R563" s="1" t="str">
        <x:v>N</x:v>
      </x:c>
      <x:c r="S563" s="1" t="n">
        <x:v>0</x:v>
      </x:c>
      <x:c r="T563" s="1" t="str">
        <x:v>합격</x:v>
      </x:c>
    </x:row>
    <x:row r="564" ht="22" customHeight="1">
      <x:c r="A564" s="1" t="str">
        <x:v>R00563</x:v>
      </x:c>
      <x:c r="B564" s="4" t="n">
        <x:v>46208.04733796296</x:v>
      </x:c>
      <x:c r="C564" s="1" t="str">
        <x:v>야간</x:v>
      </x:c>
      <x:c r="D564" s="1" t="str">
        <x:v>L2</x:v>
      </x:c>
      <x:c r="E564" s="1" t="str">
        <x:v>P2</x:v>
      </x:c>
      <x:c r="F564" s="1" t="str">
        <x:v>M01</x:v>
      </x:c>
      <x:c r="G564" s="1" t="str">
        <x:v>G05</x:v>
      </x:c>
      <x:c r="H564" s="5" t="n">
        <x:v>27.98</x:v>
      </x:c>
      <x:c r="I564" s="5" t="n">
        <x:v>5.67</x:v>
      </x:c>
      <x:c r="J564" s="5" t="n">
        <x:v>50.1</x:v>
      </x:c>
      <x:c r="K564" s="5" t="n">
        <x:v>37.2</x:v>
      </x:c>
      <x:c r="L564" s="5" t="n">
        <x:v>1.92</x:v>
      </x:c>
      <x:c r="M564" s="1" t="n">
        <x:v>1</x:v>
      </x:c>
      <x:c r="N564" s="6" t="n">
        <x:v>0.947</x:v>
      </x:c>
      <x:c r="O564" s="1" t="str">
        <x:v>합격</x:v>
      </x:c>
      <x:c r="P564" s="1"/>
      <x:c r="Q564" s="1" t="n">
        <x:v>35</x:v>
      </x:c>
      <x:c r="R564" s="1" t="str">
        <x:v>N</x:v>
      </x:c>
      <x:c r="S564" s="1" t="n">
        <x:v>0</x:v>
      </x:c>
      <x:c r="T564" s="1" t="str">
        <x:v>합격</x:v>
      </x:c>
    </x:row>
    <x:row r="565" ht="22" customHeight="1">
      <x:c r="A565" s="1" t="str">
        <x:v>R00564</x:v>
      </x:c>
      <x:c r="B565" s="4" t="n">
        <x:v>46209.90804398148</x:v>
      </x:c>
      <x:c r="C565" s="1" t="str">
        <x:v>야간</x:v>
      </x:c>
      <x:c r="D565" s="1" t="str">
        <x:v>L2</x:v>
      </x:c>
      <x:c r="E565" s="1" t="str">
        <x:v>P2</x:v>
      </x:c>
      <x:c r="F565" s="1" t="str">
        <x:v>M02</x:v>
      </x:c>
      <x:c r="G565" s="1" t="str">
        <x:v>G06</x:v>
      </x:c>
      <x:c r="H565" s="5" t="n">
        <x:v>31.73</x:v>
      </x:c>
      <x:c r="I565" s="5" t="n">
        <x:v>5.66</x:v>
      </x:c>
      <x:c r="J565" s="5" t="n">
        <x:v>49</x:v>
      </x:c>
      <x:c r="K565" s="5" t="n">
        <x:v>38.5</x:v>
      </x:c>
      <x:c r="L565" s="5" t="n">
        <x:v>2.57</x:v>
      </x:c>
      <x:c r="M565" s="1" t="n">
        <x:v>1</x:v>
      </x:c>
      <x:c r="N565" s="6" t="n">
        <x:v>0.974</x:v>
      </x:c>
      <x:c r="O565" s="1" t="str">
        <x:v>합격</x:v>
      </x:c>
      <x:c r="P565" s="1"/>
      <x:c r="Q565" s="1" t="n">
        <x:v>48</x:v>
      </x:c>
      <x:c r="R565" s="1" t="str">
        <x:v>N</x:v>
      </x:c>
      <x:c r="S565" s="1" t="n">
        <x:v>0</x:v>
      </x:c>
      <x:c r="T565" s="1" t="str">
        <x:v>합격</x:v>
      </x:c>
    </x:row>
    <x:row r="566" ht="22" customHeight="1">
      <x:c r="A566" s="1" t="str">
        <x:v>R00565</x:v>
      </x:c>
      <x:c r="B566" s="4" t="n">
        <x:v>46210.86402777778</x:v>
      </x:c>
      <x:c r="C566" s="1" t="str">
        <x:v>야간</x:v>
      </x:c>
      <x:c r="D566" s="1" t="str">
        <x:v>L2</x:v>
      </x:c>
      <x:c r="E566" s="1" t="str">
        <x:v>P2</x:v>
      </x:c>
      <x:c r="F566" s="1" t="str">
        <x:v>M02</x:v>
      </x:c>
      <x:c r="G566" s="1" t="str">
        <x:v>G01</x:v>
      </x:c>
      <x:c r="H566" s="5" t="n">
        <x:v>30.13</x:v>
      </x:c>
      <x:c r="I566" s="5" t="n">
        <x:v>5.82</x:v>
      </x:c>
      <x:c r="J566" s="5" t="n">
        <x:v>47.3</x:v>
      </x:c>
      <x:c r="K566" s="5" t="n">
        <x:v>36.7</x:v>
      </x:c>
      <x:c r="L566" s="5" t="n">
        <x:v>2.06</x:v>
      </x:c>
      <x:c r="M566" s="1" t="n">
        <x:v>1</x:v>
      </x:c>
      <x:c r="N566" s="6" t="n">
        <x:v>1.047</x:v>
      </x:c>
      <x:c r="O566" s="1" t="str">
        <x:v>합격</x:v>
      </x:c>
      <x:c r="P566" s="1"/>
      <x:c r="Q566" s="1" t="n">
        <x:v>36</x:v>
      </x:c>
      <x:c r="R566" s="1" t="str">
        <x:v>N</x:v>
      </x:c>
      <x:c r="S566" s="1" t="n">
        <x:v>0</x:v>
      </x:c>
      <x:c r="T566" s="1" t="str">
        <x:v>합격</x:v>
      </x:c>
    </x:row>
    <x:row r="567" ht="22" customHeight="1">
      <x:c r="A567" s="1" t="str">
        <x:v>R00566</x:v>
      </x:c>
      <x:c r="B567" s="4" t="n">
        <x:v>46211.12006944444</x:v>
      </x:c>
      <x:c r="C567" s="1" t="str">
        <x:v>야간</x:v>
      </x:c>
      <x:c r="D567" s="1" t="str">
        <x:v>L1</x:v>
      </x:c>
      <x:c r="E567" s="1" t="str">
        <x:v>P1</x:v>
      </x:c>
      <x:c r="F567" s="1" t="str">
        <x:v>M03</x:v>
      </x:c>
      <x:c r="G567" s="1" t="str">
        <x:v>G02</x:v>
      </x:c>
      <x:c r="H567" s="5" t="n">
        <x:v>26.47</x:v>
      </x:c>
      <x:c r="I567" s="5" t="n">
        <x:v>5.91</x:v>
      </x:c>
      <x:c r="J567" s="5" t="n">
        <x:v>58.2</x:v>
      </x:c>
      <x:c r="K567" s="5" t="n">
        <x:v>35.3</x:v>
      </x:c>
      <x:c r="L567" s="5" t="n">
        <x:v>1.64</x:v>
      </x:c>
      <x:c r="M567" s="1" t="n">
        <x:v>1</x:v>
      </x:c>
      <x:c r="N567" s="6" t="n">
        <x:v>0.875</x:v>
      </x:c>
      <x:c r="O567" s="1" t="str">
        <x:v>합격</x:v>
      </x:c>
      <x:c r="P567" s="1"/>
      <x:c r="Q567" s="1" t="n">
        <x:v>46</x:v>
      </x:c>
      <x:c r="R567" s="1" t="str">
        <x:v>N</x:v>
      </x:c>
      <x:c r="S567" s="1" t="n">
        <x:v>0</x:v>
      </x:c>
      <x:c r="T567" s="1" t="str">
        <x:v>합격</x:v>
      </x:c>
    </x:row>
    <x:row r="568" ht="22" customHeight="1">
      <x:c r="A568" s="1" t="str">
        <x:v>R00567</x:v>
      </x:c>
      <x:c r="B568" s="4" t="n">
        <x:v>46212.13517361111</x:v>
      </x:c>
      <x:c r="C568" s="1" t="str">
        <x:v>야간</x:v>
      </x:c>
      <x:c r="D568" s="1" t="str">
        <x:v>L2</x:v>
      </x:c>
      <x:c r="E568" s="1" t="str">
        <x:v>P2</x:v>
      </x:c>
      <x:c r="F568" s="1" t="str">
        <x:v>M01</x:v>
      </x:c>
      <x:c r="G568" s="1" t="str">
        <x:v>G03</x:v>
      </x:c>
      <x:c r="H568" s="5" t="n">
        <x:v>27.31</x:v>
      </x:c>
      <x:c r="I568" s="5" t="n">
        <x:v>5.86</x:v>
      </x:c>
      <x:c r="J568" s="5" t="n">
        <x:v>58.9</x:v>
      </x:c>
      <x:c r="K568" s="5" t="n">
        <x:v>35.6</x:v>
      </x:c>
      <x:c r="L568" s="5" t="n">
        <x:v>1.98</x:v>
      </x:c>
      <x:c r="M568" s="1" t="n">
        <x:v>0</x:v>
      </x:c>
      <x:c r="N568" s="6" t="n">
        <x:v>0.947</x:v>
      </x:c>
      <x:c r="O568" s="1" t="str">
        <x:v>합격</x:v>
      </x:c>
      <x:c r="P568" s="1"/>
      <x:c r="Q568" s="1" t="n">
        <x:v>40</x:v>
      </x:c>
      <x:c r="R568" s="1" t="str">
        <x:v>N</x:v>
      </x:c>
      <x:c r="S568" s="1" t="n">
        <x:v>0</x:v>
      </x:c>
      <x:c r="T568" s="1" t="str">
        <x:v>합격</x:v>
      </x:c>
    </x:row>
    <x:row r="569" ht="22" customHeight="1">
      <x:c r="A569" s="1" t="str">
        <x:v>R00568</x:v>
      </x:c>
      <x:c r="B569" s="4" t="n">
        <x:v>46213.36722222222</x:v>
      </x:c>
      <x:c r="C569" s="1" t="str">
        <x:v>주간</x:v>
      </x:c>
      <x:c r="D569" s="1" t="str">
        <x:v>L2</x:v>
      </x:c>
      <x:c r="E569" s="1" t="str">
        <x:v>P2</x:v>
      </x:c>
      <x:c r="F569" s="1" t="str">
        <x:v>M02</x:v>
      </x:c>
      <x:c r="G569" s="1" t="str">
        <x:v>G04</x:v>
      </x:c>
      <x:c r="H569" s="5" t="n">
        <x:v>32.32</x:v>
      </x:c>
      <x:c r="I569" s="5" t="n">
        <x:v>5.95</x:v>
      </x:c>
      <x:c r="J569" s="5" t="n">
        <x:v>54</x:v>
      </x:c>
      <x:c r="K569" s="5" t="n">
        <x:v>41.4</x:v>
      </x:c>
      <x:c r="L569" s="5" t="n">
        <x:v>2.64</x:v>
      </x:c>
      <x:c r="M569" s="1" t="n">
        <x:v>0</x:v>
      </x:c>
      <x:c r="N569" s="6" t="n">
        <x:v>0.89</x:v>
      </x:c>
      <x:c r="O569" s="1" t="str">
        <x:v>합격</x:v>
      </x:c>
      <x:c r="P569" s="1"/>
      <x:c r="Q569" s="1" t="n">
        <x:v>45</x:v>
      </x:c>
      <x:c r="R569" s="1" t="str">
        <x:v>N</x:v>
      </x:c>
      <x:c r="S569" s="1" t="n">
        <x:v>0</x:v>
      </x:c>
      <x:c r="T569" s="1" t="str">
        <x:v>합격</x:v>
      </x:c>
    </x:row>
    <x:row r="570" ht="22" customHeight="1">
      <x:c r="A570" s="1" t="str">
        <x:v>R00569</x:v>
      </x:c>
      <x:c r="B570" s="4" t="n">
        <x:v>46214.05570601852</x:v>
      </x:c>
      <x:c r="C570" s="1" t="str">
        <x:v>야간</x:v>
      </x:c>
      <x:c r="D570" s="1" t="str">
        <x:v>L1</x:v>
      </x:c>
      <x:c r="E570" s="1" t="str">
        <x:v>P1</x:v>
      </x:c>
      <x:c r="F570" s="1" t="str">
        <x:v>M03</x:v>
      </x:c>
      <x:c r="G570" s="1" t="str">
        <x:v>G05</x:v>
      </x:c>
      <x:c r="H570" s="5" t="n">
        <x:v>33.64</x:v>
      </x:c>
      <x:c r="I570" s="5" t="n">
        <x:v>5.94</x:v>
      </x:c>
      <x:c r="J570" s="5" t="n">
        <x:v>53.2</x:v>
      </x:c>
      <x:c r="K570" s="5" t="n">
        <x:v>37.5</x:v>
      </x:c>
      <x:c r="L570" s="5" t="n">
        <x:v>1.98</x:v>
      </x:c>
      <x:c r="M570" s="1" t="n">
        <x:v>1</x:v>
      </x:c>
      <x:c r="N570" s="6" t="n">
        <x:v>0.924</x:v>
      </x:c>
      <x:c r="O570" s="1" t="str">
        <x:v>합격</x:v>
      </x:c>
      <x:c r="P570" s="1"/>
      <x:c r="Q570" s="1" t="n">
        <x:v>47</x:v>
      </x:c>
      <x:c r="R570" s="1" t="str">
        <x:v>N</x:v>
      </x:c>
      <x:c r="S570" s="1" t="n">
        <x:v>0</x:v>
      </x:c>
      <x:c r="T570" s="1" t="str">
        <x:v>합격</x:v>
      </x:c>
    </x:row>
    <x:row r="571" ht="22" customHeight="1">
      <x:c r="A571" s="1" t="str">
        <x:v>R00570</x:v>
      </x:c>
      <x:c r="B571" s="4" t="n">
        <x:v>46215.39134259259</x:v>
      </x:c>
      <x:c r="C571" s="1" t="str">
        <x:v>주간</x:v>
      </x:c>
      <x:c r="D571" s="1" t="str">
        <x:v>L2</x:v>
      </x:c>
      <x:c r="E571" s="1" t="str">
        <x:v>P2</x:v>
      </x:c>
      <x:c r="F571" s="1" t="str">
        <x:v>M02</x:v>
      </x:c>
      <x:c r="G571" s="1" t="str">
        <x:v>G06</x:v>
      </x:c>
      <x:c r="H571" s="5" t="n">
        <x:v>29.71</x:v>
      </x:c>
      <x:c r="I571" s="5" t="n">
        <x:v>5.62</x:v>
      </x:c>
      <x:c r="J571" s="5" t="n">
        <x:v>57.1</x:v>
      </x:c>
      <x:c r="K571" s="5" t="n">
        <x:v>40.2</x:v>
      </x:c>
      <x:c r="L571" s="5" t="n">
        <x:v>1.59</x:v>
      </x:c>
      <x:c r="M571" s="1" t="n">
        <x:v>0</x:v>
      </x:c>
      <x:c r="N571" s="6" t="n">
        <x:v>0.973</x:v>
      </x:c>
      <x:c r="O571" s="1" t="str">
        <x:v>합격</x:v>
      </x:c>
      <x:c r="P571" s="1"/>
      <x:c r="Q571" s="1" t="n">
        <x:v>40</x:v>
      </x:c>
      <x:c r="R571" s="1" t="str">
        <x:v>N</x:v>
      </x:c>
      <x:c r="S571" s="1" t="n">
        <x:v>0</x:v>
      </x:c>
      <x:c r="T571" s="1" t="str">
        <x:v>합격</x:v>
      </x:c>
    </x:row>
    <x:row r="572" ht="22" customHeight="1">
      <x:c r="A572" s="1" t="str">
        <x:v>R00571</x:v>
      </x:c>
      <x:c r="B572" s="4" t="n">
        <x:v>46216.51329861111</x:v>
      </x:c>
      <x:c r="C572" s="1" t="str">
        <x:v>주간</x:v>
      </x:c>
      <x:c r="D572" s="1" t="str">
        <x:v>L1</x:v>
      </x:c>
      <x:c r="E572" s="1" t="str">
        <x:v>P1</x:v>
      </x:c>
      <x:c r="F572" s="1" t="str">
        <x:v>M03</x:v>
      </x:c>
      <x:c r="G572" s="1" t="str">
        <x:v>G01</x:v>
      </x:c>
      <x:c r="H572" s="5" t="n">
        <x:v>31.78</x:v>
      </x:c>
      <x:c r="I572" s="5" t="n">
        <x:v>5.86</x:v>
      </x:c>
      <x:c r="J572" s="5" t="n">
        <x:v>53.3</x:v>
      </x:c>
      <x:c r="K572" s="5" t="n">
        <x:v>35.2</x:v>
      </x:c>
      <x:c r="L572" s="5" t="n">
        <x:v>2.38</x:v>
      </x:c>
      <x:c r="M572" s="1" t="n">
        <x:v>1</x:v>
      </x:c>
      <x:c r="N572" s="6" t="n">
        <x:v>1.012</x:v>
      </x:c>
      <x:c r="O572" s="1" t="str">
        <x:v>합격</x:v>
      </x:c>
      <x:c r="P572" s="1"/>
      <x:c r="Q572" s="1" t="n">
        <x:v>40</x:v>
      </x:c>
      <x:c r="R572" s="1" t="str">
        <x:v>N</x:v>
      </x:c>
      <x:c r="S572" s="1" t="n">
        <x:v>0</x:v>
      </x:c>
      <x:c r="T572" s="1" t="str">
        <x:v>합격</x:v>
      </x:c>
    </x:row>
    <x:row r="573" ht="22" customHeight="1">
      <x:c r="A573" s="1" t="str">
        <x:v>R00572</x:v>
      </x:c>
      <x:c r="B573" s="4" t="n">
        <x:v>46217.90280092593</x:v>
      </x:c>
      <x:c r="C573" s="1" t="str">
        <x:v>야간</x:v>
      </x:c>
      <x:c r="D573" s="1" t="str">
        <x:v>L2</x:v>
      </x:c>
      <x:c r="E573" s="1" t="str">
        <x:v>P2</x:v>
      </x:c>
      <x:c r="F573" s="1" t="str">
        <x:v>M04</x:v>
      </x:c>
      <x:c r="G573" s="1" t="str">
        <x:v>G02</x:v>
      </x:c>
      <x:c r="H573" s="5" t="n">
        <x:v>26.44</x:v>
      </x:c>
      <x:c r="I573" s="5" t="n">
        <x:v>5.9</x:v>
      </x:c>
      <x:c r="J573" s="5" t="n">
        <x:v>52.9</x:v>
      </x:c>
      <x:c r="K573" s="5" t="n">
        <x:v>37.1</x:v>
      </x:c>
      <x:c r="L573" s="5" t="n">
        <x:v>1.3</x:v>
      </x:c>
      <x:c r="M573" s="1" t="n">
        <x:v>0</x:v>
      </x:c>
      <x:c r="N573" s="6" t="n">
        <x:v>0.904</x:v>
      </x:c>
      <x:c r="O573" s="1" t="str">
        <x:v>불합격</x:v>
      </x:c>
      <x:c r="P573" s="1" t="str">
        <x:v>체결불량</x:v>
      </x:c>
      <x:c r="Q573" s="1" t="n">
        <x:v>43</x:v>
      </x:c>
      <x:c r="R573" s="1" t="str">
        <x:v>Y</x:v>
      </x:c>
      <x:c r="S573" s="1" t="n">
        <x:v>9</x:v>
      </x:c>
      <x:c r="T573" s="1" t="str">
        <x:v>재작업후합격</x:v>
      </x:c>
    </x:row>
    <x:row r="574" ht="22" customHeight="1">
      <x:c r="A574" s="1" t="str">
        <x:v>R00573</x:v>
      </x:c>
      <x:c r="B574" s="4" t="n">
        <x:v>46218.85952546296</x:v>
      </x:c>
      <x:c r="C574" s="1" t="str">
        <x:v>야간</x:v>
      </x:c>
      <x:c r="D574" s="1" t="str">
        <x:v>L1</x:v>
      </x:c>
      <x:c r="E574" s="1" t="str">
        <x:v>P1</x:v>
      </x:c>
      <x:c r="F574" s="1" t="str">
        <x:v>M04</x:v>
      </x:c>
      <x:c r="G574" s="1" t="str">
        <x:v>G03</x:v>
      </x:c>
      <x:c r="H574" s="5" t="n">
        <x:v>27.72</x:v>
      </x:c>
      <x:c r="I574" s="5" t="n">
        <x:v>5.67</x:v>
      </x:c>
      <x:c r="J574" s="5" t="n">
        <x:v>50</x:v>
      </x:c>
      <x:c r="K574" s="5" t="n">
        <x:v>35.4</x:v>
      </x:c>
      <x:c r="L574" s="5" t="n">
        <x:v>1.49</x:v>
      </x:c>
      <x:c r="M574" s="1" t="n">
        <x:v>0</x:v>
      </x:c>
      <x:c r="N574" s="6" t="n">
        <x:v>0.947</x:v>
      </x:c>
      <x:c r="O574" s="1" t="str">
        <x:v>합격</x:v>
      </x:c>
      <x:c r="P574" s="1"/>
      <x:c r="Q574" s="1" t="n">
        <x:v>44</x:v>
      </x:c>
      <x:c r="R574" s="1" t="str">
        <x:v>N</x:v>
      </x:c>
      <x:c r="S574" s="1" t="n">
        <x:v>0</x:v>
      </x:c>
      <x:c r="T574" s="1" t="str">
        <x:v>합격</x:v>
      </x:c>
    </x:row>
    <x:row r="575" ht="22" customHeight="1">
      <x:c r="A575" s="1" t="str">
        <x:v>R00574</x:v>
      </x:c>
      <x:c r="B575" s="4" t="n">
        <x:v>46219.950150462966</x:v>
      </x:c>
      <x:c r="C575" s="1" t="str">
        <x:v>야간</x:v>
      </x:c>
      <x:c r="D575" s="1" t="str">
        <x:v>L2</x:v>
      </x:c>
      <x:c r="E575" s="1" t="str">
        <x:v>P2</x:v>
      </x:c>
      <x:c r="F575" s="1" t="str">
        <x:v>M02</x:v>
      </x:c>
      <x:c r="G575" s="1" t="str">
        <x:v>G04</x:v>
      </x:c>
      <x:c r="H575" s="5" t="n">
        <x:v>27.24</x:v>
      </x:c>
      <x:c r="I575" s="5" t="n">
        <x:v>5.67</x:v>
      </x:c>
      <x:c r="J575" s="5" t="n">
        <x:v>58.6</x:v>
      </x:c>
      <x:c r="K575" s="5" t="n">
        <x:v>41.6</x:v>
      </x:c>
      <x:c r="L575" s="5" t="n">
        <x:v>2.1</x:v>
      </x:c>
      <x:c r="M575" s="1" t="n">
        <x:v>0</x:v>
      </x:c>
      <x:c r="N575" s="6" t="n">
        <x:v>0.872</x:v>
      </x:c>
      <x:c r="O575" s="1" t="str">
        <x:v>합격</x:v>
      </x:c>
      <x:c r="P575" s="1"/>
      <x:c r="Q575" s="1" t="n">
        <x:v>48</x:v>
      </x:c>
      <x:c r="R575" s="1" t="str">
        <x:v>N</x:v>
      </x:c>
      <x:c r="S575" s="1" t="n">
        <x:v>0</x:v>
      </x:c>
      <x:c r="T575" s="1" t="str">
        <x:v>합격</x:v>
      </x:c>
    </x:row>
    <x:row r="576" ht="22" customHeight="1">
      <x:c r="A576" s="1" t="str">
        <x:v>R00575</x:v>
      </x:c>
      <x:c r="B576" s="4" t="n">
        <x:v>46220.36949074074</x:v>
      </x:c>
      <x:c r="C576" s="1" t="str">
        <x:v>주간</x:v>
      </x:c>
      <x:c r="D576" s="1" t="str">
        <x:v>L2</x:v>
      </x:c>
      <x:c r="E576" s="1" t="str">
        <x:v>P2</x:v>
      </x:c>
      <x:c r="F576" s="1" t="str">
        <x:v>M02</x:v>
      </x:c>
      <x:c r="G576" s="1" t="str">
        <x:v>G05</x:v>
      </x:c>
      <x:c r="H576" s="5" t="n">
        <x:v>28.03</x:v>
      </x:c>
      <x:c r="I576" s="5" t="n">
        <x:v>5.7</x:v>
      </x:c>
      <x:c r="J576" s="5" t="n">
        <x:v>48.7</x:v>
      </x:c>
      <x:c r="K576" s="5" t="n">
        <x:v>40</x:v>
      </x:c>
      <x:c r="L576" s="5" t="n">
        <x:v>2.65</x:v>
      </x:c>
      <x:c r="M576" s="1" t="n">
        <x:v>1</x:v>
      </x:c>
      <x:c r="N576" s="6" t="n">
        <x:v>0.987</x:v>
      </x:c>
      <x:c r="O576" s="1" t="str">
        <x:v>합격</x:v>
      </x:c>
      <x:c r="P576" s="1"/>
      <x:c r="Q576" s="1" t="n">
        <x:v>48</x:v>
      </x:c>
      <x:c r="R576" s="1" t="str">
        <x:v>N</x:v>
      </x:c>
      <x:c r="S576" s="1" t="n">
        <x:v>0</x:v>
      </x:c>
      <x:c r="T576" s="1" t="str">
        <x:v>합격</x:v>
      </x:c>
    </x:row>
    <x:row r="577" ht="22" customHeight="1">
      <x:c r="A577" s="1" t="str">
        <x:v>R00576</x:v>
      </x:c>
      <x:c r="B577" s="4" t="n">
        <x:v>46221.94217592593</x:v>
      </x:c>
      <x:c r="C577" s="1" t="str">
        <x:v>야간</x:v>
      </x:c>
      <x:c r="D577" s="1" t="str">
        <x:v>L2</x:v>
      </x:c>
      <x:c r="E577" s="1" t="str">
        <x:v>P2</x:v>
      </x:c>
      <x:c r="F577" s="1" t="str">
        <x:v>M02</x:v>
      </x:c>
      <x:c r="G577" s="1" t="str">
        <x:v>G06</x:v>
      </x:c>
      <x:c r="H577" s="5" t="n">
        <x:v>31.43</x:v>
      </x:c>
      <x:c r="I577" s="5" t="n">
        <x:v>5.64</x:v>
      </x:c>
      <x:c r="J577" s="5" t="n">
        <x:v>54.9</x:v>
      </x:c>
      <x:c r="K577" s="5" t="n">
        <x:v>38.6</x:v>
      </x:c>
      <x:c r="L577" s="5" t="n">
        <x:v>2.04</x:v>
      </x:c>
      <x:c r="M577" s="1" t="n">
        <x:v>0</x:v>
      </x:c>
      <x:c r="N577" s="6" t="n">
        <x:v>0.996</x:v>
      </x:c>
      <x:c r="O577" s="1" t="str">
        <x:v>합격</x:v>
      </x:c>
      <x:c r="P577" s="1"/>
      <x:c r="Q577" s="1" t="n">
        <x:v>45</x:v>
      </x:c>
      <x:c r="R577" s="1" t="str">
        <x:v>N</x:v>
      </x:c>
      <x:c r="S577" s="1" t="n">
        <x:v>0</x:v>
      </x:c>
      <x:c r="T577" s="1" t="str">
        <x:v>합격</x:v>
      </x:c>
    </x:row>
    <x:row r="578" ht="22" customHeight="1">
      <x:c r="A578" s="1" t="str">
        <x:v>R00577</x:v>
      </x:c>
      <x:c r="B578" s="4" t="n">
        <x:v>46222.50440972222</x:v>
      </x:c>
      <x:c r="C578" s="1" t="str">
        <x:v>주간</x:v>
      </x:c>
      <x:c r="D578" s="1" t="str">
        <x:v>L2</x:v>
      </x:c>
      <x:c r="E578" s="1" t="str">
        <x:v>P2</x:v>
      </x:c>
      <x:c r="F578" s="1" t="str">
        <x:v>M04</x:v>
      </x:c>
      <x:c r="G578" s="1" t="str">
        <x:v>G01</x:v>
      </x:c>
      <x:c r="H578" s="5" t="n">
        <x:v>32.52</x:v>
      </x:c>
      <x:c r="I578" s="5" t="n">
        <x:v>5.86</x:v>
      </x:c>
      <x:c r="J578" s="5" t="n">
        <x:v>51</x:v>
      </x:c>
      <x:c r="K578" s="5" t="n">
        <x:v>39.6</x:v>
      </x:c>
      <x:c r="L578" s="5" t="n">
        <x:v>1.65</x:v>
      </x:c>
      <x:c r="M578" s="1" t="n">
        <x:v>1</x:v>
      </x:c>
      <x:c r="N578" s="6" t="n">
        <x:v>0.914</x:v>
      </x:c>
      <x:c r="O578" s="1" t="str">
        <x:v>합격</x:v>
      </x:c>
      <x:c r="P578" s="1"/>
      <x:c r="Q578" s="1" t="n">
        <x:v>49</x:v>
      </x:c>
      <x:c r="R578" s="1" t="str">
        <x:v>N</x:v>
      </x:c>
      <x:c r="S578" s="1" t="n">
        <x:v>0</x:v>
      </x:c>
      <x:c r="T578" s="1" t="str">
        <x:v>합격</x:v>
      </x:c>
    </x:row>
    <x:row r="579" ht="22" customHeight="1">
      <x:c r="A579" s="1" t="str">
        <x:v>R00578</x:v>
      </x:c>
      <x:c r="B579" s="4" t="n">
        <x:v>46223.963321759256</x:v>
      </x:c>
      <x:c r="C579" s="1" t="str">
        <x:v>야간</x:v>
      </x:c>
      <x:c r="D579" s="1" t="str">
        <x:v>L2</x:v>
      </x:c>
      <x:c r="E579" s="1" t="str">
        <x:v>P2</x:v>
      </x:c>
      <x:c r="F579" s="1" t="str">
        <x:v>M02</x:v>
      </x:c>
      <x:c r="G579" s="1" t="str">
        <x:v>G02</x:v>
      </x:c>
      <x:c r="H579" s="5" t="n">
        <x:v>32.8</x:v>
      </x:c>
      <x:c r="I579" s="5" t="n">
        <x:v>5.96</x:v>
      </x:c>
      <x:c r="J579" s="5" t="n">
        <x:v>58</x:v>
      </x:c>
      <x:c r="K579" s="5" t="n">
        <x:v>40.6</x:v>
      </x:c>
      <x:c r="L579" s="5" t="n">
        <x:v>1.89</x:v>
      </x:c>
      <x:c r="M579" s="1" t="n">
        <x:v>0</x:v>
      </x:c>
      <x:c r="N579" s="6" t="n">
        <x:v>0.862</x:v>
      </x:c>
      <x:c r="O579" s="1" t="str">
        <x:v>합격</x:v>
      </x:c>
      <x:c r="P579" s="1"/>
      <x:c r="Q579" s="1" t="n">
        <x:v>35</x:v>
      </x:c>
      <x:c r="R579" s="1" t="str">
        <x:v>N</x:v>
      </x:c>
      <x:c r="S579" s="1" t="n">
        <x:v>0</x:v>
      </x:c>
      <x:c r="T579" s="1" t="str">
        <x:v>합격</x:v>
      </x:c>
    </x:row>
    <x:row r="580" ht="22" customHeight="1">
      <x:c r="A580" s="1" t="str">
        <x:v>R00579</x:v>
      </x:c>
      <x:c r="B580" s="4" t="n">
        <x:v>46224.53113425926</x:v>
      </x:c>
      <x:c r="C580" s="1" t="str">
        <x:v>주간</x:v>
      </x:c>
      <x:c r="D580" s="1" t="str">
        <x:v>L2</x:v>
      </x:c>
      <x:c r="E580" s="1" t="str">
        <x:v>P2</x:v>
      </x:c>
      <x:c r="F580" s="1" t="str">
        <x:v>M04</x:v>
      </x:c>
      <x:c r="G580" s="1" t="str">
        <x:v>G03</x:v>
      </x:c>
      <x:c r="H580" s="5" t="n">
        <x:v>28.29</x:v>
      </x:c>
      <x:c r="I580" s="5" t="n">
        <x:v>5.67</x:v>
      </x:c>
      <x:c r="J580" s="5" t="n">
        <x:v>58.8</x:v>
      </x:c>
      <x:c r="K580" s="5" t="n">
        <x:v>38.7</x:v>
      </x:c>
      <x:c r="L580" s="5" t="n">
        <x:v>1.37</x:v>
      </x:c>
      <x:c r="M580" s="1" t="n">
        <x:v>0</x:v>
      </x:c>
      <x:c r="N580" s="6" t="n">
        <x:v>0.985</x:v>
      </x:c>
      <x:c r="O580" s="1" t="str">
        <x:v>합격</x:v>
      </x:c>
      <x:c r="P580" s="1"/>
      <x:c r="Q580" s="1" t="n">
        <x:v>44</x:v>
      </x:c>
      <x:c r="R580" s="1" t="str">
        <x:v>N</x:v>
      </x:c>
      <x:c r="S580" s="1" t="n">
        <x:v>0</x:v>
      </x:c>
      <x:c r="T580" s="1" t="str">
        <x:v>합격</x:v>
      </x:c>
    </x:row>
    <x:row r="581" ht="22" customHeight="1">
      <x:c r="A581" s="1" t="str">
        <x:v>R00580</x:v>
      </x:c>
      <x:c r="B581" s="4" t="n">
        <x:v>46225.470497685186</x:v>
      </x:c>
      <x:c r="C581" s="1" t="str">
        <x:v>주간</x:v>
      </x:c>
      <x:c r="D581" s="1" t="str">
        <x:v>L2</x:v>
      </x:c>
      <x:c r="E581" s="1" t="str">
        <x:v>P2</x:v>
      </x:c>
      <x:c r="F581" s="1" t="str">
        <x:v>M02</x:v>
      </x:c>
      <x:c r="G581" s="1" t="str">
        <x:v>G04</x:v>
      </x:c>
      <x:c r="H581" s="5" t="n">
        <x:v>31.61</x:v>
      </x:c>
      <x:c r="I581" s="5" t="n">
        <x:v>5.95</x:v>
      </x:c>
      <x:c r="J581" s="5" t="n">
        <x:v>53.2</x:v>
      </x:c>
      <x:c r="K581" s="5" t="n">
        <x:v>39.9</x:v>
      </x:c>
      <x:c r="L581" s="5" t="n">
        <x:v>2.13</x:v>
      </x:c>
      <x:c r="M581" s="1" t="n">
        <x:v>0</x:v>
      </x:c>
      <x:c r="N581" s="6" t="n">
        <x:v>0.855</x:v>
      </x:c>
      <x:c r="O581" s="1" t="str">
        <x:v>합격</x:v>
      </x:c>
      <x:c r="P581" s="1"/>
      <x:c r="Q581" s="1" t="n">
        <x:v>38</x:v>
      </x:c>
      <x:c r="R581" s="1" t="str">
        <x:v>N</x:v>
      </x:c>
      <x:c r="S581" s="1" t="n">
        <x:v>0</x:v>
      </x:c>
      <x:c r="T581" s="1" t="str">
        <x:v>합격</x:v>
      </x:c>
    </x:row>
    <x:row r="582" ht="22" customHeight="1">
      <x:c r="A582" s="1" t="str">
        <x:v>R00581</x:v>
      </x:c>
      <x:c r="B582" s="4" t="n">
        <x:v>46226.88324074074</x:v>
      </x:c>
      <x:c r="C582" s="1" t="str">
        <x:v>야간</x:v>
      </x:c>
      <x:c r="D582" s="1" t="str">
        <x:v>L2</x:v>
      </x:c>
      <x:c r="E582" s="1" t="str">
        <x:v>P2</x:v>
      </x:c>
      <x:c r="F582" s="1" t="str">
        <x:v>M02</x:v>
      </x:c>
      <x:c r="G582" s="1" t="str">
        <x:v>G05</x:v>
      </x:c>
      <x:c r="H582" s="5" t="n">
        <x:v>27.88</x:v>
      </x:c>
      <x:c r="I582" s="5" t="n">
        <x:v>5.97</x:v>
      </x:c>
      <x:c r="J582" s="5" t="n">
        <x:v>52.6</x:v>
      </x:c>
      <x:c r="K582" s="5" t="n">
        <x:v>40.5</x:v>
      </x:c>
      <x:c r="L582" s="5" t="n">
        <x:v>2</x:v>
      </x:c>
      <x:c r="M582" s="1" t="n">
        <x:v>0</x:v>
      </x:c>
      <x:c r="N582" s="6" t="n">
        <x:v>0.855</x:v>
      </x:c>
      <x:c r="O582" s="1" t="str">
        <x:v>합격</x:v>
      </x:c>
      <x:c r="P582" s="1"/>
      <x:c r="Q582" s="1" t="n">
        <x:v>44</x:v>
      </x:c>
      <x:c r="R582" s="1" t="str">
        <x:v>N</x:v>
      </x:c>
      <x:c r="S582" s="1" t="n">
        <x:v>0</x:v>
      </x:c>
      <x:c r="T582" s="1" t="str">
        <x:v>합격</x:v>
      </x:c>
    </x:row>
    <x:row r="583" ht="22" customHeight="1">
      <x:c r="A583" s="1" t="str">
        <x:v>R00582</x:v>
      </x:c>
      <x:c r="B583" s="4" t="n">
        <x:v>46227.337013888886</x:v>
      </x:c>
      <x:c r="C583" s="1" t="str">
        <x:v>주간</x:v>
      </x:c>
      <x:c r="D583" s="1" t="str">
        <x:v>L2</x:v>
      </x:c>
      <x:c r="E583" s="1" t="str">
        <x:v>P2</x:v>
      </x:c>
      <x:c r="F583" s="1" t="str">
        <x:v>M02</x:v>
      </x:c>
      <x:c r="G583" s="1" t="str">
        <x:v>G06</x:v>
      </x:c>
      <x:c r="H583" s="5" t="n">
        <x:v>28.62</x:v>
      </x:c>
      <x:c r="I583" s="5" t="n">
        <x:v>5.95</x:v>
      </x:c>
      <x:c r="J583" s="5" t="n">
        <x:v>55.5</x:v>
      </x:c>
      <x:c r="K583" s="5" t="n">
        <x:v>40.9</x:v>
      </x:c>
      <x:c r="L583" s="5" t="n">
        <x:v>1.77</x:v>
      </x:c>
      <x:c r="M583" s="1" t="n">
        <x:v>0</x:v>
      </x:c>
      <x:c r="N583" s="6" t="n">
        <x:v>0.859</x:v>
      </x:c>
      <x:c r="O583" s="1" t="str">
        <x:v>합격</x:v>
      </x:c>
      <x:c r="P583" s="1"/>
      <x:c r="Q583" s="1" t="n">
        <x:v>36</x:v>
      </x:c>
      <x:c r="R583" s="1" t="str">
        <x:v>N</x:v>
      </x:c>
      <x:c r="S583" s="1" t="n">
        <x:v>0</x:v>
      </x:c>
      <x:c r="T583" s="1" t="str">
        <x:v>합격</x:v>
      </x:c>
    </x:row>
    <x:row r="584" ht="22" customHeight="1">
      <x:c r="A584" s="1" t="str">
        <x:v>R00583</x:v>
      </x:c>
      <x:c r="B584" s="4" t="n">
        <x:v>46228.63134259259</x:v>
      </x:c>
      <x:c r="C584" s="1" t="str">
        <x:v>주간</x:v>
      </x:c>
      <x:c r="D584" s="1" t="str">
        <x:v>L1</x:v>
      </x:c>
      <x:c r="E584" s="1" t="str">
        <x:v>P1</x:v>
      </x:c>
      <x:c r="F584" s="1" t="str">
        <x:v>M03</x:v>
      </x:c>
      <x:c r="G584" s="1" t="str">
        <x:v>G01</x:v>
      </x:c>
      <x:c r="H584" s="5" t="n">
        <x:v>30.3</x:v>
      </x:c>
      <x:c r="I584" s="5" t="n">
        <x:v>5.75</x:v>
      </x:c>
      <x:c r="J584" s="5" t="n">
        <x:v>56.6</x:v>
      </x:c>
      <x:c r="K584" s="5" t="n">
        <x:v>38.8</x:v>
      </x:c>
      <x:c r="L584" s="5" t="n">
        <x:v>1.8</x:v>
      </x:c>
      <x:c r="M584" s="1" t="n">
        <x:v>1</x:v>
      </x:c>
      <x:c r="N584" s="6" t="n">
        <x:v>1.025</x:v>
      </x:c>
      <x:c r="O584" s="1" t="str">
        <x:v>합격</x:v>
      </x:c>
      <x:c r="P584" s="1"/>
      <x:c r="Q584" s="1" t="n">
        <x:v>44</x:v>
      </x:c>
      <x:c r="R584" s="1" t="str">
        <x:v>N</x:v>
      </x:c>
      <x:c r="S584" s="1" t="n">
        <x:v>0</x:v>
      </x:c>
      <x:c r="T584" s="1" t="str">
        <x:v>합격</x:v>
      </x:c>
    </x:row>
    <x:row r="585" ht="22" customHeight="1">
      <x:c r="A585" s="1" t="str">
        <x:v>R00584</x:v>
      </x:c>
      <x:c r="B585" s="4" t="n">
        <x:v>46229.04929398148</x:v>
      </x:c>
      <x:c r="C585" s="1" t="str">
        <x:v>야간</x:v>
      </x:c>
      <x:c r="D585" s="1" t="str">
        <x:v>L2</x:v>
      </x:c>
      <x:c r="E585" s="1" t="str">
        <x:v>P2</x:v>
      </x:c>
      <x:c r="F585" s="1" t="str">
        <x:v>M01</x:v>
      </x:c>
      <x:c r="G585" s="1" t="str">
        <x:v>G02</x:v>
      </x:c>
      <x:c r="H585" s="5" t="n">
        <x:v>32.53</x:v>
      </x:c>
      <x:c r="I585" s="5" t="n">
        <x:v>5.65</x:v>
      </x:c>
      <x:c r="J585" s="5" t="n">
        <x:v>56.5</x:v>
      </x:c>
      <x:c r="K585" s="5" t="n">
        <x:v>38</x:v>
      </x:c>
      <x:c r="L585" s="5" t="n">
        <x:v>1.47</x:v>
      </x:c>
      <x:c r="M585" s="1" t="n">
        <x:v>0</x:v>
      </x:c>
      <x:c r="N585" s="6" t="n">
        <x:v>0.922</x:v>
      </x:c>
      <x:c r="O585" s="1" t="str">
        <x:v>합격</x:v>
      </x:c>
      <x:c r="P585" s="1"/>
      <x:c r="Q585" s="1" t="n">
        <x:v>44</x:v>
      </x:c>
      <x:c r="R585" s="1" t="str">
        <x:v>N</x:v>
      </x:c>
      <x:c r="S585" s="1" t="n">
        <x:v>0</x:v>
      </x:c>
      <x:c r="T585" s="1" t="str">
        <x:v>합격</x:v>
      </x:c>
    </x:row>
    <x:row r="586" ht="22" customHeight="1">
      <x:c r="A586" s="1" t="str">
        <x:v>R00585</x:v>
      </x:c>
      <x:c r="B586" s="4" t="n">
        <x:v>46230.95164351852</x:v>
      </x:c>
      <x:c r="C586" s="1" t="str">
        <x:v>야간</x:v>
      </x:c>
      <x:c r="D586" s="1" t="str">
        <x:v>L2</x:v>
      </x:c>
      <x:c r="E586" s="1" t="str">
        <x:v>P2</x:v>
      </x:c>
      <x:c r="F586" s="1" t="str">
        <x:v>M01</x:v>
      </x:c>
      <x:c r="G586" s="1" t="str">
        <x:v>G03</x:v>
      </x:c>
      <x:c r="H586" s="5" t="n">
        <x:v>30.09</x:v>
      </x:c>
      <x:c r="I586" s="5" t="n">
        <x:v>5.88</x:v>
      </x:c>
      <x:c r="J586" s="5" t="n">
        <x:v>57</x:v>
      </x:c>
      <x:c r="K586" s="5" t="n">
        <x:v>36.2</x:v>
      </x:c>
      <x:c r="L586" s="5" t="n">
        <x:v>1.5</x:v>
      </x:c>
      <x:c r="M586" s="1" t="n">
        <x:v>1</x:v>
      </x:c>
      <x:c r="N586" s="6" t="n">
        <x:v>0.964</x:v>
      </x:c>
      <x:c r="O586" s="1" t="str">
        <x:v>합격</x:v>
      </x:c>
      <x:c r="P586" s="1"/>
      <x:c r="Q586" s="1" t="n">
        <x:v>49</x:v>
      </x:c>
      <x:c r="R586" s="1" t="str">
        <x:v>N</x:v>
      </x:c>
      <x:c r="S586" s="1" t="n">
        <x:v>0</x:v>
      </x:c>
      <x:c r="T586" s="1" t="str">
        <x:v>합격</x:v>
      </x:c>
    </x:row>
    <x:row r="587" ht="22" customHeight="1">
      <x:c r="A587" s="1" t="str">
        <x:v>R00586</x:v>
      </x:c>
      <x:c r="B587" s="4" t="n">
        <x:v>46231.89790509259</x:v>
      </x:c>
      <x:c r="C587" s="1" t="str">
        <x:v>야간</x:v>
      </x:c>
      <x:c r="D587" s="1" t="str">
        <x:v>L1</x:v>
      </x:c>
      <x:c r="E587" s="1" t="str">
        <x:v>P1</x:v>
      </x:c>
      <x:c r="F587" s="1" t="str">
        <x:v>M03</x:v>
      </x:c>
      <x:c r="G587" s="1" t="str">
        <x:v>G04</x:v>
      </x:c>
      <x:c r="H587" s="5" t="n">
        <x:v>26.65</x:v>
      </x:c>
      <x:c r="I587" s="5" t="n">
        <x:v>5.78</x:v>
      </x:c>
      <x:c r="J587" s="5" t="n">
        <x:v>58.8</x:v>
      </x:c>
      <x:c r="K587" s="5" t="n">
        <x:v>37.5</x:v>
      </x:c>
      <x:c r="L587" s="5" t="n">
        <x:v>2.41</x:v>
      </x:c>
      <x:c r="M587" s="1" t="n">
        <x:v>0</x:v>
      </x:c>
      <x:c r="N587" s="6" t="n">
        <x:v>0.878</x:v>
      </x:c>
      <x:c r="O587" s="1" t="str">
        <x:v>합격</x:v>
      </x:c>
      <x:c r="P587" s="1"/>
      <x:c r="Q587" s="1" t="n">
        <x:v>49</x:v>
      </x:c>
      <x:c r="R587" s="1" t="str">
        <x:v>N</x:v>
      </x:c>
      <x:c r="S587" s="1" t="n">
        <x:v>0</x:v>
      </x:c>
      <x:c r="T587" s="1" t="str">
        <x:v>합격</x:v>
      </x:c>
    </x:row>
    <x:row r="588" ht="22" customHeight="1">
      <x:c r="A588" s="1" t="str">
        <x:v>R00587</x:v>
      </x:c>
      <x:c r="B588" s="4" t="n">
        <x:v>46232.62768518519</x:v>
      </x:c>
      <x:c r="C588" s="1" t="str">
        <x:v>주간</x:v>
      </x:c>
      <x:c r="D588" s="1" t="str">
        <x:v>L1</x:v>
      </x:c>
      <x:c r="E588" s="1" t="str">
        <x:v>P1</x:v>
      </x:c>
      <x:c r="F588" s="1" t="str">
        <x:v>M03</x:v>
      </x:c>
      <x:c r="G588" s="1" t="str">
        <x:v>G05</x:v>
      </x:c>
      <x:c r="H588" s="5" t="n">
        <x:v>31.13</x:v>
      </x:c>
      <x:c r="I588" s="5" t="n">
        <x:v>5.87</x:v>
      </x:c>
      <x:c r="J588" s="5" t="n">
        <x:v>54.8</x:v>
      </x:c>
      <x:c r="K588" s="5" t="n">
        <x:v>36.3</x:v>
      </x:c>
      <x:c r="L588" s="5" t="n">
        <x:v>2.32</x:v>
      </x:c>
      <x:c r="M588" s="1" t="n">
        <x:v>0</x:v>
      </x:c>
      <x:c r="N588" s="6" t="n">
        <x:v>0.946</x:v>
      </x:c>
      <x:c r="O588" s="1" t="str">
        <x:v>합격</x:v>
      </x:c>
      <x:c r="P588" s="1"/>
      <x:c r="Q588" s="1" t="n">
        <x:v>37</x:v>
      </x:c>
      <x:c r="R588" s="1" t="str">
        <x:v>N</x:v>
      </x:c>
      <x:c r="S588" s="1" t="n">
        <x:v>0</x:v>
      </x:c>
      <x:c r="T588" s="1" t="str">
        <x:v>합격</x:v>
      </x:c>
    </x:row>
    <x:row r="589" ht="22" customHeight="1">
      <x:c r="A589" s="1" t="str">
        <x:v>R00588</x:v>
      </x:c>
      <x:c r="B589" s="4" t="n">
        <x:v>46233.98260416667</x:v>
      </x:c>
      <x:c r="C589" s="1" t="str">
        <x:v>야간</x:v>
      </x:c>
      <x:c r="D589" s="1" t="str">
        <x:v>L1</x:v>
      </x:c>
      <x:c r="E589" s="1" t="str">
        <x:v>P1</x:v>
      </x:c>
      <x:c r="F589" s="1" t="str">
        <x:v>M03</x:v>
      </x:c>
      <x:c r="G589" s="1" t="str">
        <x:v>G06</x:v>
      </x:c>
      <x:c r="H589" s="5" t="n">
        <x:v>25.94</x:v>
      </x:c>
      <x:c r="I589" s="5" t="n">
        <x:v>5.65</x:v>
      </x:c>
      <x:c r="J589" s="5" t="n">
        <x:v>56.6</x:v>
      </x:c>
      <x:c r="K589" s="5" t="n">
        <x:v>35</x:v>
      </x:c>
      <x:c r="L589" s="5" t="n">
        <x:v>2.31</x:v>
      </x:c>
      <x:c r="M589" s="1" t="n">
        <x:v>1</x:v>
      </x:c>
      <x:c r="N589" s="6" t="n">
        <x:v>0.91</x:v>
      </x:c>
      <x:c r="O589" s="1" t="str">
        <x:v>합격</x:v>
      </x:c>
      <x:c r="P589" s="1"/>
      <x:c r="Q589" s="1" t="n">
        <x:v>35</x:v>
      </x:c>
      <x:c r="R589" s="1" t="str">
        <x:v>N</x:v>
      </x:c>
      <x:c r="S589" s="1" t="n">
        <x:v>0</x:v>
      </x:c>
      <x:c r="T589" s="1" t="str">
        <x:v>합격</x:v>
      </x:c>
    </x:row>
    <x:row r="590" ht="22" customHeight="1">
      <x:c r="A590" s="1" t="str">
        <x:v>R00589</x:v>
      </x:c>
      <x:c r="B590" s="4" t="n">
        <x:v>46234.37872685185</x:v>
      </x:c>
      <x:c r="C590" s="1" t="str">
        <x:v>주간</x:v>
      </x:c>
      <x:c r="D590" s="1" t="str">
        <x:v>L1</x:v>
      </x:c>
      <x:c r="E590" s="1" t="str">
        <x:v>P1</x:v>
      </x:c>
      <x:c r="F590" s="1" t="str">
        <x:v>M03</x:v>
      </x:c>
      <x:c r="G590" s="1" t="str">
        <x:v>G01</x:v>
      </x:c>
      <x:c r="H590" s="5" t="n">
        <x:v>32.77</x:v>
      </x:c>
      <x:c r="I590" s="5" t="n">
        <x:v>5.78</x:v>
      </x:c>
      <x:c r="J590" s="5" t="n">
        <x:v>58.9</x:v>
      </x:c>
      <x:c r="K590" s="5" t="n">
        <x:v>36.9</x:v>
      </x:c>
      <x:c r="L590" s="5" t="n">
        <x:v>2.28</x:v>
      </x:c>
      <x:c r="M590" s="1" t="n">
        <x:v>1</x:v>
      </x:c>
      <x:c r="N590" s="6" t="n">
        <x:v>1.01</x:v>
      </x:c>
      <x:c r="O590" s="1" t="str">
        <x:v>합격</x:v>
      </x:c>
      <x:c r="P590" s="1"/>
      <x:c r="Q590" s="1" t="n">
        <x:v>40</x:v>
      </x:c>
      <x:c r="R590" s="1" t="str">
        <x:v>N</x:v>
      </x:c>
      <x:c r="S590" s="1" t="n">
        <x:v>0</x:v>
      </x:c>
      <x:c r="T590" s="1" t="str">
        <x:v>합격</x:v>
      </x:c>
    </x:row>
    <x:row r="591" ht="22" customHeight="1">
      <x:c r="A591" s="1" t="str">
        <x:v>R00590</x:v>
      </x:c>
      <x:c r="B591" s="4" t="n">
        <x:v>46204.91082175926</x:v>
      </x:c>
      <x:c r="C591" s="1" t="str">
        <x:v>야간</x:v>
      </x:c>
      <x:c r="D591" s="1" t="str">
        <x:v>L2</x:v>
      </x:c>
      <x:c r="E591" s="1" t="str">
        <x:v>P2</x:v>
      </x:c>
      <x:c r="F591" s="1" t="str">
        <x:v>M01</x:v>
      </x:c>
      <x:c r="G591" s="1" t="str">
        <x:v>G02</x:v>
      </x:c>
      <x:c r="H591" s="5" t="n">
        <x:v>30.58</x:v>
      </x:c>
      <x:c r="I591" s="5" t="n">
        <x:v>5.75</x:v>
      </x:c>
      <x:c r="J591" s="5" t="n">
        <x:v>56.5</x:v>
      </x:c>
      <x:c r="K591" s="5" t="n">
        <x:v>38</x:v>
      </x:c>
      <x:c r="L591" s="5" t="n">
        <x:v>1.55</x:v>
      </x:c>
      <x:c r="M591" s="1" t="n">
        <x:v>0</x:v>
      </x:c>
      <x:c r="N591" s="6" t="n">
        <x:v>1.05</x:v>
      </x:c>
      <x:c r="O591" s="1" t="str">
        <x:v>합격</x:v>
      </x:c>
      <x:c r="P591" s="1"/>
      <x:c r="Q591" s="1" t="n">
        <x:v>36</x:v>
      </x:c>
      <x:c r="R591" s="1" t="str">
        <x:v>N</x:v>
      </x:c>
      <x:c r="S591" s="1" t="n">
        <x:v>0</x:v>
      </x:c>
      <x:c r="T591" s="1" t="str">
        <x:v>합격</x:v>
      </x:c>
    </x:row>
    <x:row r="592" ht="22" customHeight="1">
      <x:c r="A592" s="1" t="str">
        <x:v>R00591</x:v>
      </x:c>
      <x:c r="B592" s="4" t="n">
        <x:v>46205.49481481482</x:v>
      </x:c>
      <x:c r="C592" s="1" t="str">
        <x:v>주간</x:v>
      </x:c>
      <x:c r="D592" s="1" t="str">
        <x:v>L2</x:v>
      </x:c>
      <x:c r="E592" s="1" t="str">
        <x:v>P2</x:v>
      </x:c>
      <x:c r="F592" s="1" t="str">
        <x:v>M04</x:v>
      </x:c>
      <x:c r="G592" s="1" t="str">
        <x:v>G03</x:v>
      </x:c>
      <x:c r="H592" s="5" t="n">
        <x:v>27.96</x:v>
      </x:c>
      <x:c r="I592" s="5" t="n">
        <x:v>5.73</x:v>
      </x:c>
      <x:c r="J592" s="5" t="n">
        <x:v>51.2</x:v>
      </x:c>
      <x:c r="K592" s="5" t="n">
        <x:v>40.7</x:v>
      </x:c>
      <x:c r="L592" s="5" t="n">
        <x:v>1.93</x:v>
      </x:c>
      <x:c r="M592" s="1" t="n">
        <x:v>0</x:v>
      </x:c>
      <x:c r="N592" s="6" t="n">
        <x:v>0.931</x:v>
      </x:c>
      <x:c r="O592" s="1" t="str">
        <x:v>합격</x:v>
      </x:c>
      <x:c r="P592" s="1"/>
      <x:c r="Q592" s="1" t="n">
        <x:v>37</x:v>
      </x:c>
      <x:c r="R592" s="1" t="str">
        <x:v>N</x:v>
      </x:c>
      <x:c r="S592" s="1" t="n">
        <x:v>0</x:v>
      </x:c>
      <x:c r="T592" s="1" t="str">
        <x:v>합격</x:v>
      </x:c>
    </x:row>
    <x:row r="593" ht="22" customHeight="1">
      <x:c r="A593" s="1" t="str">
        <x:v>R00592</x:v>
      </x:c>
      <x:c r="B593" s="4" t="n">
        <x:v>46206.47304398148</x:v>
      </x:c>
      <x:c r="C593" s="1" t="str">
        <x:v>주간</x:v>
      </x:c>
      <x:c r="D593" s="1" t="str">
        <x:v>L2</x:v>
      </x:c>
      <x:c r="E593" s="1" t="str">
        <x:v>P2</x:v>
      </x:c>
      <x:c r="F593" s="1" t="str">
        <x:v>M02</x:v>
      </x:c>
      <x:c r="G593" s="1" t="str">
        <x:v>G04</x:v>
      </x:c>
      <x:c r="H593" s="5" t="n">
        <x:v>28.84</x:v>
      </x:c>
      <x:c r="I593" s="5" t="n">
        <x:v>5.61</x:v>
      </x:c>
      <x:c r="J593" s="5" t="n">
        <x:v>56.6</x:v>
      </x:c>
      <x:c r="K593" s="5" t="n">
        <x:v>38</x:v>
      </x:c>
      <x:c r="L593" s="5" t="n">
        <x:v>1.38</x:v>
      </x:c>
      <x:c r="M593" s="1" t="n">
        <x:v>1</x:v>
      </x:c>
      <x:c r="N593" s="6" t="n">
        <x:v>0.942</x:v>
      </x:c>
      <x:c r="O593" s="1" t="str">
        <x:v>합격</x:v>
      </x:c>
      <x:c r="P593" s="1"/>
      <x:c r="Q593" s="1" t="n">
        <x:v>36</x:v>
      </x:c>
      <x:c r="R593" s="1" t="str">
        <x:v>N</x:v>
      </x:c>
      <x:c r="S593" s="1" t="n">
        <x:v>0</x:v>
      </x:c>
      <x:c r="T593" s="1" t="str">
        <x:v>합격</x:v>
      </x:c>
    </x:row>
    <x:row r="594" ht="22" customHeight="1">
      <x:c r="A594" s="1" t="str">
        <x:v>R00593</x:v>
      </x:c>
      <x:c r="B594" s="4" t="n">
        <x:v>46207.05097222222</x:v>
      </x:c>
      <x:c r="C594" s="1" t="str">
        <x:v>야간</x:v>
      </x:c>
      <x:c r="D594" s="1" t="str">
        <x:v>L2</x:v>
      </x:c>
      <x:c r="E594" s="1" t="str">
        <x:v>P2</x:v>
      </x:c>
      <x:c r="F594" s="1" t="str">
        <x:v>M01</x:v>
      </x:c>
      <x:c r="G594" s="1" t="str">
        <x:v>G05</x:v>
      </x:c>
      <x:c r="H594" s="5" t="n">
        <x:v>32.02</x:v>
      </x:c>
      <x:c r="I594" s="5" t="n">
        <x:v>5.82</x:v>
      </x:c>
      <x:c r="J594" s="5" t="n">
        <x:v>49.5</x:v>
      </x:c>
      <x:c r="K594" s="5" t="n">
        <x:v>35.3</x:v>
      </x:c>
      <x:c r="L594" s="5" t="n">
        <x:v>1.5</x:v>
      </x:c>
      <x:c r="M594" s="1" t="n">
        <x:v>0</x:v>
      </x:c>
      <x:c r="N594" s="6" t="n">
        <x:v>0.985</x:v>
      </x:c>
      <x:c r="O594" s="1" t="str">
        <x:v>합격</x:v>
      </x:c>
      <x:c r="P594" s="1"/>
      <x:c r="Q594" s="1" t="n">
        <x:v>42</x:v>
      </x:c>
      <x:c r="R594" s="1" t="str">
        <x:v>N</x:v>
      </x:c>
      <x:c r="S594" s="1" t="n">
        <x:v>0</x:v>
      </x:c>
      <x:c r="T594" s="1" t="str">
        <x:v>합격</x:v>
      </x:c>
    </x:row>
    <x:row r="595" ht="22" customHeight="1">
      <x:c r="A595" s="1" t="str">
        <x:v>R00594</x:v>
      </x:c>
      <x:c r="B595" s="4" t="n">
        <x:v>46208.13009259259</x:v>
      </x:c>
      <x:c r="C595" s="1" t="str">
        <x:v>야간</x:v>
      </x:c>
      <x:c r="D595" s="1" t="str">
        <x:v>L2</x:v>
      </x:c>
      <x:c r="E595" s="1" t="str">
        <x:v>P2</x:v>
      </x:c>
      <x:c r="F595" s="1" t="str">
        <x:v>M02</x:v>
      </x:c>
      <x:c r="G595" s="1" t="str">
        <x:v>G06</x:v>
      </x:c>
      <x:c r="H595" s="5" t="n">
        <x:v>30.84</x:v>
      </x:c>
      <x:c r="I595" s="5" t="n">
        <x:v>5.84</x:v>
      </x:c>
      <x:c r="J595" s="5" t="n">
        <x:v>56.4</x:v>
      </x:c>
      <x:c r="K595" s="5" t="n">
        <x:v>38.4</x:v>
      </x:c>
      <x:c r="L595" s="5" t="n">
        <x:v>2.51</x:v>
      </x:c>
      <x:c r="M595" s="1" t="n">
        <x:v>0</x:v>
      </x:c>
      <x:c r="N595" s="6" t="n">
        <x:v>0.915</x:v>
      </x:c>
      <x:c r="O595" s="1" t="str">
        <x:v>합격</x:v>
      </x:c>
      <x:c r="P595" s="1"/>
      <x:c r="Q595" s="1" t="n">
        <x:v>49</x:v>
      </x:c>
      <x:c r="R595" s="1" t="str">
        <x:v>N</x:v>
      </x:c>
      <x:c r="S595" s="1" t="n">
        <x:v>0</x:v>
      </x:c>
      <x:c r="T595" s="1" t="str">
        <x:v>합격</x:v>
      </x:c>
    </x:row>
    <x:row r="596" ht="22" customHeight="1">
      <x:c r="A596" s="1" t="str">
        <x:v>R00595</x:v>
      </x:c>
      <x:c r="B596" s="4" t="n">
        <x:v>46209.42217592592</x:v>
      </x:c>
      <x:c r="C596" s="1" t="str">
        <x:v>주간</x:v>
      </x:c>
      <x:c r="D596" s="1" t="str">
        <x:v>L2</x:v>
      </x:c>
      <x:c r="E596" s="1" t="str">
        <x:v>P2</x:v>
      </x:c>
      <x:c r="F596" s="1" t="str">
        <x:v>M02</x:v>
      </x:c>
      <x:c r="G596" s="1" t="str">
        <x:v>G01</x:v>
      </x:c>
      <x:c r="H596" s="5" t="n">
        <x:v>29.78</x:v>
      </x:c>
      <x:c r="I596" s="5" t="n">
        <x:v>5.66</x:v>
      </x:c>
      <x:c r="J596" s="5" t="n">
        <x:v>52.4</x:v>
      </x:c>
      <x:c r="K596" s="5" t="n">
        <x:v>37.8</x:v>
      </x:c>
      <x:c r="L596" s="5" t="n">
        <x:v>1.66</x:v>
      </x:c>
      <x:c r="M596" s="1" t="n">
        <x:v>1</x:v>
      </x:c>
      <x:c r="N596" s="6" t="n">
        <x:v>1.016</x:v>
      </x:c>
      <x:c r="O596" s="1" t="str">
        <x:v>합격</x:v>
      </x:c>
      <x:c r="P596" s="1"/>
      <x:c r="Q596" s="1" t="n">
        <x:v>48</x:v>
      </x:c>
      <x:c r="R596" s="1" t="str">
        <x:v>N</x:v>
      </x:c>
      <x:c r="S596" s="1" t="n">
        <x:v>0</x:v>
      </x:c>
      <x:c r="T596" s="1" t="str">
        <x:v>합격</x:v>
      </x:c>
    </x:row>
    <x:row r="597" ht="22" customHeight="1">
      <x:c r="A597" s="1" t="str">
        <x:v>R00596</x:v>
      </x:c>
      <x:c r="B597" s="4" t="n">
        <x:v>46210.127858796295</x:v>
      </x:c>
      <x:c r="C597" s="1" t="str">
        <x:v>야간</x:v>
      </x:c>
      <x:c r="D597" s="1" t="str">
        <x:v>L2</x:v>
      </x:c>
      <x:c r="E597" s="1" t="str">
        <x:v>P2</x:v>
      </x:c>
      <x:c r="F597" s="1" t="str">
        <x:v>M04</x:v>
      </x:c>
      <x:c r="G597" s="1" t="str">
        <x:v>G02</x:v>
      </x:c>
      <x:c r="H597" s="5" t="n">
        <x:v>26.38</x:v>
      </x:c>
      <x:c r="I597" s="5" t="n">
        <x:v>5.97</x:v>
      </x:c>
      <x:c r="J597" s="5" t="n">
        <x:v>51.6</x:v>
      </x:c>
      <x:c r="K597" s="5" t="n">
        <x:v>38.9</x:v>
      </x:c>
      <x:c r="L597" s="5" t="n">
        <x:v>1.65</x:v>
      </x:c>
      <x:c r="M597" s="1" t="n">
        <x:v>1</x:v>
      </x:c>
      <x:c r="N597" s="6" t="n">
        <x:v>0.966</x:v>
      </x:c>
      <x:c r="O597" s="1" t="str">
        <x:v>불합격</x:v>
      </x:c>
      <x:c r="P597" s="1" t="str">
        <x:v>체결불량</x:v>
      </x:c>
      <x:c r="Q597" s="1" t="n">
        <x:v>42</x:v>
      </x:c>
      <x:c r="R597" s="1" t="str">
        <x:v>Y</x:v>
      </x:c>
      <x:c r="S597" s="1" t="n">
        <x:v>9</x:v>
      </x:c>
      <x:c r="T597" s="1" t="str">
        <x:v>재작업후합격</x:v>
      </x:c>
    </x:row>
    <x:row r="598" ht="22" customHeight="1">
      <x:c r="A598" s="1" t="str">
        <x:v>R00597</x:v>
      </x:c>
      <x:c r="B598" s="4" t="n">
        <x:v>46211.41425925926</x:v>
      </x:c>
      <x:c r="C598" s="1" t="str">
        <x:v>주간</x:v>
      </x:c>
      <x:c r="D598" s="1" t="str">
        <x:v>L2</x:v>
      </x:c>
      <x:c r="E598" s="1" t="str">
        <x:v>P2</x:v>
      </x:c>
      <x:c r="F598" s="1" t="str">
        <x:v>M04</x:v>
      </x:c>
      <x:c r="G598" s="1" t="str">
        <x:v>G03</x:v>
      </x:c>
      <x:c r="H598" s="5" t="n">
        <x:v>28.07</x:v>
      </x:c>
      <x:c r="I598" s="5" t="n">
        <x:v>5.75</x:v>
      </x:c>
      <x:c r="J598" s="5" t="n">
        <x:v>47.9</x:v>
      </x:c>
      <x:c r="K598" s="5" t="n">
        <x:v>41.2</x:v>
      </x:c>
      <x:c r="L598" s="5" t="n">
        <x:v>2.29</x:v>
      </x:c>
      <x:c r="M598" s="1" t="n">
        <x:v>1</x:v>
      </x:c>
      <x:c r="N598" s="6" t="n">
        <x:v>1.018</x:v>
      </x:c>
      <x:c r="O598" s="1" t="str">
        <x:v>합격</x:v>
      </x:c>
      <x:c r="P598" s="1"/>
      <x:c r="Q598" s="1" t="n">
        <x:v>49</x:v>
      </x:c>
      <x:c r="R598" s="1" t="str">
        <x:v>N</x:v>
      </x:c>
      <x:c r="S598" s="1" t="n">
        <x:v>0</x:v>
      </x:c>
      <x:c r="T598" s="1" t="str">
        <x:v>합격</x:v>
      </x:c>
    </x:row>
    <x:row r="599" ht="22" customHeight="1">
      <x:c r="A599" s="1" t="str">
        <x:v>R00598</x:v>
      </x:c>
      <x:c r="B599" s="4" t="n">
        <x:v>46212.61178240741</x:v>
      </x:c>
      <x:c r="C599" s="1" t="str">
        <x:v>주간</x:v>
      </x:c>
      <x:c r="D599" s="1" t="str">
        <x:v>L1</x:v>
      </x:c>
      <x:c r="E599" s="1" t="str">
        <x:v>P1</x:v>
      </x:c>
      <x:c r="F599" s="1" t="str">
        <x:v>M03</x:v>
      </x:c>
      <x:c r="G599" s="1" t="str">
        <x:v>G04</x:v>
      </x:c>
      <x:c r="H599" s="5" t="n">
        <x:v>31.03</x:v>
      </x:c>
      <x:c r="I599" s="5" t="n">
        <x:v>5.73</x:v>
      </x:c>
      <x:c r="J599" s="5" t="n">
        <x:v>50.9</x:v>
      </x:c>
      <x:c r="K599" s="5" t="n">
        <x:v>35.1</x:v>
      </x:c>
      <x:c r="L599" s="5" t="n">
        <x:v>1.36</x:v>
      </x:c>
      <x:c r="M599" s="1" t="n">
        <x:v>1</x:v>
      </x:c>
      <x:c r="N599" s="6" t="n">
        <x:v>1.008</x:v>
      </x:c>
      <x:c r="O599" s="1" t="str">
        <x:v>합격</x:v>
      </x:c>
      <x:c r="P599" s="1"/>
      <x:c r="Q599" s="1" t="n">
        <x:v>36</x:v>
      </x:c>
      <x:c r="R599" s="1" t="str">
        <x:v>N</x:v>
      </x:c>
      <x:c r="S599" s="1" t="n">
        <x:v>0</x:v>
      </x:c>
      <x:c r="T599" s="1" t="str">
        <x:v>합격</x:v>
      </x:c>
    </x:row>
    <x:row r="600" ht="22" customHeight="1">
      <x:c r="A600" s="1" t="str">
        <x:v>R00599</x:v>
      </x:c>
      <x:c r="B600" s="4" t="n">
        <x:v>46213.05421296296</x:v>
      </x:c>
      <x:c r="C600" s="1" t="str">
        <x:v>야간</x:v>
      </x:c>
      <x:c r="D600" s="1" t="str">
        <x:v>L1</x:v>
      </x:c>
      <x:c r="E600" s="1" t="str">
        <x:v>P1</x:v>
      </x:c>
      <x:c r="F600" s="1" t="str">
        <x:v>M03</x:v>
      </x:c>
      <x:c r="G600" s="1" t="str">
        <x:v>G05</x:v>
      </x:c>
      <x:c r="H600" s="5" t="n">
        <x:v>33.6</x:v>
      </x:c>
      <x:c r="I600" s="5" t="n">
        <x:v>5.73</x:v>
      </x:c>
      <x:c r="J600" s="5" t="n">
        <x:v>52.1</x:v>
      </x:c>
      <x:c r="K600" s="5" t="n">
        <x:v>35.6</x:v>
      </x:c>
      <x:c r="L600" s="5" t="n">
        <x:v>1.83</x:v>
      </x:c>
      <x:c r="M600" s="1" t="n">
        <x:v>0</x:v>
      </x:c>
      <x:c r="N600" s="6" t="n">
        <x:v>1.017</x:v>
      </x:c>
      <x:c r="O600" s="1" t="str">
        <x:v>합격</x:v>
      </x:c>
      <x:c r="P600" s="1"/>
      <x:c r="Q600" s="1" t="n">
        <x:v>46</x:v>
      </x:c>
      <x:c r="R600" s="1" t="str">
        <x:v>N</x:v>
      </x:c>
      <x:c r="S600" s="1" t="n">
        <x:v>0</x:v>
      </x:c>
      <x:c r="T600" s="1" t="str">
        <x:v>합격</x:v>
      </x:c>
    </x:row>
    <x:row r="601" ht="22" customHeight="1">
      <x:c r="A601" s="1" t="str">
        <x:v>R00600</x:v>
      </x:c>
      <x:c r="B601" s="4" t="n">
        <x:v>46214.143842592595</x:v>
      </x:c>
      <x:c r="C601" s="1" t="str">
        <x:v>야간</x:v>
      </x:c>
      <x:c r="D601" s="1" t="str">
        <x:v>L1</x:v>
      </x:c>
      <x:c r="E601" s="1" t="str">
        <x:v>P1</x:v>
      </x:c>
      <x:c r="F601" s="1" t="str">
        <x:v>M04</x:v>
      </x:c>
      <x:c r="G601" s="1" t="str">
        <x:v>G06</x:v>
      </x:c>
      <x:c r="H601" s="5" t="n">
        <x:v>32.59</x:v>
      </x:c>
      <x:c r="I601" s="5" t="n">
        <x:v>5.63</x:v>
      </x:c>
      <x:c r="J601" s="5" t="n">
        <x:v>50.8</x:v>
      </x:c>
      <x:c r="K601" s="5" t="n">
        <x:v>41.7</x:v>
      </x:c>
      <x:c r="L601" s="5" t="n">
        <x:v>2.35</x:v>
      </x:c>
      <x:c r="M601" s="1" t="n">
        <x:v>0</x:v>
      </x:c>
      <x:c r="N601" s="6" t="n">
        <x:v>0.966</x:v>
      </x:c>
      <x:c r="O601" s="1" t="str">
        <x:v>합격</x:v>
      </x:c>
      <x:c r="P601" s="1"/>
      <x:c r="Q601" s="1" t="n">
        <x:v>43</x:v>
      </x:c>
      <x:c r="R601" s="1" t="str">
        <x:v>N</x:v>
      </x:c>
      <x:c r="S601" s="1" t="n">
        <x:v>0</x:v>
      </x:c>
      <x:c r="T601" s="1" t="str">
        <x:v>합격</x:v>
      </x:c>
    </x:row>
    <x:row r="602" ht="22" customHeight="1">
      <x:c r="A602" s="1" t="str">
        <x:v>R00601</x:v>
      </x:c>
      <x:c r="B602" s="4" t="n">
        <x:v>46215.57287037037</x:v>
      </x:c>
      <x:c r="C602" s="1" t="str">
        <x:v>주간</x:v>
      </x:c>
      <x:c r="D602" s="1" t="str">
        <x:v>L1</x:v>
      </x:c>
      <x:c r="E602" s="1" t="str">
        <x:v>P1</x:v>
      </x:c>
      <x:c r="F602" s="1" t="str">
        <x:v>M01</x:v>
      </x:c>
      <x:c r="G602" s="1" t="str">
        <x:v>G01</x:v>
      </x:c>
      <x:c r="H602" s="5" t="n">
        <x:v>30.52</x:v>
      </x:c>
      <x:c r="I602" s="5" t="n">
        <x:v>5.97</x:v>
      </x:c>
      <x:c r="J602" s="5" t="n">
        <x:v>53</x:v>
      </x:c>
      <x:c r="K602" s="5" t="n">
        <x:v>39.6</x:v>
      </x:c>
      <x:c r="L602" s="5" t="n">
        <x:v>1.37</x:v>
      </x:c>
      <x:c r="M602" s="1" t="n">
        <x:v>1</x:v>
      </x:c>
      <x:c r="N602" s="6" t="n">
        <x:v>0.931</x:v>
      </x:c>
      <x:c r="O602" s="1" t="str">
        <x:v>합격</x:v>
      </x:c>
      <x:c r="P602" s="1"/>
      <x:c r="Q602" s="1" t="n">
        <x:v>49</x:v>
      </x:c>
      <x:c r="R602" s="1" t="str">
        <x:v>N</x:v>
      </x:c>
      <x:c r="S602" s="1" t="n">
        <x:v>0</x:v>
      </x:c>
      <x:c r="T602" s="1" t="str">
        <x:v>합격</x:v>
      </x:c>
    </x:row>
    <x:row r="603" ht="22" customHeight="1">
      <x:c r="A603" s="1" t="str">
        <x:v>R00602</x:v>
      </x:c>
      <x:c r="B603" s="4" t="n">
        <x:v>46216.47479166667</x:v>
      </x:c>
      <x:c r="C603" s="1" t="str">
        <x:v>주간</x:v>
      </x:c>
      <x:c r="D603" s="1" t="str">
        <x:v>L1</x:v>
      </x:c>
      <x:c r="E603" s="1" t="str">
        <x:v>P1</x:v>
      </x:c>
      <x:c r="F603" s="1" t="str">
        <x:v>M03</x:v>
      </x:c>
      <x:c r="G603" s="1" t="str">
        <x:v>G02</x:v>
      </x:c>
      <x:c r="H603" s="5" t="n">
        <x:v>27.3</x:v>
      </x:c>
      <x:c r="I603" s="5" t="n">
        <x:v>5.6</x:v>
      </x:c>
      <x:c r="J603" s="5" t="n">
        <x:v>47.5</x:v>
      </x:c>
      <x:c r="K603" s="5" t="n">
        <x:v>36.8</x:v>
      </x:c>
      <x:c r="L603" s="5" t="n">
        <x:v>2.04</x:v>
      </x:c>
      <x:c r="M603" s="1" t="n">
        <x:v>1</x:v>
      </x:c>
      <x:c r="N603" s="6" t="n">
        <x:v>1.007</x:v>
      </x:c>
      <x:c r="O603" s="1" t="str">
        <x:v>합격</x:v>
      </x:c>
      <x:c r="P603" s="1"/>
      <x:c r="Q603" s="1" t="n">
        <x:v>35</x:v>
      </x:c>
      <x:c r="R603" s="1" t="str">
        <x:v>N</x:v>
      </x:c>
      <x:c r="S603" s="1" t="n">
        <x:v>0</x:v>
      </x:c>
      <x:c r="T603" s="1" t="str">
        <x:v>합격</x:v>
      </x:c>
    </x:row>
    <x:row r="604" ht="22" customHeight="1">
      <x:c r="A604" s="1" t="str">
        <x:v>R00603</x:v>
      </x:c>
      <x:c r="B604" s="4" t="n">
        <x:v>46217.427766203706</x:v>
      </x:c>
      <x:c r="C604" s="1" t="str">
        <x:v>주간</x:v>
      </x:c>
      <x:c r="D604" s="1" t="str">
        <x:v>L1</x:v>
      </x:c>
      <x:c r="E604" s="1" t="str">
        <x:v>P1</x:v>
      </x:c>
      <x:c r="F604" s="1" t="str">
        <x:v>M01</x:v>
      </x:c>
      <x:c r="G604" s="1" t="str">
        <x:v>G03</x:v>
      </x:c>
      <x:c r="H604" s="5" t="n">
        <x:v>27.35</x:v>
      </x:c>
      <x:c r="I604" s="5" t="n">
        <x:v>5.61</x:v>
      </x:c>
      <x:c r="J604" s="5" t="n">
        <x:v>49</x:v>
      </x:c>
      <x:c r="K604" s="5" t="n">
        <x:v>40.1</x:v>
      </x:c>
      <x:c r="L604" s="5" t="n">
        <x:v>1.38</x:v>
      </x:c>
      <x:c r="M604" s="1" t="n">
        <x:v>0</x:v>
      </x:c>
      <x:c r="N604" s="6" t="n">
        <x:v>0.876</x:v>
      </x:c>
      <x:c r="O604" s="1" t="str">
        <x:v>합격</x:v>
      </x:c>
      <x:c r="P604" s="1"/>
      <x:c r="Q604" s="1" t="n">
        <x:v>44</x:v>
      </x:c>
      <x:c r="R604" s="1" t="str">
        <x:v>N</x:v>
      </x:c>
      <x:c r="S604" s="1" t="n">
        <x:v>0</x:v>
      </x:c>
      <x:c r="T604" s="1" t="str">
        <x:v>합격</x:v>
      </x:c>
    </x:row>
    <x:row r="605" ht="22" customHeight="1">
      <x:c r="A605" s="1" t="str">
        <x:v>R00604</x:v>
      </x:c>
      <x:c r="B605" s="4" t="n">
        <x:v>46218.47622685185</x:v>
      </x:c>
      <x:c r="C605" s="1" t="str">
        <x:v>주간</x:v>
      </x:c>
      <x:c r="D605" s="1" t="str">
        <x:v>L1</x:v>
      </x:c>
      <x:c r="E605" s="1" t="str">
        <x:v>P1</x:v>
      </x:c>
      <x:c r="F605" s="1" t="str">
        <x:v>M03</x:v>
      </x:c>
      <x:c r="G605" s="1" t="str">
        <x:v>G04</x:v>
      </x:c>
      <x:c r="H605" s="5" t="n">
        <x:v>28.65</x:v>
      </x:c>
      <x:c r="I605" s="5" t="n">
        <x:v>5.71</x:v>
      </x:c>
      <x:c r="J605" s="5" t="n">
        <x:v>47.3</x:v>
      </x:c>
      <x:c r="K605" s="5" t="n">
        <x:v>39.6</x:v>
      </x:c>
      <x:c r="L605" s="5" t="n">
        <x:v>1.33</x:v>
      </x:c>
      <x:c r="M605" s="1" t="n">
        <x:v>1</x:v>
      </x:c>
      <x:c r="N605" s="6" t="n">
        <x:v>0.996</x:v>
      </x:c>
      <x:c r="O605" s="1" t="str">
        <x:v>합격</x:v>
      </x:c>
      <x:c r="P605" s="1"/>
      <x:c r="Q605" s="1" t="n">
        <x:v>40</x:v>
      </x:c>
      <x:c r="R605" s="1" t="str">
        <x:v>N</x:v>
      </x:c>
      <x:c r="S605" s="1" t="n">
        <x:v>0</x:v>
      </x:c>
      <x:c r="T605" s="1" t="str">
        <x:v>합격</x:v>
      </x:c>
    </x:row>
    <x:row r="606" ht="22" customHeight="1">
      <x:c r="A606" s="1" t="str">
        <x:v>R00605</x:v>
      </x:c>
      <x:c r="B606" s="4" t="n">
        <x:v>46219.915914351855</x:v>
      </x:c>
      <x:c r="C606" s="1" t="str">
        <x:v>야간</x:v>
      </x:c>
      <x:c r="D606" s="1" t="str">
        <x:v>L1</x:v>
      </x:c>
      <x:c r="E606" s="1" t="str">
        <x:v>P1</x:v>
      </x:c>
      <x:c r="F606" s="1" t="str">
        <x:v>M04</x:v>
      </x:c>
      <x:c r="G606" s="1" t="str">
        <x:v>G05</x:v>
      </x:c>
      <x:c r="H606" s="5" t="n">
        <x:v>32.15</x:v>
      </x:c>
      <x:c r="I606" s="5" t="n">
        <x:v>5.89</x:v>
      </x:c>
      <x:c r="J606" s="5" t="n">
        <x:v>55.1</x:v>
      </x:c>
      <x:c r="K606" s="5" t="n">
        <x:v>36.5</x:v>
      </x:c>
      <x:c r="L606" s="5" t="n">
        <x:v>1.92</x:v>
      </x:c>
      <x:c r="M606" s="1" t="n">
        <x:v>1</x:v>
      </x:c>
      <x:c r="N606" s="6" t="n">
        <x:v>0.985</x:v>
      </x:c>
      <x:c r="O606" s="1" t="str">
        <x:v>합격</x:v>
      </x:c>
      <x:c r="P606" s="1"/>
      <x:c r="Q606" s="1" t="n">
        <x:v>36</x:v>
      </x:c>
      <x:c r="R606" s="1" t="str">
        <x:v>N</x:v>
      </x:c>
      <x:c r="S606" s="1" t="n">
        <x:v>0</x:v>
      </x:c>
      <x:c r="T606" s="1" t="str">
        <x:v>합격</x:v>
      </x:c>
    </x:row>
    <x:row r="607" ht="22" customHeight="1">
      <x:c r="A607" s="1" t="str">
        <x:v>R00606</x:v>
      </x:c>
      <x:c r="B607" s="4" t="n">
        <x:v>46220.09773148148</x:v>
      </x:c>
      <x:c r="C607" s="1" t="str">
        <x:v>야간</x:v>
      </x:c>
      <x:c r="D607" s="1" t="str">
        <x:v>L2</x:v>
      </x:c>
      <x:c r="E607" s="1" t="str">
        <x:v>P2</x:v>
      </x:c>
      <x:c r="F607" s="1" t="str">
        <x:v>M02</x:v>
      </x:c>
      <x:c r="G607" s="1" t="str">
        <x:v>G06</x:v>
      </x:c>
      <x:c r="H607" s="5" t="n">
        <x:v>30.85</x:v>
      </x:c>
      <x:c r="I607" s="5" t="n">
        <x:v>5.86</x:v>
      </x:c>
      <x:c r="J607" s="5" t="n">
        <x:v>58.2</x:v>
      </x:c>
      <x:c r="K607" s="5" t="n">
        <x:v>38.9</x:v>
      </x:c>
      <x:c r="L607" s="5" t="n">
        <x:v>1.86</x:v>
      </x:c>
      <x:c r="M607" s="1" t="n">
        <x:v>1</x:v>
      </x:c>
      <x:c r="N607" s="6" t="n">
        <x:v>0.871</x:v>
      </x:c>
      <x:c r="O607" s="1" t="str">
        <x:v>합격</x:v>
      </x:c>
      <x:c r="P607" s="1"/>
      <x:c r="Q607" s="1" t="n">
        <x:v>37</x:v>
      </x:c>
      <x:c r="R607" s="1" t="str">
        <x:v>N</x:v>
      </x:c>
      <x:c r="S607" s="1" t="n">
        <x:v>0</x:v>
      </x:c>
      <x:c r="T607" s="1" t="str">
        <x:v>합격</x:v>
      </x:c>
    </x:row>
    <x:row r="608" ht="22" customHeight="1">
      <x:c r="A608" s="1" t="str">
        <x:v>R00607</x:v>
      </x:c>
      <x:c r="B608" s="4" t="n">
        <x:v>46221.99309027778</x:v>
      </x:c>
      <x:c r="C608" s="1" t="str">
        <x:v>야간</x:v>
      </x:c>
      <x:c r="D608" s="1" t="str">
        <x:v>L1</x:v>
      </x:c>
      <x:c r="E608" s="1" t="str">
        <x:v>P1</x:v>
      </x:c>
      <x:c r="F608" s="1" t="str">
        <x:v>M03</x:v>
      </x:c>
      <x:c r="G608" s="1" t="str">
        <x:v>G01</x:v>
      </x:c>
      <x:c r="H608" s="5" t="n">
        <x:v>33.68</x:v>
      </x:c>
      <x:c r="I608" s="5" t="n">
        <x:v>5.85</x:v>
      </x:c>
      <x:c r="J608" s="5" t="n">
        <x:v>57.8</x:v>
      </x:c>
      <x:c r="K608" s="5" t="n">
        <x:v>42</x:v>
      </x:c>
      <x:c r="L608" s="5" t="n">
        <x:v>1.34</x:v>
      </x:c>
      <x:c r="M608" s="1" t="n">
        <x:v>1</x:v>
      </x:c>
      <x:c r="N608" s="6" t="n">
        <x:v>0.931</x:v>
      </x:c>
      <x:c r="O608" s="1" t="str">
        <x:v>합격</x:v>
      </x:c>
      <x:c r="P608" s="1"/>
      <x:c r="Q608" s="1" t="n">
        <x:v>46</x:v>
      </x:c>
      <x:c r="R608" s="1" t="str">
        <x:v>N</x:v>
      </x:c>
      <x:c r="S608" s="1" t="n">
        <x:v>0</x:v>
      </x:c>
      <x:c r="T608" s="1" t="str">
        <x:v>합격</x:v>
      </x:c>
    </x:row>
    <x:row r="609" ht="22" customHeight="1">
      <x:c r="A609" s="1" t="str">
        <x:v>R00608</x:v>
      </x:c>
      <x:c r="B609" s="4" t="n">
        <x:v>46222.97862268519</x:v>
      </x:c>
      <x:c r="C609" s="1" t="str">
        <x:v>야간</x:v>
      </x:c>
      <x:c r="D609" s="1" t="str">
        <x:v>L2</x:v>
      </x:c>
      <x:c r="E609" s="1" t="str">
        <x:v>P2</x:v>
      </x:c>
      <x:c r="F609" s="1" t="str">
        <x:v>M01</x:v>
      </x:c>
      <x:c r="G609" s="1" t="str">
        <x:v>G02</x:v>
      </x:c>
      <x:c r="H609" s="5" t="n">
        <x:v>32.54</x:v>
      </x:c>
      <x:c r="I609" s="5" t="n">
        <x:v>5.97</x:v>
      </x:c>
      <x:c r="J609" s="5" t="n">
        <x:v>54</x:v>
      </x:c>
      <x:c r="K609" s="5" t="n">
        <x:v>40.8</x:v>
      </x:c>
      <x:c r="L609" s="5" t="n">
        <x:v>1.71</x:v>
      </x:c>
      <x:c r="M609" s="1" t="n">
        <x:v>1</x:v>
      </x:c>
      <x:c r="N609" s="6" t="n">
        <x:v>0.959</x:v>
      </x:c>
      <x:c r="O609" s="1" t="str">
        <x:v>합격</x:v>
      </x:c>
      <x:c r="P609" s="1"/>
      <x:c r="Q609" s="1" t="n">
        <x:v>42</x:v>
      </x:c>
      <x:c r="R609" s="1" t="str">
        <x:v>N</x:v>
      </x:c>
      <x:c r="S609" s="1" t="n">
        <x:v>0</x:v>
      </x:c>
      <x:c r="T609" s="1" t="str">
        <x:v>합격</x:v>
      </x:c>
    </x:row>
    <x:row r="610" ht="22" customHeight="1">
      <x:c r="A610" s="1" t="str">
        <x:v>R00609</x:v>
      </x:c>
      <x:c r="B610" s="4" t="n">
        <x:v>46223.50578703704</x:v>
      </x:c>
      <x:c r="C610" s="1" t="str">
        <x:v>주간</x:v>
      </x:c>
      <x:c r="D610" s="1" t="str">
        <x:v>L2</x:v>
      </x:c>
      <x:c r="E610" s="1" t="str">
        <x:v>P2</x:v>
      </x:c>
      <x:c r="F610" s="1" t="str">
        <x:v>M04</x:v>
      </x:c>
      <x:c r="G610" s="1" t="str">
        <x:v>G03</x:v>
      </x:c>
      <x:c r="H610" s="5" t="n">
        <x:v>30.8</x:v>
      </x:c>
      <x:c r="I610" s="5" t="n">
        <x:v>5.64</x:v>
      </x:c>
      <x:c r="J610" s="5" t="n">
        <x:v>51.6</x:v>
      </x:c>
      <x:c r="K610" s="5" t="n">
        <x:v>41.6</x:v>
      </x:c>
      <x:c r="L610" s="5" t="n">
        <x:v>2.65</x:v>
      </x:c>
      <x:c r="M610" s="1" t="n">
        <x:v>1</x:v>
      </x:c>
      <x:c r="N610" s="6" t="n">
        <x:v>0.855</x:v>
      </x:c>
      <x:c r="O610" s="1" t="str">
        <x:v>합격</x:v>
      </x:c>
      <x:c r="P610" s="1"/>
      <x:c r="Q610" s="1" t="n">
        <x:v>40</x:v>
      </x:c>
      <x:c r="R610" s="1" t="str">
        <x:v>N</x:v>
      </x:c>
      <x:c r="S610" s="1" t="n">
        <x:v>0</x:v>
      </x:c>
      <x:c r="T610" s="1" t="str">
        <x:v>합격</x:v>
      </x:c>
    </x:row>
    <x:row r="611" ht="22" customHeight="1">
      <x:c r="A611" s="1" t="str">
        <x:v>R00610</x:v>
      </x:c>
      <x:c r="B611" s="4" t="n">
        <x:v>46224.9074537037</x:v>
      </x:c>
      <x:c r="C611" s="1" t="str">
        <x:v>야간</x:v>
      </x:c>
      <x:c r="D611" s="1" t="str">
        <x:v>L1</x:v>
      </x:c>
      <x:c r="E611" s="1" t="str">
        <x:v>P1</x:v>
      </x:c>
      <x:c r="F611" s="1" t="str">
        <x:v>M04</x:v>
      </x:c>
      <x:c r="G611" s="1" t="str">
        <x:v>G04</x:v>
      </x:c>
      <x:c r="H611" s="5" t="n">
        <x:v>27.74</x:v>
      </x:c>
      <x:c r="I611" s="5" t="n">
        <x:v>5.93</x:v>
      </x:c>
      <x:c r="J611" s="5" t="n">
        <x:v>55.1</x:v>
      </x:c>
      <x:c r="K611" s="5" t="n">
        <x:v>41.2</x:v>
      </x:c>
      <x:c r="L611" s="5" t="n">
        <x:v>2.3</x:v>
      </x:c>
      <x:c r="M611" s="1" t="n">
        <x:v>0</x:v>
      </x:c>
      <x:c r="N611" s="6" t="n">
        <x:v>1.024</x:v>
      </x:c>
      <x:c r="O611" s="1" t="str">
        <x:v>합격</x:v>
      </x:c>
      <x:c r="P611" s="1"/>
      <x:c r="Q611" s="1" t="n">
        <x:v>35</x:v>
      </x:c>
      <x:c r="R611" s="1" t="str">
        <x:v>N</x:v>
      </x:c>
      <x:c r="S611" s="1" t="n">
        <x:v>0</x:v>
      </x:c>
      <x:c r="T611" s="1" t="str">
        <x:v>합격</x:v>
      </x:c>
    </x:row>
    <x:row r="612" ht="22" customHeight="1">
      <x:c r="A612" s="1" t="str">
        <x:v>R00611</x:v>
      </x:c>
      <x:c r="B612" s="4" t="n">
        <x:v>46225.61571759259</x:v>
      </x:c>
      <x:c r="C612" s="1" t="str">
        <x:v>주간</x:v>
      </x:c>
      <x:c r="D612" s="1" t="str">
        <x:v>L2</x:v>
      </x:c>
      <x:c r="E612" s="1" t="str">
        <x:v>P2</x:v>
      </x:c>
      <x:c r="F612" s="1" t="str">
        <x:v>M02</x:v>
      </x:c>
      <x:c r="G612" s="1" t="str">
        <x:v>G05</x:v>
      </x:c>
      <x:c r="H612" s="5" t="n">
        <x:v>32.52</x:v>
      </x:c>
      <x:c r="I612" s="5" t="n">
        <x:v>5.87</x:v>
      </x:c>
      <x:c r="J612" s="5" t="n">
        <x:v>53.4</x:v>
      </x:c>
      <x:c r="K612" s="5" t="n">
        <x:v>39</x:v>
      </x:c>
      <x:c r="L612" s="5" t="n">
        <x:v>1.6</x:v>
      </x:c>
      <x:c r="M612" s="1" t="n">
        <x:v>0</x:v>
      </x:c>
      <x:c r="N612" s="6" t="n">
        <x:v>0.89</x:v>
      </x:c>
      <x:c r="O612" s="1" t="str">
        <x:v>합격</x:v>
      </x:c>
      <x:c r="P612" s="1"/>
      <x:c r="Q612" s="1" t="n">
        <x:v>36</x:v>
      </x:c>
      <x:c r="R612" s="1" t="str">
        <x:v>N</x:v>
      </x:c>
      <x:c r="S612" s="1" t="n">
        <x:v>0</x:v>
      </x:c>
      <x:c r="T612" s="1" t="str">
        <x:v>합격</x:v>
      </x:c>
    </x:row>
    <x:row r="613" ht="22" customHeight="1">
      <x:c r="A613" s="1" t="str">
        <x:v>R00612</x:v>
      </x:c>
      <x:c r="B613" s="4" t="n">
        <x:v>46226.83630787037</x:v>
      </x:c>
      <x:c r="C613" s="1" t="str">
        <x:v>야간</x:v>
      </x:c>
      <x:c r="D613" s="1" t="str">
        <x:v>L2</x:v>
      </x:c>
      <x:c r="E613" s="1" t="str">
        <x:v>P2</x:v>
      </x:c>
      <x:c r="F613" s="1" t="str">
        <x:v>M02</x:v>
      </x:c>
      <x:c r="G613" s="1" t="str">
        <x:v>G06</x:v>
      </x:c>
      <x:c r="H613" s="5" t="n">
        <x:v>31.65</x:v>
      </x:c>
      <x:c r="I613" s="5" t="n">
        <x:v>5.99</x:v>
      </x:c>
      <x:c r="J613" s="5" t="n">
        <x:v>55.6</x:v>
      </x:c>
      <x:c r="K613" s="5" t="n">
        <x:v>39.7</x:v>
      </x:c>
      <x:c r="L613" s="5" t="n">
        <x:v>1.61</x:v>
      </x:c>
      <x:c r="M613" s="1" t="n">
        <x:v>0</x:v>
      </x:c>
      <x:c r="N613" s="6" t="n">
        <x:v>0.854</x:v>
      </x:c>
      <x:c r="O613" s="1" t="str">
        <x:v>합격</x:v>
      </x:c>
      <x:c r="P613" s="1"/>
      <x:c r="Q613" s="1" t="n">
        <x:v>41</x:v>
      </x:c>
      <x:c r="R613" s="1" t="str">
        <x:v>N</x:v>
      </x:c>
      <x:c r="S613" s="1" t="n">
        <x:v>0</x:v>
      </x:c>
      <x:c r="T613" s="1" t="str">
        <x:v>합격</x:v>
      </x:c>
    </x:row>
    <x:row r="614" ht="22" customHeight="1">
      <x:c r="A614" s="1" t="str">
        <x:v>R00613</x:v>
      </x:c>
      <x:c r="B614" s="4" t="n">
        <x:v>46227.59946759259</x:v>
      </x:c>
      <x:c r="C614" s="1" t="str">
        <x:v>주간</x:v>
      </x:c>
      <x:c r="D614" s="1" t="str">
        <x:v>L2</x:v>
      </x:c>
      <x:c r="E614" s="1" t="str">
        <x:v>P2</x:v>
      </x:c>
      <x:c r="F614" s="1" t="str">
        <x:v>M04</x:v>
      </x:c>
      <x:c r="G614" s="1" t="str">
        <x:v>G01</x:v>
      </x:c>
      <x:c r="H614" s="5"/>
      <x:c r="I614" s="5" t="n">
        <x:v>5.69</x:v>
      </x:c>
      <x:c r="J614" s="5" t="n">
        <x:v>52.6</x:v>
      </x:c>
      <x:c r="K614" s="5" t="n">
        <x:v>37.8</x:v>
      </x:c>
      <x:c r="L614" s="5" t="n">
        <x:v>1.74</x:v>
      </x:c>
      <x:c r="M614" s="1" t="n">
        <x:v>0</x:v>
      </x:c>
      <x:c r="N614" s="6" t="n">
        <x:v>0.957</x:v>
      </x:c>
      <x:c r="O614" s="1" t="str">
        <x:v>합격</x:v>
      </x:c>
      <x:c r="P614" s="1"/>
      <x:c r="Q614" s="1" t="n">
        <x:v>44</x:v>
      </x:c>
      <x:c r="R614" s="1" t="str">
        <x:v>N</x:v>
      </x:c>
      <x:c r="S614" s="1" t="n">
        <x:v>0</x:v>
      </x:c>
      <x:c r="T614" s="1" t="str">
        <x:v>합격</x:v>
      </x:c>
    </x:row>
    <x:row r="615" ht="22" customHeight="1">
      <x:c r="A615" s="1" t="str">
        <x:v>R00614</x:v>
      </x:c>
      <x:c r="B615" s="4" t="n">
        <x:v>46228.00760416667</x:v>
      </x:c>
      <x:c r="C615" s="1" t="str">
        <x:v>야간</x:v>
      </x:c>
      <x:c r="D615" s="1" t="str">
        <x:v>L1</x:v>
      </x:c>
      <x:c r="E615" s="1" t="str">
        <x:v>P1</x:v>
      </x:c>
      <x:c r="F615" s="1" t="str">
        <x:v>M04</x:v>
      </x:c>
      <x:c r="G615" s="1" t="str">
        <x:v>G02</x:v>
      </x:c>
      <x:c r="H615" s="5" t="n">
        <x:v>28.42</x:v>
      </x:c>
      <x:c r="I615" s="5" t="n">
        <x:v>6</x:v>
      </x:c>
      <x:c r="J615" s="5" t="n">
        <x:v>54</x:v>
      </x:c>
      <x:c r="K615" s="5" t="n">
        <x:v>41</x:v>
      </x:c>
      <x:c r="L615" s="5" t="n">
        <x:v>1.51</x:v>
      </x:c>
      <x:c r="M615" s="1" t="n">
        <x:v>1</x:v>
      </x:c>
      <x:c r="N615" s="6" t="n">
        <x:v>0.866</x:v>
      </x:c>
      <x:c r="O615" s="1" t="str">
        <x:v>합격</x:v>
      </x:c>
      <x:c r="P615" s="1"/>
      <x:c r="Q615" s="1" t="n">
        <x:v>49</x:v>
      </x:c>
      <x:c r="R615" s="1" t="str">
        <x:v>N</x:v>
      </x:c>
      <x:c r="S615" s="1" t="n">
        <x:v>0</x:v>
      </x:c>
      <x:c r="T615" s="1" t="str">
        <x:v>합격</x:v>
      </x:c>
    </x:row>
    <x:row r="616" ht="22" customHeight="1">
      <x:c r="A616" s="1" t="str">
        <x:v>R00615</x:v>
      </x:c>
      <x:c r="B616" s="4" t="n">
        <x:v>46229.13636574074</x:v>
      </x:c>
      <x:c r="C616" s="1" t="str">
        <x:v>야간</x:v>
      </x:c>
      <x:c r="D616" s="1" t="str">
        <x:v>L1</x:v>
      </x:c>
      <x:c r="E616" s="1" t="str">
        <x:v>P1</x:v>
      </x:c>
      <x:c r="F616" s="1" t="str">
        <x:v>M03</x:v>
      </x:c>
      <x:c r="G616" s="1" t="str">
        <x:v>G03</x:v>
      </x:c>
      <x:c r="H616" s="5" t="n">
        <x:v>33.64</x:v>
      </x:c>
      <x:c r="I616" s="5" t="n">
        <x:v>5.77</x:v>
      </x:c>
      <x:c r="J616" s="5" t="n">
        <x:v>56.3</x:v>
      </x:c>
      <x:c r="K616" s="5" t="n">
        <x:v>36.9</x:v>
      </x:c>
      <x:c r="L616" s="5" t="n">
        <x:v>1.89</x:v>
      </x:c>
      <x:c r="M616" s="1" t="n">
        <x:v>0</x:v>
      </x:c>
      <x:c r="N616" s="6" t="n">
        <x:v>1.011</x:v>
      </x:c>
      <x:c r="O616" s="1" t="str">
        <x:v>합격</x:v>
      </x:c>
      <x:c r="P616" s="1"/>
      <x:c r="Q616" s="1" t="n">
        <x:v>37</x:v>
      </x:c>
      <x:c r="R616" s="1" t="str">
        <x:v>N</x:v>
      </x:c>
      <x:c r="S616" s="1" t="n">
        <x:v>0</x:v>
      </x:c>
      <x:c r="T616" s="1" t="str">
        <x:v>합격</x:v>
      </x:c>
    </x:row>
    <x:row r="617" ht="22" customHeight="1">
      <x:c r="A617" s="1" t="str">
        <x:v>R00616</x:v>
      </x:c>
      <x:c r="B617" s="4" t="n">
        <x:v>46230.09684027778</x:v>
      </x:c>
      <x:c r="C617" s="1" t="str">
        <x:v>야간</x:v>
      </x:c>
      <x:c r="D617" s="1" t="str">
        <x:v>L2</x:v>
      </x:c>
      <x:c r="E617" s="1" t="str">
        <x:v>P2</x:v>
      </x:c>
      <x:c r="F617" s="1" t="str">
        <x:v>M01</x:v>
      </x:c>
      <x:c r="G617" s="1" t="str">
        <x:v>G04</x:v>
      </x:c>
      <x:c r="H617" s="5" t="n">
        <x:v>28.73</x:v>
      </x:c>
      <x:c r="I617" s="5" t="n">
        <x:v>5.69</x:v>
      </x:c>
      <x:c r="J617" s="5" t="n">
        <x:v>58.6</x:v>
      </x:c>
      <x:c r="K617" s="5" t="n">
        <x:v>35.1</x:v>
      </x:c>
      <x:c r="L617" s="5" t="n">
        <x:v>1.73</x:v>
      </x:c>
      <x:c r="M617" s="1" t="n">
        <x:v>0</x:v>
      </x:c>
      <x:c r="N617" s="6" t="n">
        <x:v>0.95</x:v>
      </x:c>
      <x:c r="O617" s="1" t="str">
        <x:v>합격</x:v>
      </x:c>
      <x:c r="P617" s="1"/>
      <x:c r="Q617" s="1" t="n">
        <x:v>39</x:v>
      </x:c>
      <x:c r="R617" s="1" t="str">
        <x:v>N</x:v>
      </x:c>
      <x:c r="S617" s="1" t="n">
        <x:v>0</x:v>
      </x:c>
      <x:c r="T617" s="1" t="str">
        <x:v>합격</x:v>
      </x:c>
    </x:row>
    <x:row r="618" ht="22" customHeight="1">
      <x:c r="A618" s="1" t="str">
        <x:v>R00617</x:v>
      </x:c>
      <x:c r="B618" s="4" t="n">
        <x:v>46231.43203703704</x:v>
      </x:c>
      <x:c r="C618" s="1" t="str">
        <x:v>주간</x:v>
      </x:c>
      <x:c r="D618" s="1" t="str">
        <x:v>L2</x:v>
      </x:c>
      <x:c r="E618" s="1" t="str">
        <x:v>P2</x:v>
      </x:c>
      <x:c r="F618" s="1" t="str">
        <x:v>M04</x:v>
      </x:c>
      <x:c r="G618" s="1" t="str">
        <x:v>G05</x:v>
      </x:c>
      <x:c r="H618" s="5" t="n">
        <x:v>32.26</x:v>
      </x:c>
      <x:c r="I618" s="5" t="n">
        <x:v>5.92</x:v>
      </x:c>
      <x:c r="J618" s="5" t="n">
        <x:v>48.6</x:v>
      </x:c>
      <x:c r="K618" s="5" t="n">
        <x:v>37.1</x:v>
      </x:c>
      <x:c r="L618" s="5" t="n">
        <x:v>1.49</x:v>
      </x:c>
      <x:c r="M618" s="1" t="n">
        <x:v>1</x:v>
      </x:c>
      <x:c r="N618" s="6" t="n">
        <x:v>0.884</x:v>
      </x:c>
      <x:c r="O618" s="1" t="str">
        <x:v>합격</x:v>
      </x:c>
      <x:c r="P618" s="1"/>
      <x:c r="Q618" s="1" t="n">
        <x:v>39</x:v>
      </x:c>
      <x:c r="R618" s="1" t="str">
        <x:v>N</x:v>
      </x:c>
      <x:c r="S618" s="1" t="n">
        <x:v>0</x:v>
      </x:c>
      <x:c r="T618" s="1" t="str">
        <x:v>합격</x:v>
      </x:c>
    </x:row>
    <x:row r="619" ht="22" customHeight="1">
      <x:c r="A619" s="1" t="str">
        <x:v>R00618</x:v>
      </x:c>
      <x:c r="B619" s="4" t="n">
        <x:v>46232.648935185185</x:v>
      </x:c>
      <x:c r="C619" s="1" t="str">
        <x:v>주간</x:v>
      </x:c>
      <x:c r="D619" s="1" t="str">
        <x:v>L1</x:v>
      </x:c>
      <x:c r="E619" s="1" t="str">
        <x:v>P1</x:v>
      </x:c>
      <x:c r="F619" s="1" t="str">
        <x:v>M01</x:v>
      </x:c>
      <x:c r="G619" s="1" t="str">
        <x:v>G06</x:v>
      </x:c>
      <x:c r="H619" s="5" t="n">
        <x:v>30.41</x:v>
      </x:c>
      <x:c r="I619" s="5" t="n">
        <x:v>5.7</x:v>
      </x:c>
      <x:c r="J619" s="5" t="n">
        <x:v>52.9</x:v>
      </x:c>
      <x:c r="K619" s="5" t="n">
        <x:v>38.3</x:v>
      </x:c>
      <x:c r="L619" s="5" t="n">
        <x:v>1.89</x:v>
      </x:c>
      <x:c r="M619" s="1" t="n">
        <x:v>0</x:v>
      </x:c>
      <x:c r="N619" s="6" t="n">
        <x:v>0.901</x:v>
      </x:c>
      <x:c r="O619" s="1" t="str">
        <x:v>합격</x:v>
      </x:c>
      <x:c r="P619" s="1"/>
      <x:c r="Q619" s="1" t="n">
        <x:v>49</x:v>
      </x:c>
      <x:c r="R619" s="1" t="str">
        <x:v>N</x:v>
      </x:c>
      <x:c r="S619" s="1" t="n">
        <x:v>0</x:v>
      </x:c>
      <x:c r="T619" s="1" t="str">
        <x:v>합격</x:v>
      </x:c>
    </x:row>
    <x:row r="620" ht="22" customHeight="1">
      <x:c r="A620" s="1" t="str">
        <x:v>R00619</x:v>
      </x:c>
      <x:c r="B620" s="4" t="n">
        <x:v>46233.34568287037</x:v>
      </x:c>
      <x:c r="C620" s="1" t="str">
        <x:v>주간</x:v>
      </x:c>
      <x:c r="D620" s="1" t="str">
        <x:v>L1</x:v>
      </x:c>
      <x:c r="E620" s="1" t="str">
        <x:v>P1</x:v>
      </x:c>
      <x:c r="F620" s="1" t="str">
        <x:v>M01</x:v>
      </x:c>
      <x:c r="G620" s="1" t="str">
        <x:v>G01</x:v>
      </x:c>
      <x:c r="H620" s="5" t="n">
        <x:v>29.66</x:v>
      </x:c>
      <x:c r="I620" s="5" t="n">
        <x:v>5.89</x:v>
      </x:c>
      <x:c r="J620" s="5" t="n">
        <x:v>58.8</x:v>
      </x:c>
      <x:c r="K620" s="5" t="n">
        <x:v>37.7</x:v>
      </x:c>
      <x:c r="L620" s="5" t="n">
        <x:v>2.3</x:v>
      </x:c>
      <x:c r="M620" s="1" t="n">
        <x:v>0</x:v>
      </x:c>
      <x:c r="N620" s="6" t="n">
        <x:v>0.918</x:v>
      </x:c>
      <x:c r="O620" s="1" t="str">
        <x:v>합격</x:v>
      </x:c>
      <x:c r="P620" s="1"/>
      <x:c r="Q620" s="1" t="n">
        <x:v>48</x:v>
      </x:c>
      <x:c r="R620" s="1" t="str">
        <x:v>N</x:v>
      </x:c>
      <x:c r="S620" s="1" t="n">
        <x:v>0</x:v>
      </x:c>
      <x:c r="T620" s="1" t="str">
        <x:v>합격</x:v>
      </x:c>
    </x:row>
    <x:row r="621" ht="22" customHeight="1">
      <x:c r="A621" s="1" t="str">
        <x:v>R00620</x:v>
      </x:c>
      <x:c r="B621" s="4" t="n">
        <x:v>46234.56462962963</x:v>
      </x:c>
      <x:c r="C621" s="1" t="str">
        <x:v>주간</x:v>
      </x:c>
      <x:c r="D621" s="1" t="str">
        <x:v>L2</x:v>
      </x:c>
      <x:c r="E621" s="1" t="str">
        <x:v>P2</x:v>
      </x:c>
      <x:c r="F621" s="1" t="str">
        <x:v>M02</x:v>
      </x:c>
      <x:c r="G621" s="1" t="str">
        <x:v>G02</x:v>
      </x:c>
      <x:c r="H621" s="5" t="n">
        <x:v>28.12</x:v>
      </x:c>
      <x:c r="I621" s="5" t="n">
        <x:v>5.99</x:v>
      </x:c>
      <x:c r="J621" s="5" t="n">
        <x:v>53</x:v>
      </x:c>
      <x:c r="K621" s="5" t="n">
        <x:v>40.7</x:v>
      </x:c>
      <x:c r="L621" s="5" t="n">
        <x:v>1.75</x:v>
      </x:c>
      <x:c r="M621" s="1" t="n">
        <x:v>0</x:v>
      </x:c>
      <x:c r="N621" s="6" t="n">
        <x:v>0.963</x:v>
      </x:c>
      <x:c r="O621" s="1" t="str">
        <x:v>합격</x:v>
      </x:c>
      <x:c r="P621" s="1"/>
      <x:c r="Q621" s="1" t="n">
        <x:v>46</x:v>
      </x:c>
      <x:c r="R621" s="1" t="str">
        <x:v>N</x:v>
      </x:c>
      <x:c r="S621" s="1" t="n">
        <x:v>0</x:v>
      </x:c>
      <x:c r="T621" s="1" t="str">
        <x:v>합격</x:v>
      </x:c>
    </x:row>
    <x:row r="622" ht="22" customHeight="1">
      <x:c r="A622" s="1" t="str">
        <x:v>R00621</x:v>
      </x:c>
      <x:c r="B622" s="4" t="n">
        <x:v>46204.611342592594</x:v>
      </x:c>
      <x:c r="C622" s="1" t="str">
        <x:v>주간</x:v>
      </x:c>
      <x:c r="D622" s="1" t="str">
        <x:v>L1</x:v>
      </x:c>
      <x:c r="E622" s="1" t="str">
        <x:v>P1</x:v>
      </x:c>
      <x:c r="F622" s="1" t="str">
        <x:v>M01</x:v>
      </x:c>
      <x:c r="G622" s="1" t="str">
        <x:v>G03</x:v>
      </x:c>
      <x:c r="H622" s="5" t="n">
        <x:v>28.44</x:v>
      </x:c>
      <x:c r="I622" s="5" t="n">
        <x:v>5.65</x:v>
      </x:c>
      <x:c r="J622" s="5" t="n">
        <x:v>51.4</x:v>
      </x:c>
      <x:c r="K622" s="5" t="n">
        <x:v>40.6</x:v>
      </x:c>
      <x:c r="L622" s="5" t="n">
        <x:v>1.87</x:v>
      </x:c>
      <x:c r="M622" s="1" t="n">
        <x:v>1</x:v>
      </x:c>
      <x:c r="N622" s="6" t="n">
        <x:v>1.023</x:v>
      </x:c>
      <x:c r="O622" s="1" t="str">
        <x:v>합격</x:v>
      </x:c>
      <x:c r="P622" s="1"/>
      <x:c r="Q622" s="1" t="n">
        <x:v>47</x:v>
      </x:c>
      <x:c r="R622" s="1" t="str">
        <x:v>N</x:v>
      </x:c>
      <x:c r="S622" s="1" t="n">
        <x:v>0</x:v>
      </x:c>
      <x:c r="T622" s="1" t="str">
        <x:v>합격</x:v>
      </x:c>
    </x:row>
    <x:row r="623" ht="22" customHeight="1">
      <x:c r="A623" s="1" t="str">
        <x:v>R00622</x:v>
      </x:c>
      <x:c r="B623" s="4" t="n">
        <x:v>46205.97988425926</x:v>
      </x:c>
      <x:c r="C623" s="1" t="str">
        <x:v>야간</x:v>
      </x:c>
      <x:c r="D623" s="1" t="str">
        <x:v>L2</x:v>
      </x:c>
      <x:c r="E623" s="1" t="str">
        <x:v>P2</x:v>
      </x:c>
      <x:c r="F623" s="1" t="str">
        <x:v>M01</x:v>
      </x:c>
      <x:c r="G623" s="1" t="str">
        <x:v>G04</x:v>
      </x:c>
      <x:c r="H623" s="5" t="n">
        <x:v>27.78</x:v>
      </x:c>
      <x:c r="I623" s="5" t="n">
        <x:v>5.92</x:v>
      </x:c>
      <x:c r="J623" s="5" t="n">
        <x:v>50.4</x:v>
      </x:c>
      <x:c r="K623" s="5" t="n">
        <x:v>40.8</x:v>
      </x:c>
      <x:c r="L623" s="5" t="n">
        <x:v>1.31</x:v>
      </x:c>
      <x:c r="M623" s="1" t="n">
        <x:v>1</x:v>
      </x:c>
      <x:c r="N623" s="6" t="n">
        <x:v>0.882</x:v>
      </x:c>
      <x:c r="O623" s="1" t="str">
        <x:v>합격</x:v>
      </x:c>
      <x:c r="P623" s="1"/>
      <x:c r="Q623" s="1" t="n">
        <x:v>46</x:v>
      </x:c>
      <x:c r="R623" s="1" t="str">
        <x:v>N</x:v>
      </x:c>
      <x:c r="S623" s="1" t="n">
        <x:v>0</x:v>
      </x:c>
      <x:c r="T623" s="1" t="str">
        <x:v>합격</x:v>
      </x:c>
    </x:row>
    <x:row r="624" ht="22" customHeight="1">
      <x:c r="A624" s="1" t="str">
        <x:v>R00623</x:v>
      </x:c>
      <x:c r="B624" s="4" t="n">
        <x:v>46206.41981481481</x:v>
      </x:c>
      <x:c r="C624" s="1" t="str">
        <x:v>주간</x:v>
      </x:c>
      <x:c r="D624" s="1" t="str">
        <x:v>L2</x:v>
      </x:c>
      <x:c r="E624" s="1" t="str">
        <x:v>P2</x:v>
      </x:c>
      <x:c r="F624" s="1" t="str">
        <x:v>M02</x:v>
      </x:c>
      <x:c r="G624" s="1" t="str">
        <x:v>G05</x:v>
      </x:c>
      <x:c r="H624" s="5" t="n">
        <x:v>29.43</x:v>
      </x:c>
      <x:c r="I624" s="5" t="n">
        <x:v>5.66</x:v>
      </x:c>
      <x:c r="J624" s="5" t="n">
        <x:v>51.8</x:v>
      </x:c>
      <x:c r="K624" s="5" t="n">
        <x:v>37.1</x:v>
      </x:c>
      <x:c r="L624" s="5" t="n">
        <x:v>2.7</x:v>
      </x:c>
      <x:c r="M624" s="1" t="n">
        <x:v>1</x:v>
      </x:c>
      <x:c r="N624" s="6" t="n">
        <x:v>0.866</x:v>
      </x:c>
      <x:c r="O624" s="1" t="str">
        <x:v>합격</x:v>
      </x:c>
      <x:c r="P624" s="1"/>
      <x:c r="Q624" s="1" t="n">
        <x:v>43</x:v>
      </x:c>
      <x:c r="R624" s="1" t="str">
        <x:v>N</x:v>
      </x:c>
      <x:c r="S624" s="1" t="n">
        <x:v>0</x:v>
      </x:c>
      <x:c r="T624" s="1" t="str">
        <x:v>합격</x:v>
      </x:c>
    </x:row>
    <x:row r="625" ht="22" customHeight="1">
      <x:c r="A625" s="1" t="str">
        <x:v>R00624</x:v>
      </x:c>
      <x:c r="B625" s="4" t="n">
        <x:v>46207.397523148145</x:v>
      </x:c>
      <x:c r="C625" s="1" t="str">
        <x:v>주간</x:v>
      </x:c>
      <x:c r="D625" s="1" t="str">
        <x:v>L1</x:v>
      </x:c>
      <x:c r="E625" s="1" t="str">
        <x:v>P1</x:v>
      </x:c>
      <x:c r="F625" s="1" t="str">
        <x:v>M01</x:v>
      </x:c>
      <x:c r="G625" s="1" t="str">
        <x:v>G06</x:v>
      </x:c>
      <x:c r="H625" s="5" t="n">
        <x:v>30.65</x:v>
      </x:c>
      <x:c r="I625" s="5" t="n">
        <x:v>5.69</x:v>
      </x:c>
      <x:c r="J625" s="5" t="n">
        <x:v>52.1</x:v>
      </x:c>
      <x:c r="K625" s="5" t="n">
        <x:v>38</x:v>
      </x:c>
      <x:c r="L625" s="5" t="n">
        <x:v>2.66</x:v>
      </x:c>
      <x:c r="M625" s="1" t="n">
        <x:v>1</x:v>
      </x:c>
      <x:c r="N625" s="6" t="n">
        <x:v>0.909</x:v>
      </x:c>
      <x:c r="O625" s="1" t="str">
        <x:v>합격</x:v>
      </x:c>
      <x:c r="P625" s="1"/>
      <x:c r="Q625" s="1" t="n">
        <x:v>38</x:v>
      </x:c>
      <x:c r="R625" s="1" t="str">
        <x:v>N</x:v>
      </x:c>
      <x:c r="S625" s="1" t="n">
        <x:v>0</x:v>
      </x:c>
      <x:c r="T625" s="1" t="str">
        <x:v>합격</x:v>
      </x:c>
    </x:row>
    <x:row r="626" ht="22" customHeight="1">
      <x:c r="A626" s="1" t="str">
        <x:v>R00625</x:v>
      </x:c>
      <x:c r="B626" s="4" t="n">
        <x:v>46208.951377314814</x:v>
      </x:c>
      <x:c r="C626" s="1" t="str">
        <x:v>야간</x:v>
      </x:c>
      <x:c r="D626" s="1" t="str">
        <x:v>L2</x:v>
      </x:c>
      <x:c r="E626" s="1" t="str">
        <x:v>P2</x:v>
      </x:c>
      <x:c r="F626" s="1" t="str">
        <x:v>M01</x:v>
      </x:c>
      <x:c r="G626" s="1" t="str">
        <x:v>G01</x:v>
      </x:c>
      <x:c r="H626" s="5" t="n">
        <x:v>31.46</x:v>
      </x:c>
      <x:c r="I626" s="5" t="n">
        <x:v>5.99</x:v>
      </x:c>
      <x:c r="J626" s="5" t="n">
        <x:v>54.5</x:v>
      </x:c>
      <x:c r="K626" s="5" t="n">
        <x:v>38.8</x:v>
      </x:c>
      <x:c r="L626" s="5" t="n">
        <x:v>2.61</x:v>
      </x:c>
      <x:c r="M626" s="1" t="n">
        <x:v>1</x:v>
      </x:c>
      <x:c r="N626" s="6" t="n">
        <x:v>0.95</x:v>
      </x:c>
      <x:c r="O626" s="1" t="str">
        <x:v>합격</x:v>
      </x:c>
      <x:c r="P626" s="1"/>
      <x:c r="Q626" s="1" t="n">
        <x:v>42</x:v>
      </x:c>
      <x:c r="R626" s="1" t="str">
        <x:v>N</x:v>
      </x:c>
      <x:c r="S626" s="1" t="n">
        <x:v>0</x:v>
      </x:c>
      <x:c r="T626" s="1" t="str">
        <x:v>합격</x:v>
      </x:c>
    </x:row>
    <x:row r="627" ht="22" customHeight="1">
      <x:c r="A627" s="1" t="str">
        <x:v>R00626</x:v>
      </x:c>
      <x:c r="B627" s="4" t="n">
        <x:v>46209.373819444445</x:v>
      </x:c>
      <x:c r="C627" s="1" t="str">
        <x:v>주간</x:v>
      </x:c>
      <x:c r="D627" s="1" t="str">
        <x:v>L1</x:v>
      </x:c>
      <x:c r="E627" s="1" t="str">
        <x:v>P1</x:v>
      </x:c>
      <x:c r="F627" s="1" t="str">
        <x:v>M01</x:v>
      </x:c>
      <x:c r="G627" s="1" t="str">
        <x:v>G02</x:v>
      </x:c>
      <x:c r="H627" s="5" t="n">
        <x:v>31.08</x:v>
      </x:c>
      <x:c r="I627" s="5" t="n">
        <x:v>5.82</x:v>
      </x:c>
      <x:c r="J627" s="5" t="n">
        <x:v>48</x:v>
      </x:c>
      <x:c r="K627" s="5" t="n">
        <x:v>38.6</x:v>
      </x:c>
      <x:c r="L627" s="5" t="n">
        <x:v>2.46</x:v>
      </x:c>
      <x:c r="M627" s="1" t="n">
        <x:v>0</x:v>
      </x:c>
      <x:c r="N627" s="6" t="n">
        <x:v>1.014</x:v>
      </x:c>
      <x:c r="O627" s="1" t="str">
        <x:v>합격</x:v>
      </x:c>
      <x:c r="P627" s="1"/>
      <x:c r="Q627" s="1" t="n">
        <x:v>46</x:v>
      </x:c>
      <x:c r="R627" s="1" t="str">
        <x:v>N</x:v>
      </x:c>
      <x:c r="S627" s="1" t="n">
        <x:v>0</x:v>
      </x:c>
      <x:c r="T627" s="1" t="str">
        <x:v>합격</x:v>
      </x:c>
    </x:row>
    <x:row r="628" ht="22" customHeight="1">
      <x:c r="A628" s="1" t="str">
        <x:v>R00627</x:v>
      </x:c>
      <x:c r="B628" s="4" t="n">
        <x:v>46210.616423611114</x:v>
      </x:c>
      <x:c r="C628" s="1" t="str">
        <x:v>주간</x:v>
      </x:c>
      <x:c r="D628" s="1" t="str">
        <x:v>L1</x:v>
      </x:c>
      <x:c r="E628" s="1" t="str">
        <x:v>P1</x:v>
      </x:c>
      <x:c r="F628" s="1" t="str">
        <x:v>M03</x:v>
      </x:c>
      <x:c r="G628" s="1" t="str">
        <x:v>G03</x:v>
      </x:c>
      <x:c r="H628" s="5" t="n">
        <x:v>32.65</x:v>
      </x:c>
      <x:c r="I628" s="5" t="n">
        <x:v>5.92</x:v>
      </x:c>
      <x:c r="J628" s="5" t="n">
        <x:v>51.8</x:v>
      </x:c>
      <x:c r="K628" s="5" t="n">
        <x:v>36.2</x:v>
      </x:c>
      <x:c r="L628" s="5" t="n">
        <x:v>2.27</x:v>
      </x:c>
      <x:c r="M628" s="1" t="n">
        <x:v>0</x:v>
      </x:c>
      <x:c r="N628" s="6" t="n">
        <x:v>0.926</x:v>
      </x:c>
      <x:c r="O628" s="1" t="str">
        <x:v>합격</x:v>
      </x:c>
      <x:c r="P628" s="1"/>
      <x:c r="Q628" s="1" t="n">
        <x:v>41</x:v>
      </x:c>
      <x:c r="R628" s="1" t="str">
        <x:v>N</x:v>
      </x:c>
      <x:c r="S628" s="1" t="n">
        <x:v>0</x:v>
      </x:c>
      <x:c r="T628" s="1" t="str">
        <x:v>합격</x:v>
      </x:c>
    </x:row>
    <x:row r="629" ht="22" customHeight="1">
      <x:c r="A629" s="1" t="str">
        <x:v>R00628</x:v>
      </x:c>
      <x:c r="B629" s="4" t="n">
        <x:v>46211.403912037036</x:v>
      </x:c>
      <x:c r="C629" s="1" t="str">
        <x:v>주간</x:v>
      </x:c>
      <x:c r="D629" s="1" t="str">
        <x:v>L2</x:v>
      </x:c>
      <x:c r="E629" s="1" t="str">
        <x:v>P2</x:v>
      </x:c>
      <x:c r="F629" s="1" t="str">
        <x:v>M02</x:v>
      </x:c>
      <x:c r="G629" s="1" t="str">
        <x:v>G04</x:v>
      </x:c>
      <x:c r="H629" s="5" t="n">
        <x:v>27.68</x:v>
      </x:c>
      <x:c r="I629" s="5" t="n">
        <x:v>5.6</x:v>
      </x:c>
      <x:c r="J629" s="5" t="n">
        <x:v>57</x:v>
      </x:c>
      <x:c r="K629" s="5" t="n">
        <x:v>36.3</x:v>
      </x:c>
      <x:c r="L629" s="5" t="n">
        <x:v>1.65</x:v>
      </x:c>
      <x:c r="M629" s="1" t="n">
        <x:v>0</x:v>
      </x:c>
      <x:c r="N629" s="6" t="n">
        <x:v>1.005</x:v>
      </x:c>
      <x:c r="O629" s="1" t="str">
        <x:v>합격</x:v>
      </x:c>
      <x:c r="P629" s="1"/>
      <x:c r="Q629" s="1" t="n">
        <x:v>46</x:v>
      </x:c>
      <x:c r="R629" s="1" t="str">
        <x:v>N</x:v>
      </x:c>
      <x:c r="S629" s="1" t="n">
        <x:v>0</x:v>
      </x:c>
      <x:c r="T629" s="1" t="str">
        <x:v>합격</x:v>
      </x:c>
    </x:row>
    <x:row r="630" ht="22" customHeight="1">
      <x:c r="A630" s="1" t="str">
        <x:v>R00629</x:v>
      </x:c>
      <x:c r="B630" s="4" t="n">
        <x:v>46212.66241898148</x:v>
      </x:c>
      <x:c r="C630" s="1" t="str">
        <x:v>주간</x:v>
      </x:c>
      <x:c r="D630" s="1" t="str">
        <x:v>L1</x:v>
      </x:c>
      <x:c r="E630" s="1" t="str">
        <x:v>P1</x:v>
      </x:c>
      <x:c r="F630" s="1" t="str">
        <x:v>M01</x:v>
      </x:c>
      <x:c r="G630" s="1" t="str">
        <x:v>G05</x:v>
      </x:c>
      <x:c r="H630" s="5" t="n">
        <x:v>31.7</x:v>
      </x:c>
      <x:c r="I630" s="5" t="n">
        <x:v>5.76</x:v>
      </x:c>
      <x:c r="J630" s="5" t="n">
        <x:v>54.9</x:v>
      </x:c>
      <x:c r="K630" s="5" t="n">
        <x:v>40.3</x:v>
      </x:c>
      <x:c r="L630" s="5" t="n">
        <x:v>2</x:v>
      </x:c>
      <x:c r="M630" s="1" t="n">
        <x:v>1</x:v>
      </x:c>
      <x:c r="N630" s="6" t="n">
        <x:v>1.033</x:v>
      </x:c>
      <x:c r="O630" s="1" t="str">
        <x:v>합격</x:v>
      </x:c>
      <x:c r="P630" s="1"/>
      <x:c r="Q630" s="1" t="n">
        <x:v>45</x:v>
      </x:c>
      <x:c r="R630" s="1" t="str">
        <x:v>N</x:v>
      </x:c>
      <x:c r="S630" s="1" t="n">
        <x:v>0</x:v>
      </x:c>
      <x:c r="T630" s="1" t="str">
        <x:v>합격</x:v>
      </x:c>
    </x:row>
    <x:row r="631" ht="22" customHeight="1">
      <x:c r="A631" s="1" t="str">
        <x:v>R00630</x:v>
      </x:c>
      <x:c r="B631" s="4" t="n">
        <x:v>46213.93185185185</x:v>
      </x:c>
      <x:c r="C631" s="1" t="str">
        <x:v>야간</x:v>
      </x:c>
      <x:c r="D631" s="1" t="str">
        <x:v>L1</x:v>
      </x:c>
      <x:c r="E631" s="1" t="str">
        <x:v>P1</x:v>
      </x:c>
      <x:c r="F631" s="1" t="str">
        <x:v>M04</x:v>
      </x:c>
      <x:c r="G631" s="1" t="str">
        <x:v>G06</x:v>
      </x:c>
      <x:c r="H631" s="5" t="n">
        <x:v>29.27</x:v>
      </x:c>
      <x:c r="I631" s="5" t="n">
        <x:v>5.87</x:v>
      </x:c>
      <x:c r="J631" s="5" t="n">
        <x:v>51.7</x:v>
      </x:c>
      <x:c r="K631" s="5" t="n">
        <x:v>39</x:v>
      </x:c>
      <x:c r="L631" s="5"/>
      <x:c r="M631" s="1" t="n">
        <x:v>0</x:v>
      </x:c>
      <x:c r="N631" s="6" t="n">
        <x:v>1.046</x:v>
      </x:c>
      <x:c r="O631" s="1" t="str">
        <x:v>합격</x:v>
      </x:c>
      <x:c r="P631" s="1"/>
      <x:c r="Q631" s="1" t="n">
        <x:v>38</x:v>
      </x:c>
      <x:c r="R631" s="1" t="str">
        <x:v>N</x:v>
      </x:c>
      <x:c r="S631" s="1" t="n">
        <x:v>0</x:v>
      </x:c>
      <x:c r="T631" s="1" t="str">
        <x:v>합격</x:v>
      </x:c>
    </x:row>
    <x:row r="632" ht="22" customHeight="1">
      <x:c r="A632" s="1" t="str">
        <x:v>R00631</x:v>
      </x:c>
      <x:c r="B632" s="4" t="n">
        <x:v>46214.89726851852</x:v>
      </x:c>
      <x:c r="C632" s="1" t="str">
        <x:v>야간</x:v>
      </x:c>
      <x:c r="D632" s="1" t="str">
        <x:v>L2</x:v>
      </x:c>
      <x:c r="E632" s="1" t="str">
        <x:v>P2</x:v>
      </x:c>
      <x:c r="F632" s="1" t="str">
        <x:v>M01</x:v>
      </x:c>
      <x:c r="G632" s="1" t="str">
        <x:v>G01</x:v>
      </x:c>
      <x:c r="H632" s="5" t="n">
        <x:v>27.28</x:v>
      </x:c>
      <x:c r="I632" s="5" t="n">
        <x:v>5.64</x:v>
      </x:c>
      <x:c r="J632" s="5" t="n">
        <x:v>54.3</x:v>
      </x:c>
      <x:c r="K632" s="5" t="n">
        <x:v>39.8</x:v>
      </x:c>
      <x:c r="L632" s="5" t="n">
        <x:v>1.44</x:v>
      </x:c>
      <x:c r="M632" s="1" t="n">
        <x:v>0</x:v>
      </x:c>
      <x:c r="N632" s="6" t="n">
        <x:v>0.938</x:v>
      </x:c>
      <x:c r="O632" s="1" t="str">
        <x:v>합격</x:v>
      </x:c>
      <x:c r="P632" s="1"/>
      <x:c r="Q632" s="1" t="n">
        <x:v>43</x:v>
      </x:c>
      <x:c r="R632" s="1" t="str">
        <x:v>N</x:v>
      </x:c>
      <x:c r="S632" s="1" t="n">
        <x:v>0</x:v>
      </x:c>
      <x:c r="T632" s="1" t="str">
        <x:v>합격</x:v>
      </x:c>
    </x:row>
    <x:row r="633" ht="22" customHeight="1">
      <x:c r="A633" s="1" t="str">
        <x:v>R00632</x:v>
      </x:c>
      <x:c r="B633" s="4" t="n">
        <x:v>46215.610081018516</x:v>
      </x:c>
      <x:c r="C633" s="1" t="str">
        <x:v>주간</x:v>
      </x:c>
      <x:c r="D633" s="1" t="str">
        <x:v>L1</x:v>
      </x:c>
      <x:c r="E633" s="1" t="str">
        <x:v>P1</x:v>
      </x:c>
      <x:c r="F633" s="1" t="str">
        <x:v>M03</x:v>
      </x:c>
      <x:c r="G633" s="1" t="str">
        <x:v>G02</x:v>
      </x:c>
      <x:c r="H633" s="5" t="n">
        <x:v>28.94</x:v>
      </x:c>
      <x:c r="I633" s="5" t="n">
        <x:v>5.75</x:v>
      </x:c>
      <x:c r="J633" s="5" t="n">
        <x:v>53</x:v>
      </x:c>
      <x:c r="K633" s="5" t="n">
        <x:v>39.1</x:v>
      </x:c>
      <x:c r="L633" s="5" t="n">
        <x:v>1.31</x:v>
      </x:c>
      <x:c r="M633" s="1" t="n">
        <x:v>1</x:v>
      </x:c>
      <x:c r="N633" s="6" t="n">
        <x:v>0.895</x:v>
      </x:c>
      <x:c r="O633" s="1" t="str">
        <x:v>합격</x:v>
      </x:c>
      <x:c r="P633" s="1"/>
      <x:c r="Q633" s="1" t="n">
        <x:v>49</x:v>
      </x:c>
      <x:c r="R633" s="1" t="str">
        <x:v>N</x:v>
      </x:c>
      <x:c r="S633" s="1" t="n">
        <x:v>0</x:v>
      </x:c>
      <x:c r="T633" s="1" t="str">
        <x:v>합격</x:v>
      </x:c>
    </x:row>
    <x:row r="634" ht="22" customHeight="1">
      <x:c r="A634" s="1" t="str">
        <x:v>R00633</x:v>
      </x:c>
      <x:c r="B634" s="4" t="n">
        <x:v>46216.09684027778</x:v>
      </x:c>
      <x:c r="C634" s="1" t="str">
        <x:v>야간</x:v>
      </x:c>
      <x:c r="D634" s="1" t="str">
        <x:v>L2</x:v>
      </x:c>
      <x:c r="E634" s="1" t="str">
        <x:v>P2</x:v>
      </x:c>
      <x:c r="F634" s="1" t="str">
        <x:v>M01</x:v>
      </x:c>
      <x:c r="G634" s="1" t="str">
        <x:v>G03</x:v>
      </x:c>
      <x:c r="H634" s="5" t="n">
        <x:v>27.48</x:v>
      </x:c>
      <x:c r="I634" s="5" t="n">
        <x:v>5.91</x:v>
      </x:c>
      <x:c r="J634" s="5" t="n">
        <x:v>57.6</x:v>
      </x:c>
      <x:c r="K634" s="5" t="n">
        <x:v>35.2</x:v>
      </x:c>
      <x:c r="L634" s="5" t="n">
        <x:v>1.79</x:v>
      </x:c>
      <x:c r="M634" s="1" t="n">
        <x:v>1</x:v>
      </x:c>
      <x:c r="N634" s="6" t="n">
        <x:v>1.04</x:v>
      </x:c>
      <x:c r="O634" s="1" t="str">
        <x:v>합격</x:v>
      </x:c>
      <x:c r="P634" s="1"/>
      <x:c r="Q634" s="1" t="n">
        <x:v>38</x:v>
      </x:c>
      <x:c r="R634" s="1" t="str">
        <x:v>N</x:v>
      </x:c>
      <x:c r="S634" s="1" t="n">
        <x:v>0</x:v>
      </x:c>
      <x:c r="T634" s="1" t="str">
        <x:v>합격</x:v>
      </x:c>
    </x:row>
    <x:row r="635" ht="22" customHeight="1">
      <x:c r="A635" s="1" t="str">
        <x:v>R00634</x:v>
      </x:c>
      <x:c r="B635" s="4" t="n">
        <x:v>46217.92858796296</x:v>
      </x:c>
      <x:c r="C635" s="1" t="str">
        <x:v>야간</x:v>
      </x:c>
      <x:c r="D635" s="1" t="str">
        <x:v>L2</x:v>
      </x:c>
      <x:c r="E635" s="1" t="str">
        <x:v>P2</x:v>
      </x:c>
      <x:c r="F635" s="1" t="str">
        <x:v>M01</x:v>
      </x:c>
      <x:c r="G635" s="1" t="str">
        <x:v>G04</x:v>
      </x:c>
      <x:c r="H635" s="5" t="n">
        <x:v>32.03</x:v>
      </x:c>
      <x:c r="I635" s="5" t="n">
        <x:v>5.95</x:v>
      </x:c>
      <x:c r="J635" s="5" t="n">
        <x:v>57.5</x:v>
      </x:c>
      <x:c r="K635" s="5" t="n">
        <x:v>41.8</x:v>
      </x:c>
      <x:c r="L635" s="5" t="n">
        <x:v>2.44</x:v>
      </x:c>
      <x:c r="M635" s="1" t="n">
        <x:v>1</x:v>
      </x:c>
      <x:c r="N635" s="6" t="n">
        <x:v>1.005</x:v>
      </x:c>
      <x:c r="O635" s="1" t="str">
        <x:v>합격</x:v>
      </x:c>
      <x:c r="P635" s="1"/>
      <x:c r="Q635" s="1" t="n">
        <x:v>39</x:v>
      </x:c>
      <x:c r="R635" s="1" t="str">
        <x:v>N</x:v>
      </x:c>
      <x:c r="S635" s="1" t="n">
        <x:v>0</x:v>
      </x:c>
      <x:c r="T635" s="1" t="str">
        <x:v>합격</x:v>
      </x:c>
    </x:row>
    <x:row r="636" ht="22" customHeight="1">
      <x:c r="A636" s="1" t="str">
        <x:v>R00635</x:v>
      </x:c>
      <x:c r="B636" s="4" t="n">
        <x:v>46218.924722222226</x:v>
      </x:c>
      <x:c r="C636" s="1" t="str">
        <x:v>야간</x:v>
      </x:c>
      <x:c r="D636" s="1" t="str">
        <x:v>L2</x:v>
      </x:c>
      <x:c r="E636" s="1" t="str">
        <x:v>P2</x:v>
      </x:c>
      <x:c r="F636" s="1" t="str">
        <x:v>M02</x:v>
      </x:c>
      <x:c r="G636" s="1" t="str">
        <x:v>G05</x:v>
      </x:c>
      <x:c r="H636" s="5" t="n">
        <x:v>27.96</x:v>
      </x:c>
      <x:c r="I636" s="5" t="n">
        <x:v>5.68</x:v>
      </x:c>
      <x:c r="J636" s="5" t="n">
        <x:v>52.9</x:v>
      </x:c>
      <x:c r="K636" s="5" t="n">
        <x:v>37.2</x:v>
      </x:c>
      <x:c r="L636" s="5" t="n">
        <x:v>2.01</x:v>
      </x:c>
      <x:c r="M636" s="1" t="n">
        <x:v>1</x:v>
      </x:c>
      <x:c r="N636" s="6" t="n">
        <x:v>0.907</x:v>
      </x:c>
      <x:c r="O636" s="1" t="str">
        <x:v>합격</x:v>
      </x:c>
      <x:c r="P636" s="1"/>
      <x:c r="Q636" s="1" t="n">
        <x:v>36</x:v>
      </x:c>
      <x:c r="R636" s="1" t="str">
        <x:v>N</x:v>
      </x:c>
      <x:c r="S636" s="1" t="n">
        <x:v>0</x:v>
      </x:c>
      <x:c r="T636" s="1" t="str">
        <x:v>합격</x:v>
      </x:c>
    </x:row>
    <x:row r="637" ht="22" customHeight="1">
      <x:c r="A637" s="1" t="str">
        <x:v>R00636</x:v>
      </x:c>
      <x:c r="B637" s="4" t="n">
        <x:v>46219.37699074074</x:v>
      </x:c>
      <x:c r="C637" s="1" t="str">
        <x:v>주간</x:v>
      </x:c>
      <x:c r="D637" s="1" t="str">
        <x:v>L1</x:v>
      </x:c>
      <x:c r="E637" s="1" t="str">
        <x:v>P1</x:v>
      </x:c>
      <x:c r="F637" s="1" t="str">
        <x:v>M03</x:v>
      </x:c>
      <x:c r="G637" s="1" t="str">
        <x:v>G06</x:v>
      </x:c>
      <x:c r="H637" s="5" t="n">
        <x:v>31.49</x:v>
      </x:c>
      <x:c r="I637" s="5" t="n">
        <x:v>5.92</x:v>
      </x:c>
      <x:c r="J637" s="5" t="n">
        <x:v>48.1</x:v>
      </x:c>
      <x:c r="K637" s="5" t="n">
        <x:v>41.1</x:v>
      </x:c>
      <x:c r="L637" s="5" t="n">
        <x:v>1.42</x:v>
      </x:c>
      <x:c r="M637" s="1" t="n">
        <x:v>0</x:v>
      </x:c>
      <x:c r="N637" s="6" t="n">
        <x:v>0.907</x:v>
      </x:c>
      <x:c r="O637" s="1" t="str">
        <x:v>합격</x:v>
      </x:c>
      <x:c r="P637" s="1"/>
      <x:c r="Q637" s="1" t="n">
        <x:v>35</x:v>
      </x:c>
      <x:c r="R637" s="1" t="str">
        <x:v>N</x:v>
      </x:c>
      <x:c r="S637" s="1" t="n">
        <x:v>0</x:v>
      </x:c>
      <x:c r="T637" s="1" t="str">
        <x:v>합격</x:v>
      </x:c>
    </x:row>
    <x:row r="638" ht="22" customHeight="1">
      <x:c r="A638" s="1" t="str">
        <x:v>R00637</x:v>
      </x:c>
      <x:c r="B638" s="4" t="n">
        <x:v>46220.86953703704</x:v>
      </x:c>
      <x:c r="C638" s="1" t="str">
        <x:v>야간</x:v>
      </x:c>
      <x:c r="D638" s="1" t="str">
        <x:v>L2</x:v>
      </x:c>
      <x:c r="E638" s="1" t="str">
        <x:v>P2</x:v>
      </x:c>
      <x:c r="F638" s="1" t="str">
        <x:v>M02</x:v>
      </x:c>
      <x:c r="G638" s="1" t="str">
        <x:v>G01</x:v>
      </x:c>
      <x:c r="H638" s="5" t="n">
        <x:v>27.34</x:v>
      </x:c>
      <x:c r="I638" s="5" t="n">
        <x:v>5.73</x:v>
      </x:c>
      <x:c r="J638" s="5" t="n">
        <x:v>55.8</x:v>
      </x:c>
      <x:c r="K638" s="5" t="n">
        <x:v>37.5</x:v>
      </x:c>
      <x:c r="L638" s="5" t="n">
        <x:v>2.03</x:v>
      </x:c>
      <x:c r="M638" s="1" t="n">
        <x:v>0</x:v>
      </x:c>
      <x:c r="N638" s="6" t="n">
        <x:v>0.952</x:v>
      </x:c>
      <x:c r="O638" s="1" t="str">
        <x:v>합격</x:v>
      </x:c>
      <x:c r="P638" s="1"/>
      <x:c r="Q638" s="1" t="n">
        <x:v>35</x:v>
      </x:c>
      <x:c r="R638" s="1" t="str">
        <x:v>N</x:v>
      </x:c>
      <x:c r="S638" s="1" t="n">
        <x:v>0</x:v>
      </x:c>
      <x:c r="T638" s="1" t="str">
        <x:v>합격</x:v>
      </x:c>
    </x:row>
    <x:row r="639" ht="22" customHeight="1">
      <x:c r="A639" s="1" t="str">
        <x:v>R00638</x:v>
      </x:c>
      <x:c r="B639" s="4" t="n">
        <x:v>46221.139872685184</x:v>
      </x:c>
      <x:c r="C639" s="1" t="str">
        <x:v>야간</x:v>
      </x:c>
      <x:c r="D639" s="1" t="str">
        <x:v>L1</x:v>
      </x:c>
      <x:c r="E639" s="1" t="str">
        <x:v>P1</x:v>
      </x:c>
      <x:c r="F639" s="1" t="str">
        <x:v>M04</x:v>
      </x:c>
      <x:c r="G639" s="1" t="str">
        <x:v>G02</x:v>
      </x:c>
      <x:c r="H639" s="5" t="n">
        <x:v>31.48</x:v>
      </x:c>
      <x:c r="I639" s="5" t="n">
        <x:v>5.61</x:v>
      </x:c>
      <x:c r="J639" s="5" t="n">
        <x:v>56.9</x:v>
      </x:c>
      <x:c r="K639" s="5" t="n">
        <x:v>36.1</x:v>
      </x:c>
      <x:c r="L639" s="5" t="n">
        <x:v>2.53</x:v>
      </x:c>
      <x:c r="M639" s="1" t="n">
        <x:v>1</x:v>
      </x:c>
      <x:c r="N639" s="6" t="n">
        <x:v>0.932</x:v>
      </x:c>
      <x:c r="O639" s="1" t="str">
        <x:v>합격</x:v>
      </x:c>
      <x:c r="P639" s="1"/>
      <x:c r="Q639" s="1" t="n">
        <x:v>44</x:v>
      </x:c>
      <x:c r="R639" s="1" t="str">
        <x:v>N</x:v>
      </x:c>
      <x:c r="S639" s="1" t="n">
        <x:v>0</x:v>
      </x:c>
      <x:c r="T639" s="1" t="str">
        <x:v>합격</x:v>
      </x:c>
    </x:row>
    <x:row r="640" ht="22" customHeight="1">
      <x:c r="A640" s="1" t="str">
        <x:v>R00639</x:v>
      </x:c>
      <x:c r="B640" s="4" t="n">
        <x:v>46222.55217592593</x:v>
      </x:c>
      <x:c r="C640" s="1" t="str">
        <x:v>주간</x:v>
      </x:c>
      <x:c r="D640" s="1" t="str">
        <x:v>L1</x:v>
      </x:c>
      <x:c r="E640" s="1" t="str">
        <x:v>P1</x:v>
      </x:c>
      <x:c r="F640" s="1" t="str">
        <x:v>M01</x:v>
      </x:c>
      <x:c r="G640" s="1" t="str">
        <x:v>G03</x:v>
      </x:c>
      <x:c r="H640" s="5" t="n">
        <x:v>28.44</x:v>
      </x:c>
      <x:c r="I640" s="5" t="n">
        <x:v>5.87</x:v>
      </x:c>
      <x:c r="J640" s="5" t="n">
        <x:v>53.7</x:v>
      </x:c>
      <x:c r="K640" s="5" t="n">
        <x:v>37.9</x:v>
      </x:c>
      <x:c r="L640" s="5" t="n">
        <x:v>2.48</x:v>
      </x:c>
      <x:c r="M640" s="1" t="n">
        <x:v>0</x:v>
      </x:c>
      <x:c r="N640" s="6" t="n">
        <x:v>1.009</x:v>
      </x:c>
      <x:c r="O640" s="1" t="str">
        <x:v>합격</x:v>
      </x:c>
      <x:c r="P640" s="1"/>
      <x:c r="Q640" s="1" t="n">
        <x:v>42</x:v>
      </x:c>
      <x:c r="R640" s="1" t="str">
        <x:v>N</x:v>
      </x:c>
      <x:c r="S640" s="1" t="n">
        <x:v>0</x:v>
      </x:c>
      <x:c r="T640" s="1" t="str">
        <x:v>합격</x:v>
      </x:c>
    </x:row>
    <x:row r="641" ht="22" customHeight="1">
      <x:c r="A641" s="1" t="str">
        <x:v>R00640</x:v>
      </x:c>
      <x:c r="B641" s="4" t="n">
        <x:v>46223.44287037037</x:v>
      </x:c>
      <x:c r="C641" s="1" t="str">
        <x:v>주간</x:v>
      </x:c>
      <x:c r="D641" s="1" t="str">
        <x:v>L2</x:v>
      </x:c>
      <x:c r="E641" s="1" t="str">
        <x:v>P2</x:v>
      </x:c>
      <x:c r="F641" s="1" t="str">
        <x:v>M04</x:v>
      </x:c>
      <x:c r="G641" s="1" t="str">
        <x:v>G04</x:v>
      </x:c>
      <x:c r="H641" s="5" t="n">
        <x:v>32.74</x:v>
      </x:c>
      <x:c r="I641" s="5" t="n">
        <x:v>5.64</x:v>
      </x:c>
      <x:c r="J641" s="5" t="n">
        <x:v>53.9</x:v>
      </x:c>
      <x:c r="K641" s="5" t="n">
        <x:v>41</x:v>
      </x:c>
      <x:c r="L641" s="5" t="n">
        <x:v>2.36</x:v>
      </x:c>
      <x:c r="M641" s="1" t="n">
        <x:v>0</x:v>
      </x:c>
      <x:c r="N641" s="6" t="n">
        <x:v>1.046</x:v>
      </x:c>
      <x:c r="O641" s="1" t="str">
        <x:v>합격</x:v>
      </x:c>
      <x:c r="P641" s="1"/>
      <x:c r="Q641" s="1" t="n">
        <x:v>39</x:v>
      </x:c>
      <x:c r="R641" s="1" t="str">
        <x:v>N</x:v>
      </x:c>
      <x:c r="S641" s="1" t="n">
        <x:v>0</x:v>
      </x:c>
      <x:c r="T641" s="1" t="str">
        <x:v>합격</x:v>
      </x:c>
    </x:row>
    <x:row r="642" ht="22" customHeight="1">
      <x:c r="A642" s="1" t="str">
        <x:v>R00641</x:v>
      </x:c>
      <x:c r="B642" s="4" t="n">
        <x:v>46224.00523148148</x:v>
      </x:c>
      <x:c r="C642" s="1" t="str">
        <x:v>야간</x:v>
      </x:c>
      <x:c r="D642" s="1" t="str">
        <x:v>L1</x:v>
      </x:c>
      <x:c r="E642" s="1" t="str">
        <x:v>P1</x:v>
      </x:c>
      <x:c r="F642" s="1" t="str">
        <x:v>M03</x:v>
      </x:c>
      <x:c r="G642" s="1" t="str">
        <x:v>G05</x:v>
      </x:c>
      <x:c r="H642" s="5" t="n">
        <x:v>27.34</x:v>
      </x:c>
      <x:c r="I642" s="5" t="n">
        <x:v>5.69</x:v>
      </x:c>
      <x:c r="J642" s="5" t="n">
        <x:v>48.6</x:v>
      </x:c>
      <x:c r="K642" s="5" t="n">
        <x:v>39.5</x:v>
      </x:c>
      <x:c r="L642" s="5" t="n">
        <x:v>1.98</x:v>
      </x:c>
      <x:c r="M642" s="1" t="n">
        <x:v>1</x:v>
      </x:c>
      <x:c r="N642" s="6" t="n">
        <x:v>0.926</x:v>
      </x:c>
      <x:c r="O642" s="1" t="str">
        <x:v>불합격</x:v>
      </x:c>
      <x:c r="P642" s="1" t="str">
        <x:v>외관불량</x:v>
      </x:c>
      <x:c r="Q642" s="1" t="n">
        <x:v>37</x:v>
      </x:c>
      <x:c r="R642" s="1" t="str">
        <x:v>Y</x:v>
      </x:c>
      <x:c r="S642" s="1" t="n">
        <x:v>7</x:v>
      </x:c>
      <x:c r="T642" s="1" t="str">
        <x:v>재작업후합격</x:v>
      </x:c>
    </x:row>
    <x:row r="643" ht="22" customHeight="1">
      <x:c r="A643" s="1" t="str">
        <x:v>R00642</x:v>
      </x:c>
      <x:c r="B643" s="4" t="n">
        <x:v>46225.52422453704</x:v>
      </x:c>
      <x:c r="C643" s="1" t="str">
        <x:v>주간</x:v>
      </x:c>
      <x:c r="D643" s="1" t="str">
        <x:v>L1</x:v>
      </x:c>
      <x:c r="E643" s="1" t="str">
        <x:v>P1</x:v>
      </x:c>
      <x:c r="F643" s="1" t="str">
        <x:v>M01</x:v>
      </x:c>
      <x:c r="G643" s="1" t="str">
        <x:v>G06</x:v>
      </x:c>
      <x:c r="H643" s="5" t="n">
        <x:v>27.89</x:v>
      </x:c>
      <x:c r="I643" s="5" t="n">
        <x:v>5.8</x:v>
      </x:c>
      <x:c r="J643" s="5" t="n">
        <x:v>57.1</x:v>
      </x:c>
      <x:c r="K643" s="5" t="n">
        <x:v>38.6</x:v>
      </x:c>
      <x:c r="L643" s="5" t="n">
        <x:v>2.11</x:v>
      </x:c>
      <x:c r="M643" s="1" t="n">
        <x:v>0</x:v>
      </x:c>
      <x:c r="N643" s="6" t="n">
        <x:v>0.863</x:v>
      </x:c>
      <x:c r="O643" s="1" t="str">
        <x:v>합격</x:v>
      </x:c>
      <x:c r="P643" s="1"/>
      <x:c r="Q643" s="1" t="n">
        <x:v>37</x:v>
      </x:c>
      <x:c r="R643" s="1" t="str">
        <x:v>N</x:v>
      </x:c>
      <x:c r="S643" s="1" t="n">
        <x:v>0</x:v>
      </x:c>
      <x:c r="T643" s="1" t="str">
        <x:v>합격</x:v>
      </x:c>
    </x:row>
    <x:row r="644" ht="22" customHeight="1">
      <x:c r="A644" s="1" t="str">
        <x:v>R00643</x:v>
      </x:c>
      <x:c r="B644" s="4" t="n">
        <x:v>46226.636875</x:v>
      </x:c>
      <x:c r="C644" s="1" t="str">
        <x:v>주간</x:v>
      </x:c>
      <x:c r="D644" s="1" t="str">
        <x:v>L1</x:v>
      </x:c>
      <x:c r="E644" s="1" t="str">
        <x:v>P1</x:v>
      </x:c>
      <x:c r="F644" s="1" t="str">
        <x:v>M01</x:v>
      </x:c>
      <x:c r="G644" s="1" t="str">
        <x:v>G01</x:v>
      </x:c>
      <x:c r="H644" s="5" t="n">
        <x:v>32.65</x:v>
      </x:c>
      <x:c r="I644" s="5" t="n">
        <x:v>5.92</x:v>
      </x:c>
      <x:c r="J644" s="5" t="n">
        <x:v>57.9</x:v>
      </x:c>
      <x:c r="K644" s="5" t="n">
        <x:v>36.2</x:v>
      </x:c>
      <x:c r="L644" s="5" t="n">
        <x:v>1.33</x:v>
      </x:c>
      <x:c r="M644" s="1" t="n">
        <x:v>0</x:v>
      </x:c>
      <x:c r="N644" s="6" t="n">
        <x:v>0.901</x:v>
      </x:c>
      <x:c r="O644" s="1" t="str">
        <x:v>합격</x:v>
      </x:c>
      <x:c r="P644" s="1"/>
      <x:c r="Q644" s="1" t="n">
        <x:v>37</x:v>
      </x:c>
      <x:c r="R644" s="1" t="str">
        <x:v>N</x:v>
      </x:c>
      <x:c r="S644" s="1" t="n">
        <x:v>0</x:v>
      </x:c>
      <x:c r="T644" s="1" t="str">
        <x:v>합격</x:v>
      </x:c>
    </x:row>
    <x:row r="645" ht="22" customHeight="1">
      <x:c r="A645" s="1" t="str">
        <x:v>R00644</x:v>
      </x:c>
      <x:c r="B645" s="4" t="n">
        <x:v>46227.41857638889</x:v>
      </x:c>
      <x:c r="C645" s="1" t="str">
        <x:v>주간</x:v>
      </x:c>
      <x:c r="D645" s="1" t="str">
        <x:v>L1</x:v>
      </x:c>
      <x:c r="E645" s="1" t="str">
        <x:v>P1</x:v>
      </x:c>
      <x:c r="F645" s="1" t="str">
        <x:v>M03</x:v>
      </x:c>
      <x:c r="G645" s="1" t="str">
        <x:v>G02</x:v>
      </x:c>
      <x:c r="H645" s="5" t="n">
        <x:v>28.36</x:v>
      </x:c>
      <x:c r="I645" s="5" t="n">
        <x:v>5.66</x:v>
      </x:c>
      <x:c r="J645" s="5" t="n">
        <x:v>55.8</x:v>
      </x:c>
      <x:c r="K645" s="5" t="n">
        <x:v>35.6</x:v>
      </x:c>
      <x:c r="L645" s="5" t="n">
        <x:v>2.53</x:v>
      </x:c>
      <x:c r="M645" s="1" t="n">
        <x:v>1</x:v>
      </x:c>
      <x:c r="N645" s="6" t="n">
        <x:v>0.964</x:v>
      </x:c>
      <x:c r="O645" s="1" t="str">
        <x:v>합격</x:v>
      </x:c>
      <x:c r="P645" s="1"/>
      <x:c r="Q645" s="1" t="n">
        <x:v>47</x:v>
      </x:c>
      <x:c r="R645" s="1" t="str">
        <x:v>N</x:v>
      </x:c>
      <x:c r="S645" s="1" t="n">
        <x:v>0</x:v>
      </x:c>
      <x:c r="T645" s="1" t="str">
        <x:v>합격</x:v>
      </x:c>
    </x:row>
    <x:row r="646" ht="22" customHeight="1">
      <x:c r="A646" s="1" t="str">
        <x:v>R00645</x:v>
      </x:c>
      <x:c r="B646" s="4" t="n">
        <x:v>46228.1450462963</x:v>
      </x:c>
      <x:c r="C646" s="1" t="str">
        <x:v>야간</x:v>
      </x:c>
      <x:c r="D646" s="1" t="str">
        <x:v>L1</x:v>
      </x:c>
      <x:c r="E646" s="1" t="str">
        <x:v>P1</x:v>
      </x:c>
      <x:c r="F646" s="1" t="str">
        <x:v>M04</x:v>
      </x:c>
      <x:c r="G646" s="1" t="str">
        <x:v>G03</x:v>
      </x:c>
      <x:c r="H646" s="5" t="n">
        <x:v>29.83</x:v>
      </x:c>
      <x:c r="I646" s="5" t="n">
        <x:v>5.94</x:v>
      </x:c>
      <x:c r="J646" s="5" t="n">
        <x:v>49.5</x:v>
      </x:c>
      <x:c r="K646" s="5" t="n">
        <x:v>37.7</x:v>
      </x:c>
      <x:c r="L646" s="5" t="n">
        <x:v>2.24</x:v>
      </x:c>
      <x:c r="M646" s="1" t="n">
        <x:v>1</x:v>
      </x:c>
      <x:c r="N646" s="6" t="n">
        <x:v>1.029</x:v>
      </x:c>
      <x:c r="O646" s="1" t="str">
        <x:v>합격</x:v>
      </x:c>
      <x:c r="P646" s="1"/>
      <x:c r="Q646" s="1" t="n">
        <x:v>37</x:v>
      </x:c>
      <x:c r="R646" s="1" t="str">
        <x:v>N</x:v>
      </x:c>
      <x:c r="S646" s="1" t="n">
        <x:v>0</x:v>
      </x:c>
      <x:c r="T646" s="1" t="str">
        <x:v>합격</x:v>
      </x:c>
    </x:row>
    <x:row r="647" ht="22" customHeight="1">
      <x:c r="A647" s="1" t="str">
        <x:v>R00646</x:v>
      </x:c>
      <x:c r="B647" s="4" t="n">
        <x:v>46229.38581018519</x:v>
      </x:c>
      <x:c r="C647" s="1" t="str">
        <x:v>주간</x:v>
      </x:c>
      <x:c r="D647" s="1" t="str">
        <x:v>L1</x:v>
      </x:c>
      <x:c r="E647" s="1" t="str">
        <x:v>P1</x:v>
      </x:c>
      <x:c r="F647" s="1" t="str">
        <x:v>M01</x:v>
      </x:c>
      <x:c r="G647" s="1" t="str">
        <x:v>G04</x:v>
      </x:c>
      <x:c r="H647" s="5" t="n">
        <x:v>28.47</x:v>
      </x:c>
      <x:c r="I647" s="5" t="n">
        <x:v>5.98</x:v>
      </x:c>
      <x:c r="J647" s="5" t="n">
        <x:v>56.1</x:v>
      </x:c>
      <x:c r="K647" s="5" t="n">
        <x:v>41.2</x:v>
      </x:c>
      <x:c r="L647" s="5" t="n">
        <x:v>1.69</x:v>
      </x:c>
      <x:c r="M647" s="1" t="n">
        <x:v>1</x:v>
      </x:c>
      <x:c r="N647" s="6" t="n">
        <x:v>1.001</x:v>
      </x:c>
      <x:c r="O647" s="1" t="str">
        <x:v>합격</x:v>
      </x:c>
      <x:c r="P647" s="1"/>
      <x:c r="Q647" s="1" t="n">
        <x:v>47</x:v>
      </x:c>
      <x:c r="R647" s="1" t="str">
        <x:v>N</x:v>
      </x:c>
      <x:c r="S647" s="1" t="n">
        <x:v>0</x:v>
      </x:c>
      <x:c r="T647" s="1" t="str">
        <x:v>합격</x:v>
      </x:c>
    </x:row>
    <x:row r="648" ht="22" customHeight="1">
      <x:c r="A648" s="1" t="str">
        <x:v>R00647</x:v>
      </x:c>
      <x:c r="B648" s="4" t="n">
        <x:v>46230.971342592595</x:v>
      </x:c>
      <x:c r="C648" s="1" t="str">
        <x:v>야간</x:v>
      </x:c>
      <x:c r="D648" s="1" t="str">
        <x:v>L1</x:v>
      </x:c>
      <x:c r="E648" s="1" t="str">
        <x:v>P1</x:v>
      </x:c>
      <x:c r="F648" s="1" t="str">
        <x:v>M03</x:v>
      </x:c>
      <x:c r="G648" s="1" t="str">
        <x:v>G05</x:v>
      </x:c>
      <x:c r="H648" s="5" t="n">
        <x:v>32.66</x:v>
      </x:c>
      <x:c r="I648" s="5" t="n">
        <x:v>5.95</x:v>
      </x:c>
      <x:c r="J648" s="5" t="n">
        <x:v>58.4</x:v>
      </x:c>
      <x:c r="K648" s="5" t="n">
        <x:v>41.2</x:v>
      </x:c>
      <x:c r="L648" s="5" t="n">
        <x:v>1.56</x:v>
      </x:c>
      <x:c r="M648" s="1" t="n">
        <x:v>0</x:v>
      </x:c>
      <x:c r="N648" s="6" t="n">
        <x:v>0.932</x:v>
      </x:c>
      <x:c r="O648" s="1" t="str">
        <x:v>합격</x:v>
      </x:c>
      <x:c r="P648" s="1"/>
      <x:c r="Q648" s="1" t="n">
        <x:v>38</x:v>
      </x:c>
      <x:c r="R648" s="1" t="str">
        <x:v>N</x:v>
      </x:c>
      <x:c r="S648" s="1" t="n">
        <x:v>0</x:v>
      </x:c>
      <x:c r="T648" s="1" t="str">
        <x:v>합격</x:v>
      </x:c>
    </x:row>
    <x:row r="649" ht="22" customHeight="1">
      <x:c r="A649" s="1" t="str">
        <x:v>R00648</x:v>
      </x:c>
      <x:c r="B649" s="4" t="n">
        <x:v>46231.388761574075</x:v>
      </x:c>
      <x:c r="C649" s="1" t="str">
        <x:v>주간</x:v>
      </x:c>
      <x:c r="D649" s="1" t="str">
        <x:v>L2</x:v>
      </x:c>
      <x:c r="E649" s="1" t="str">
        <x:v>P2</x:v>
      </x:c>
      <x:c r="F649" s="1" t="str">
        <x:v>M04</x:v>
      </x:c>
      <x:c r="G649" s="1" t="str">
        <x:v>G06</x:v>
      </x:c>
      <x:c r="H649" s="5" t="n">
        <x:v>29.53</x:v>
      </x:c>
      <x:c r="I649" s="5" t="n">
        <x:v>5.86</x:v>
      </x:c>
      <x:c r="J649" s="5" t="n">
        <x:v>52.5</x:v>
      </x:c>
      <x:c r="K649" s="5" t="n">
        <x:v>35.7</x:v>
      </x:c>
      <x:c r="L649" s="5" t="n">
        <x:v>2.14</x:v>
      </x:c>
      <x:c r="M649" s="1" t="n">
        <x:v>0</x:v>
      </x:c>
      <x:c r="N649" s="6" t="n">
        <x:v>1.033</x:v>
      </x:c>
      <x:c r="O649" s="1" t="str">
        <x:v>합격</x:v>
      </x:c>
      <x:c r="P649" s="1"/>
      <x:c r="Q649" s="1" t="n">
        <x:v>38</x:v>
      </x:c>
      <x:c r="R649" s="1" t="str">
        <x:v>N</x:v>
      </x:c>
      <x:c r="S649" s="1" t="n">
        <x:v>0</x:v>
      </x:c>
      <x:c r="T649" s="1" t="str">
        <x:v>합격</x:v>
      </x:c>
    </x:row>
    <x:row r="650" ht="22" customHeight="1">
      <x:c r="A650" s="1" t="str">
        <x:v>R00649</x:v>
      </x:c>
      <x:c r="B650" s="4" t="n">
        <x:v>46232.04162037037</x:v>
      </x:c>
      <x:c r="C650" s="1" t="str">
        <x:v>야간</x:v>
      </x:c>
      <x:c r="D650" s="1" t="str">
        <x:v>L2</x:v>
      </x:c>
      <x:c r="E650" s="1" t="str">
        <x:v>P2</x:v>
      </x:c>
      <x:c r="F650" s="1" t="str">
        <x:v>M02</x:v>
      </x:c>
      <x:c r="G650" s="1" t="str">
        <x:v>G01</x:v>
      </x:c>
      <x:c r="H650" s="5" t="n">
        <x:v>27.49</x:v>
      </x:c>
      <x:c r="I650" s="5" t="n">
        <x:v>5.71</x:v>
      </x:c>
      <x:c r="J650" s="5" t="n">
        <x:v>58.6</x:v>
      </x:c>
      <x:c r="K650" s="5" t="n">
        <x:v>41.4</x:v>
      </x:c>
      <x:c r="L650" s="5" t="n">
        <x:v>1.61</x:v>
      </x:c>
      <x:c r="M650" s="1" t="n">
        <x:v>1</x:v>
      </x:c>
      <x:c r="N650" s="6" t="n">
        <x:v>0.94</x:v>
      </x:c>
      <x:c r="O650" s="1" t="str">
        <x:v>합격</x:v>
      </x:c>
      <x:c r="P650" s="1"/>
      <x:c r="Q650" s="1" t="n">
        <x:v>48</x:v>
      </x:c>
      <x:c r="R650" s="1" t="str">
        <x:v>N</x:v>
      </x:c>
      <x:c r="S650" s="1" t="n">
        <x:v>0</x:v>
      </x:c>
      <x:c r="T650" s="1" t="str">
        <x:v>합격</x:v>
      </x:c>
    </x:row>
    <x:row r="651" ht="22" customHeight="1">
      <x:c r="A651" s="1" t="str">
        <x:v>R00650</x:v>
      </x:c>
      <x:c r="B651" s="4" t="n">
        <x:v>46233.99322916667</x:v>
      </x:c>
      <x:c r="C651" s="1" t="str">
        <x:v>야간</x:v>
      </x:c>
      <x:c r="D651" s="1" t="str">
        <x:v>L1</x:v>
      </x:c>
      <x:c r="E651" s="1" t="str">
        <x:v>P1</x:v>
      </x:c>
      <x:c r="F651" s="1" t="str">
        <x:v>M03</x:v>
      </x:c>
      <x:c r="G651" s="1" t="str">
        <x:v>G02</x:v>
      </x:c>
      <x:c r="H651" s="5" t="n">
        <x:v>26.29</x:v>
      </x:c>
      <x:c r="I651" s="5" t="n">
        <x:v>5.83</x:v>
      </x:c>
      <x:c r="J651" s="5" t="n">
        <x:v>54.9</x:v>
      </x:c>
      <x:c r="K651" s="5" t="n">
        <x:v>38.4</x:v>
      </x:c>
      <x:c r="L651" s="5" t="n">
        <x:v>2.65</x:v>
      </x:c>
      <x:c r="M651" s="1" t="n">
        <x:v>0</x:v>
      </x:c>
      <x:c r="N651" s="6" t="n">
        <x:v>0.865</x:v>
      </x:c>
      <x:c r="O651" s="1" t="str">
        <x:v>합격</x:v>
      </x:c>
      <x:c r="P651" s="1"/>
      <x:c r="Q651" s="1" t="n">
        <x:v>43</x:v>
      </x:c>
      <x:c r="R651" s="1" t="str">
        <x:v>N</x:v>
      </x:c>
      <x:c r="S651" s="1" t="n">
        <x:v>0</x:v>
      </x:c>
      <x:c r="T651" s="1" t="str">
        <x:v>합격</x:v>
      </x:c>
    </x:row>
    <x:row r="652" ht="22" customHeight="1">
      <x:c r="A652" s="1" t="str">
        <x:v>R00651</x:v>
      </x:c>
      <x:c r="B652" s="4" t="n">
        <x:v>46234.849224537036</x:v>
      </x:c>
      <x:c r="C652" s="1" t="str">
        <x:v>야간</x:v>
      </x:c>
      <x:c r="D652" s="1" t="str">
        <x:v>L1</x:v>
      </x:c>
      <x:c r="E652" s="1" t="str">
        <x:v>P1</x:v>
      </x:c>
      <x:c r="F652" s="1" t="str">
        <x:v>M03</x:v>
      </x:c>
      <x:c r="G652" s="1" t="str">
        <x:v>G03</x:v>
      </x:c>
      <x:c r="H652" s="5" t="n">
        <x:v>33.95</x:v>
      </x:c>
      <x:c r="I652" s="5" t="n">
        <x:v>5.85</x:v>
      </x:c>
      <x:c r="J652" s="5" t="n">
        <x:v>50.9</x:v>
      </x:c>
      <x:c r="K652" s="5" t="n">
        <x:v>40.3</x:v>
      </x:c>
      <x:c r="L652" s="5" t="n">
        <x:v>1.61</x:v>
      </x:c>
      <x:c r="M652" s="1" t="n">
        <x:v>0</x:v>
      </x:c>
      <x:c r="N652" s="6" t="n">
        <x:v>0.862</x:v>
      </x:c>
      <x:c r="O652" s="1" t="str">
        <x:v>합격</x:v>
      </x:c>
      <x:c r="P652" s="1"/>
      <x:c r="Q652" s="1" t="n">
        <x:v>41</x:v>
      </x:c>
      <x:c r="R652" s="1" t="str">
        <x:v>N</x:v>
      </x:c>
      <x:c r="S652" s="1" t="n">
        <x:v>0</x:v>
      </x:c>
      <x:c r="T652" s="1" t="str">
        <x:v>합격</x:v>
      </x:c>
    </x:row>
    <x:row r="653" ht="22" customHeight="1">
      <x:c r="A653" s="1" t="str">
        <x:v>R00652</x:v>
      </x:c>
      <x:c r="B653" s="4" t="n">
        <x:v>46204.84105324074</x:v>
      </x:c>
      <x:c r="C653" s="1" t="str">
        <x:v>야간</x:v>
      </x:c>
      <x:c r="D653" s="1" t="str">
        <x:v>L1</x:v>
      </x:c>
      <x:c r="E653" s="1" t="str">
        <x:v>P1</x:v>
      </x:c>
      <x:c r="F653" s="1" t="str">
        <x:v>M04</x:v>
      </x:c>
      <x:c r="G653" s="1" t="str">
        <x:v>G04</x:v>
      </x:c>
      <x:c r="H653" s="5" t="n">
        <x:v>29.21</x:v>
      </x:c>
      <x:c r="I653" s="5" t="n">
        <x:v>5.78</x:v>
      </x:c>
      <x:c r="J653" s="5" t="n">
        <x:v>57.5</x:v>
      </x:c>
      <x:c r="K653" s="5" t="n">
        <x:v>37.9</x:v>
      </x:c>
      <x:c r="L653" s="5" t="n">
        <x:v>1.58</x:v>
      </x:c>
      <x:c r="M653" s="1" t="n">
        <x:v>1</x:v>
      </x:c>
      <x:c r="N653" s="6" t="n">
        <x:v>0.98</x:v>
      </x:c>
      <x:c r="O653" s="1" t="str">
        <x:v>합격</x:v>
      </x:c>
      <x:c r="P653" s="1"/>
      <x:c r="Q653" s="1" t="n">
        <x:v>39</x:v>
      </x:c>
      <x:c r="R653" s="1" t="str">
        <x:v>N</x:v>
      </x:c>
      <x:c r="S653" s="1" t="n">
        <x:v>0</x:v>
      </x:c>
      <x:c r="T653" s="1" t="str">
        <x:v>합격</x:v>
      </x:c>
    </x:row>
    <x:row r="654" ht="22" customHeight="1">
      <x:c r="A654" s="1" t="str">
        <x:v>R00653</x:v>
      </x:c>
      <x:c r="B654" s="4" t="n">
        <x:v>46205.460648148146</x:v>
      </x:c>
      <x:c r="C654" s="1" t="str">
        <x:v>주간</x:v>
      </x:c>
      <x:c r="D654" s="1" t="str">
        <x:v>L1</x:v>
      </x:c>
      <x:c r="E654" s="1" t="str">
        <x:v>P1</x:v>
      </x:c>
      <x:c r="F654" s="1" t="str">
        <x:v>M03</x:v>
      </x:c>
      <x:c r="G654" s="1" t="str">
        <x:v>G05</x:v>
      </x:c>
      <x:c r="H654" s="5" t="n">
        <x:v>31.48</x:v>
      </x:c>
      <x:c r="I654" s="5" t="n">
        <x:v>5.87</x:v>
      </x:c>
      <x:c r="J654" s="5" t="n">
        <x:v>49.7</x:v>
      </x:c>
      <x:c r="K654" s="5" t="n">
        <x:v>39.4</x:v>
      </x:c>
      <x:c r="L654" s="5" t="n">
        <x:v>2.44</x:v>
      </x:c>
      <x:c r="M654" s="1" t="n">
        <x:v>1</x:v>
      </x:c>
      <x:c r="N654" s="6" t="n">
        <x:v>0.945</x:v>
      </x:c>
      <x:c r="O654" s="1" t="str">
        <x:v>합격</x:v>
      </x:c>
      <x:c r="P654" s="1"/>
      <x:c r="Q654" s="1" t="n">
        <x:v>42</x:v>
      </x:c>
      <x:c r="R654" s="1" t="str">
        <x:v>N</x:v>
      </x:c>
      <x:c r="S654" s="1" t="n">
        <x:v>0</x:v>
      </x:c>
      <x:c r="T654" s="1" t="str">
        <x:v>합격</x:v>
      </x:c>
    </x:row>
    <x:row r="655" ht="22" customHeight="1">
      <x:c r="A655" s="1" t="str">
        <x:v>R00654</x:v>
      </x:c>
      <x:c r="B655" s="4" t="n">
        <x:v>46206.89800925926</x:v>
      </x:c>
      <x:c r="C655" s="1" t="str">
        <x:v>야간</x:v>
      </x:c>
      <x:c r="D655" s="1" t="str">
        <x:v>L1</x:v>
      </x:c>
      <x:c r="E655" s="1" t="str">
        <x:v>P1</x:v>
      </x:c>
      <x:c r="F655" s="1" t="str">
        <x:v>M04</x:v>
      </x:c>
      <x:c r="G655" s="1" t="str">
        <x:v>G06</x:v>
      </x:c>
      <x:c r="H655" s="5" t="n">
        <x:v>32.31</x:v>
      </x:c>
      <x:c r="I655" s="5" t="n">
        <x:v>5.94</x:v>
      </x:c>
      <x:c r="J655" s="5" t="n">
        <x:v>49</x:v>
      </x:c>
      <x:c r="K655" s="5" t="n">
        <x:v>39.4</x:v>
      </x:c>
      <x:c r="L655" s="5" t="n">
        <x:v>1.84</x:v>
      </x:c>
      <x:c r="M655" s="1" t="n">
        <x:v>0</x:v>
      </x:c>
      <x:c r="N655" s="6" t="n">
        <x:v>0.886</x:v>
      </x:c>
      <x:c r="O655" s="1" t="str">
        <x:v>합격</x:v>
      </x:c>
      <x:c r="P655" s="1"/>
      <x:c r="Q655" s="1" t="n">
        <x:v>44</x:v>
      </x:c>
      <x:c r="R655" s="1" t="str">
        <x:v>N</x:v>
      </x:c>
      <x:c r="S655" s="1" t="n">
        <x:v>0</x:v>
      </x:c>
      <x:c r="T655" s="1" t="str">
        <x:v>합격</x:v>
      </x:c>
    </x:row>
    <x:row r="656" ht="22" customHeight="1">
      <x:c r="A656" s="1" t="str">
        <x:v>R00655</x:v>
      </x:c>
      <x:c r="B656" s="4" t="n">
        <x:v>46207.59122685185</x:v>
      </x:c>
      <x:c r="C656" s="1" t="str">
        <x:v>주간</x:v>
      </x:c>
      <x:c r="D656" s="1" t="str">
        <x:v>L1</x:v>
      </x:c>
      <x:c r="E656" s="1" t="str">
        <x:v>P1</x:v>
      </x:c>
      <x:c r="F656" s="1" t="str">
        <x:v>M01</x:v>
      </x:c>
      <x:c r="G656" s="1" t="str">
        <x:v>G01</x:v>
      </x:c>
      <x:c r="H656" s="5"/>
      <x:c r="I656" s="5" t="n">
        <x:v>5.82</x:v>
      </x:c>
      <x:c r="J656" s="5" t="n">
        <x:v>50</x:v>
      </x:c>
      <x:c r="K656" s="5" t="n">
        <x:v>41.1</x:v>
      </x:c>
      <x:c r="L656" s="5" t="n">
        <x:v>1.78</x:v>
      </x:c>
      <x:c r="M656" s="1" t="n">
        <x:v>0</x:v>
      </x:c>
      <x:c r="N656" s="6" t="n">
        <x:v>1</x:v>
      </x:c>
      <x:c r="O656" s="1" t="str">
        <x:v>합격</x:v>
      </x:c>
      <x:c r="P656" s="1"/>
      <x:c r="Q656" s="1" t="n">
        <x:v>42</x:v>
      </x:c>
      <x:c r="R656" s="1" t="str">
        <x:v>N</x:v>
      </x:c>
      <x:c r="S656" s="1" t="n">
        <x:v>0</x:v>
      </x:c>
      <x:c r="T656" s="1" t="str">
        <x:v>합격</x:v>
      </x:c>
    </x:row>
    <x:row r="657" ht="22" customHeight="1">
      <x:c r="A657" s="1" t="str">
        <x:v>R00656</x:v>
      </x:c>
      <x:c r="B657" s="4" t="n">
        <x:v>46208.95878472222</x:v>
      </x:c>
      <x:c r="C657" s="1" t="str">
        <x:v>야간</x:v>
      </x:c>
      <x:c r="D657" s="1" t="str">
        <x:v>L1</x:v>
      </x:c>
      <x:c r="E657" s="1" t="str">
        <x:v>P1</x:v>
      </x:c>
      <x:c r="F657" s="1" t="str">
        <x:v>M04</x:v>
      </x:c>
      <x:c r="G657" s="1" t="str">
        <x:v>G02</x:v>
      </x:c>
      <x:c r="H657" s="5" t="n">
        <x:v>27.95</x:v>
      </x:c>
      <x:c r="I657" s="5" t="n">
        <x:v>5.75</x:v>
      </x:c>
      <x:c r="J657" s="5" t="n">
        <x:v>52</x:v>
      </x:c>
      <x:c r="K657" s="5" t="n">
        <x:v>37.9</x:v>
      </x:c>
      <x:c r="L657" s="5" t="n">
        <x:v>1.53</x:v>
      </x:c>
      <x:c r="M657" s="1" t="n">
        <x:v>1</x:v>
      </x:c>
      <x:c r="N657" s="6" t="n">
        <x:v>0.952</x:v>
      </x:c>
      <x:c r="O657" s="1" t="str">
        <x:v>합격</x:v>
      </x:c>
      <x:c r="P657" s="1"/>
      <x:c r="Q657" s="1" t="n">
        <x:v>35</x:v>
      </x:c>
      <x:c r="R657" s="1" t="str">
        <x:v>N</x:v>
      </x:c>
      <x:c r="S657" s="1" t="n">
        <x:v>0</x:v>
      </x:c>
      <x:c r="T657" s="1" t="str">
        <x:v>합격</x:v>
      </x:c>
    </x:row>
    <x:row r="658" ht="22" customHeight="1">
      <x:c r="A658" s="1" t="str">
        <x:v>R00657</x:v>
      </x:c>
      <x:c r="B658" s="4" t="n">
        <x:v>46209.98391203704</x:v>
      </x:c>
      <x:c r="C658" s="1" t="str">
        <x:v>야간</x:v>
      </x:c>
      <x:c r="D658" s="1" t="str">
        <x:v>L2</x:v>
      </x:c>
      <x:c r="E658" s="1" t="str">
        <x:v>P2</x:v>
      </x:c>
      <x:c r="F658" s="1" t="str">
        <x:v>M02</x:v>
      </x:c>
      <x:c r="G658" s="1" t="str">
        <x:v>G03</x:v>
      </x:c>
      <x:c r="H658" s="5" t="n">
        <x:v>29.22</x:v>
      </x:c>
      <x:c r="I658" s="5" t="n">
        <x:v>5.9</x:v>
      </x:c>
      <x:c r="J658" s="5" t="n">
        <x:v>56.3</x:v>
      </x:c>
      <x:c r="K658" s="5" t="n">
        <x:v>40.5</x:v>
      </x:c>
      <x:c r="L658" s="5" t="n">
        <x:v>2.68</x:v>
      </x:c>
      <x:c r="M658" s="1" t="n">
        <x:v>1</x:v>
      </x:c>
      <x:c r="N658" s="6" t="n">
        <x:v>0.886</x:v>
      </x:c>
      <x:c r="O658" s="1" t="str">
        <x:v>합격</x:v>
      </x:c>
      <x:c r="P658" s="1"/>
      <x:c r="Q658" s="1" t="n">
        <x:v>46</x:v>
      </x:c>
      <x:c r="R658" s="1" t="str">
        <x:v>N</x:v>
      </x:c>
      <x:c r="S658" s="1" t="n">
        <x:v>0</x:v>
      </x:c>
      <x:c r="T658" s="1" t="str">
        <x:v>합격</x:v>
      </x:c>
    </x:row>
    <x:row r="659" ht="22" customHeight="1">
      <x:c r="A659" s="1" t="str">
        <x:v>R00658</x:v>
      </x:c>
      <x:c r="B659" s="4" t="n">
        <x:v>46210.40782407407</x:v>
      </x:c>
      <x:c r="C659" s="1" t="str">
        <x:v>주간</x:v>
      </x:c>
      <x:c r="D659" s="1" t="str">
        <x:v>L1</x:v>
      </x:c>
      <x:c r="E659" s="1" t="str">
        <x:v>P1</x:v>
      </x:c>
      <x:c r="F659" s="1" t="str">
        <x:v>M03</x:v>
      </x:c>
      <x:c r="G659" s="1" t="str">
        <x:v>G04</x:v>
      </x:c>
      <x:c r="H659" s="5" t="n">
        <x:v>31.84</x:v>
      </x:c>
      <x:c r="I659" s="5" t="n">
        <x:v>5.85</x:v>
      </x:c>
      <x:c r="J659" s="5" t="n">
        <x:v>56</x:v>
      </x:c>
      <x:c r="K659" s="5" t="n">
        <x:v>35.3</x:v>
      </x:c>
      <x:c r="L659" s="5" t="n">
        <x:v>2.41</x:v>
      </x:c>
      <x:c r="M659" s="1" t="n">
        <x:v>1</x:v>
      </x:c>
      <x:c r="N659" s="6" t="n">
        <x:v>0.943</x:v>
      </x:c>
      <x:c r="O659" s="1" t="str">
        <x:v>합격</x:v>
      </x:c>
      <x:c r="P659" s="1"/>
      <x:c r="Q659" s="1" t="n">
        <x:v>45</x:v>
      </x:c>
      <x:c r="R659" s="1" t="str">
        <x:v>N</x:v>
      </x:c>
      <x:c r="S659" s="1" t="n">
        <x:v>0</x:v>
      </x:c>
      <x:c r="T659" s="1" t="str">
        <x:v>합격</x:v>
      </x:c>
    </x:row>
    <x:row r="660" ht="22" customHeight="1">
      <x:c r="A660" s="1" t="str">
        <x:v>R00659</x:v>
      </x:c>
      <x:c r="B660" s="4" t="n">
        <x:v>46211.16353009259</x:v>
      </x:c>
      <x:c r="C660" s="1" t="str">
        <x:v>야간</x:v>
      </x:c>
      <x:c r="D660" s="1" t="str">
        <x:v>L1</x:v>
      </x:c>
      <x:c r="E660" s="1" t="str">
        <x:v>P1</x:v>
      </x:c>
      <x:c r="F660" s="1" t="str">
        <x:v>M04</x:v>
      </x:c>
      <x:c r="G660" s="1" t="str">
        <x:v>G05</x:v>
      </x:c>
      <x:c r="H660" s="5" t="n">
        <x:v>28.86</x:v>
      </x:c>
      <x:c r="I660" s="5" t="n">
        <x:v>5.78</x:v>
      </x:c>
      <x:c r="J660" s="5" t="n">
        <x:v>52.7</x:v>
      </x:c>
      <x:c r="K660" s="5" t="n">
        <x:v>37.8</x:v>
      </x:c>
      <x:c r="L660" s="5" t="n">
        <x:v>2.27</x:v>
      </x:c>
      <x:c r="M660" s="1" t="n">
        <x:v>0</x:v>
      </x:c>
      <x:c r="N660" s="6" t="n">
        <x:v>0.867</x:v>
      </x:c>
      <x:c r="O660" s="1" t="str">
        <x:v>합격</x:v>
      </x:c>
      <x:c r="P660" s="1"/>
      <x:c r="Q660" s="1" t="n">
        <x:v>40</x:v>
      </x:c>
      <x:c r="R660" s="1" t="str">
        <x:v>N</x:v>
      </x:c>
      <x:c r="S660" s="1" t="n">
        <x:v>0</x:v>
      </x:c>
      <x:c r="T660" s="1" t="str">
        <x:v>합격</x:v>
      </x:c>
    </x:row>
    <x:row r="661" ht="22" customHeight="1">
      <x:c r="A661" s="1" t="str">
        <x:v>R00660</x:v>
      </x:c>
      <x:c r="B661" s="4" t="n">
        <x:v>46212.098761574074</x:v>
      </x:c>
      <x:c r="C661" s="1" t="str">
        <x:v>야간</x:v>
      </x:c>
      <x:c r="D661" s="1" t="str">
        <x:v>L1</x:v>
      </x:c>
      <x:c r="E661" s="1" t="str">
        <x:v>P1</x:v>
      </x:c>
      <x:c r="F661" s="1" t="str">
        <x:v>M04</x:v>
      </x:c>
      <x:c r="G661" s="1" t="str">
        <x:v>G06</x:v>
      </x:c>
      <x:c r="H661" s="5" t="n">
        <x:v>29.35</x:v>
      </x:c>
      <x:c r="I661" s="5" t="n">
        <x:v>5.77</x:v>
      </x:c>
      <x:c r="J661" s="5" t="n">
        <x:v>53.4</x:v>
      </x:c>
      <x:c r="K661" s="5" t="n">
        <x:v>37.8</x:v>
      </x:c>
      <x:c r="L661" s="5" t="n">
        <x:v>2.62</x:v>
      </x:c>
      <x:c r="M661" s="1" t="n">
        <x:v>0</x:v>
      </x:c>
      <x:c r="N661" s="6" t="n">
        <x:v>1.005</x:v>
      </x:c>
      <x:c r="O661" s="1" t="str">
        <x:v>합격</x:v>
      </x:c>
      <x:c r="P661" s="1"/>
      <x:c r="Q661" s="1" t="n">
        <x:v>36</x:v>
      </x:c>
      <x:c r="R661" s="1" t="str">
        <x:v>N</x:v>
      </x:c>
      <x:c r="S661" s="1" t="n">
        <x:v>0</x:v>
      </x:c>
      <x:c r="T661" s="1" t="str">
        <x:v>합격</x:v>
      </x:c>
    </x:row>
    <x:row r="662" ht="22" customHeight="1">
      <x:c r="A662" s="1" t="str">
        <x:v>R00661</x:v>
      </x:c>
      <x:c r="B662" s="4" t="n">
        <x:v>46213.004837962966</x:v>
      </x:c>
      <x:c r="C662" s="1" t="str">
        <x:v>야간</x:v>
      </x:c>
      <x:c r="D662" s="1" t="str">
        <x:v>L1</x:v>
      </x:c>
      <x:c r="E662" s="1" t="str">
        <x:v>P1</x:v>
      </x:c>
      <x:c r="F662" s="1" t="str">
        <x:v>M04</x:v>
      </x:c>
      <x:c r="G662" s="1" t="str">
        <x:v>G01</x:v>
      </x:c>
      <x:c r="H662" s="5" t="n">
        <x:v>31.81</x:v>
      </x:c>
      <x:c r="I662" s="5" t="n">
        <x:v>5.82</x:v>
      </x:c>
      <x:c r="J662" s="5" t="n">
        <x:v>48.5</x:v>
      </x:c>
      <x:c r="K662" s="5" t="n">
        <x:v>40.7</x:v>
      </x:c>
      <x:c r="L662" s="5" t="n">
        <x:v>1.86</x:v>
      </x:c>
      <x:c r="M662" s="1" t="n">
        <x:v>0</x:v>
      </x:c>
      <x:c r="N662" s="6" t="n">
        <x:v>0.952</x:v>
      </x:c>
      <x:c r="O662" s="1" t="str">
        <x:v>합격</x:v>
      </x:c>
      <x:c r="P662" s="1"/>
      <x:c r="Q662" s="1" t="n">
        <x:v>47</x:v>
      </x:c>
      <x:c r="R662" s="1" t="str">
        <x:v>N</x:v>
      </x:c>
      <x:c r="S662" s="1" t="n">
        <x:v>0</x:v>
      </x:c>
      <x:c r="T662" s="1" t="str">
        <x:v>합격</x:v>
      </x:c>
    </x:row>
    <x:row r="663" ht="22" customHeight="1">
      <x:c r="A663" s="1" t="str">
        <x:v>R00662</x:v>
      </x:c>
      <x:c r="B663" s="4" t="n">
        <x:v>46214.84422453704</x:v>
      </x:c>
      <x:c r="C663" s="1" t="str">
        <x:v>야간</x:v>
      </x:c>
      <x:c r="D663" s="1" t="str">
        <x:v>L1</x:v>
      </x:c>
      <x:c r="E663" s="1" t="str">
        <x:v>P1</x:v>
      </x:c>
      <x:c r="F663" s="1" t="str">
        <x:v>M04</x:v>
      </x:c>
      <x:c r="G663" s="1" t="str">
        <x:v>G02</x:v>
      </x:c>
      <x:c r="H663" s="5" t="n">
        <x:v>28.57</x:v>
      </x:c>
      <x:c r="I663" s="5" t="n">
        <x:v>5.62</x:v>
      </x:c>
      <x:c r="J663" s="5" t="n">
        <x:v>57.1</x:v>
      </x:c>
      <x:c r="K663" s="5" t="n">
        <x:v>41.6</x:v>
      </x:c>
      <x:c r="L663" s="5" t="n">
        <x:v>1.84</x:v>
      </x:c>
      <x:c r="M663" s="1" t="n">
        <x:v>1</x:v>
      </x:c>
      <x:c r="N663" s="6" t="n">
        <x:v>0.973</x:v>
      </x:c>
      <x:c r="O663" s="1" t="str">
        <x:v>합격</x:v>
      </x:c>
      <x:c r="P663" s="1"/>
      <x:c r="Q663" s="1" t="n">
        <x:v>43</x:v>
      </x:c>
      <x:c r="R663" s="1" t="str">
        <x:v>N</x:v>
      </x:c>
      <x:c r="S663" s="1" t="n">
        <x:v>0</x:v>
      </x:c>
      <x:c r="T663" s="1" t="str">
        <x:v>합격</x:v>
      </x:c>
    </x:row>
    <x:row r="664" ht="22" customHeight="1">
      <x:c r="A664" s="1" t="str">
        <x:v>R00663</x:v>
      </x:c>
      <x:c r="B664" s="4" t="n">
        <x:v>46215.48798611111</x:v>
      </x:c>
      <x:c r="C664" s="1" t="str">
        <x:v>주간</x:v>
      </x:c>
      <x:c r="D664" s="1" t="str">
        <x:v>L1</x:v>
      </x:c>
      <x:c r="E664" s="1" t="str">
        <x:v>P1</x:v>
      </x:c>
      <x:c r="F664" s="1" t="str">
        <x:v>M01</x:v>
      </x:c>
      <x:c r="G664" s="1" t="str">
        <x:v>G03</x:v>
      </x:c>
      <x:c r="H664" s="5" t="n">
        <x:v>29</x:v>
      </x:c>
      <x:c r="I664" s="5" t="n">
        <x:v>5.88</x:v>
      </x:c>
      <x:c r="J664" s="5" t="n">
        <x:v>49.7</x:v>
      </x:c>
      <x:c r="K664" s="5" t="n">
        <x:v>41.1</x:v>
      </x:c>
      <x:c r="L664" s="5" t="n">
        <x:v>1.69</x:v>
      </x:c>
      <x:c r="M664" s="1" t="n">
        <x:v>0</x:v>
      </x:c>
      <x:c r="N664" s="6" t="n">
        <x:v>1.048</x:v>
      </x:c>
      <x:c r="O664" s="1" t="str">
        <x:v>합격</x:v>
      </x:c>
      <x:c r="P664" s="1"/>
      <x:c r="Q664" s="1" t="n">
        <x:v>41</x:v>
      </x:c>
      <x:c r="R664" s="1" t="str">
        <x:v>N</x:v>
      </x:c>
      <x:c r="S664" s="1" t="n">
        <x:v>0</x:v>
      </x:c>
      <x:c r="T664" s="1" t="str">
        <x:v>합격</x:v>
      </x:c>
    </x:row>
    <x:row r="665" ht="22" customHeight="1">
      <x:c r="A665" s="1" t="str">
        <x:v>R00664</x:v>
      </x:c>
      <x:c r="B665" s="4" t="n">
        <x:v>46216.436736111114</x:v>
      </x:c>
      <x:c r="C665" s="1" t="str">
        <x:v>주간</x:v>
      </x:c>
      <x:c r="D665" s="1" t="str">
        <x:v>L1</x:v>
      </x:c>
      <x:c r="E665" s="1" t="str">
        <x:v>P1</x:v>
      </x:c>
      <x:c r="F665" s="1" t="str">
        <x:v>M01</x:v>
      </x:c>
      <x:c r="G665" s="1" t="str">
        <x:v>G04</x:v>
      </x:c>
      <x:c r="H665" s="5" t="n">
        <x:v>29.88</x:v>
      </x:c>
      <x:c r="I665" s="5" t="n">
        <x:v>5.94</x:v>
      </x:c>
      <x:c r="J665" s="5" t="n">
        <x:v>48.7</x:v>
      </x:c>
      <x:c r="K665" s="5" t="n">
        <x:v>38.4</x:v>
      </x:c>
      <x:c r="L665" s="5" t="n">
        <x:v>2.45</x:v>
      </x:c>
      <x:c r="M665" s="1" t="n">
        <x:v>1</x:v>
      </x:c>
      <x:c r="N665" s="6" t="n">
        <x:v>0.893</x:v>
      </x:c>
      <x:c r="O665" s="1" t="str">
        <x:v>합격</x:v>
      </x:c>
      <x:c r="P665" s="1"/>
      <x:c r="Q665" s="1" t="n">
        <x:v>47</x:v>
      </x:c>
      <x:c r="R665" s="1" t="str">
        <x:v>N</x:v>
      </x:c>
      <x:c r="S665" s="1" t="n">
        <x:v>0</x:v>
      </x:c>
      <x:c r="T665" s="1" t="str">
        <x:v>합격</x:v>
      </x:c>
    </x:row>
    <x:row r="666" ht="22" customHeight="1">
      <x:c r="A666" s="1" t="str">
        <x:v>R00665</x:v>
      </x:c>
      <x:c r="B666" s="4" t="n">
        <x:v>46217.03071759259</x:v>
      </x:c>
      <x:c r="C666" s="1" t="str">
        <x:v>야간</x:v>
      </x:c>
      <x:c r="D666" s="1" t="str">
        <x:v>L1</x:v>
      </x:c>
      <x:c r="E666" s="1" t="str">
        <x:v>P1</x:v>
      </x:c>
      <x:c r="F666" s="1" t="str">
        <x:v>M03</x:v>
      </x:c>
      <x:c r="G666" s="1" t="str">
        <x:v>G05</x:v>
      </x:c>
      <x:c r="H666" s="5" t="n">
        <x:v>33.41</x:v>
      </x:c>
      <x:c r="I666" s="5" t="n">
        <x:v>5.96</x:v>
      </x:c>
      <x:c r="J666" s="5" t="n">
        <x:v>56.6</x:v>
      </x:c>
      <x:c r="K666" s="5" t="n">
        <x:v>38.8</x:v>
      </x:c>
      <x:c r="L666" s="5" t="n">
        <x:v>2.22</x:v>
      </x:c>
      <x:c r="M666" s="1" t="n">
        <x:v>1</x:v>
      </x:c>
      <x:c r="N666" s="6" t="n">
        <x:v>1.011</x:v>
      </x:c>
      <x:c r="O666" s="1" t="str">
        <x:v>합격</x:v>
      </x:c>
      <x:c r="P666" s="1"/>
      <x:c r="Q666" s="1" t="n">
        <x:v>45</x:v>
      </x:c>
      <x:c r="R666" s="1" t="str">
        <x:v>N</x:v>
      </x:c>
      <x:c r="S666" s="1" t="n">
        <x:v>0</x:v>
      </x:c>
      <x:c r="T666" s="1" t="str">
        <x:v>합격</x:v>
      </x:c>
    </x:row>
    <x:row r="667" ht="22" customHeight="1">
      <x:c r="A667" s="1" t="str">
        <x:v>R00666</x:v>
      </x:c>
      <x:c r="B667" s="4" t="n">
        <x:v>46218.94563657408</x:v>
      </x:c>
      <x:c r="C667" s="1" t="str">
        <x:v>야간</x:v>
      </x:c>
      <x:c r="D667" s="1" t="str">
        <x:v>L1</x:v>
      </x:c>
      <x:c r="E667" s="1" t="str">
        <x:v>P1</x:v>
      </x:c>
      <x:c r="F667" s="1" t="str">
        <x:v>M04</x:v>
      </x:c>
      <x:c r="G667" s="1" t="str">
        <x:v>G06</x:v>
      </x:c>
      <x:c r="H667" s="5" t="n">
        <x:v>27.77</x:v>
      </x:c>
      <x:c r="I667" s="5" t="n">
        <x:v>5.64</x:v>
      </x:c>
      <x:c r="J667" s="5" t="n">
        <x:v>56</x:v>
      </x:c>
      <x:c r="K667" s="5" t="n">
        <x:v>35.6</x:v>
      </x:c>
      <x:c r="L667" s="5" t="n">
        <x:v>2.17</x:v>
      </x:c>
      <x:c r="M667" s="1" t="n">
        <x:v>0</x:v>
      </x:c>
      <x:c r="N667" s="6" t="n">
        <x:v>0.961</x:v>
      </x:c>
      <x:c r="O667" s="1" t="str">
        <x:v>합격</x:v>
      </x:c>
      <x:c r="P667" s="1"/>
      <x:c r="Q667" s="1" t="n">
        <x:v>46</x:v>
      </x:c>
      <x:c r="R667" s="1" t="str">
        <x:v>N</x:v>
      </x:c>
      <x:c r="S667" s="1" t="n">
        <x:v>0</x:v>
      </x:c>
      <x:c r="T667" s="1" t="str">
        <x:v>합격</x:v>
      </x:c>
    </x:row>
    <x:row r="668" ht="22" customHeight="1">
      <x:c r="A668" s="1" t="str">
        <x:v>R00667</x:v>
      </x:c>
      <x:c r="B668" s="4" t="n">
        <x:v>46219.65974537037</x:v>
      </x:c>
      <x:c r="C668" s="1" t="str">
        <x:v>주간</x:v>
      </x:c>
      <x:c r="D668" s="1" t="str">
        <x:v>L2</x:v>
      </x:c>
      <x:c r="E668" s="1" t="str">
        <x:v>P2</x:v>
      </x:c>
      <x:c r="F668" s="1" t="str">
        <x:v>M02</x:v>
      </x:c>
      <x:c r="G668" s="1" t="str">
        <x:v>G01</x:v>
      </x:c>
      <x:c r="H668" s="5" t="n">
        <x:v>30.92</x:v>
      </x:c>
      <x:c r="I668" s="5" t="n">
        <x:v>5.67</x:v>
      </x:c>
      <x:c r="J668" s="5" t="n">
        <x:v>53</x:v>
      </x:c>
      <x:c r="K668" s="5" t="n">
        <x:v>37</x:v>
      </x:c>
      <x:c r="L668" s="5" t="n">
        <x:v>2.61</x:v>
      </x:c>
      <x:c r="M668" s="1" t="n">
        <x:v>0</x:v>
      </x:c>
      <x:c r="N668" s="6" t="n">
        <x:v>1.037</x:v>
      </x:c>
      <x:c r="O668" s="1" t="str">
        <x:v>합격</x:v>
      </x:c>
      <x:c r="P668" s="1"/>
      <x:c r="Q668" s="1" t="n">
        <x:v>48</x:v>
      </x:c>
      <x:c r="R668" s="1" t="str">
        <x:v>N</x:v>
      </x:c>
      <x:c r="S668" s="1" t="n">
        <x:v>0</x:v>
      </x:c>
      <x:c r="T668" s="1" t="str">
        <x:v>합격</x:v>
      </x:c>
    </x:row>
    <x:row r="669" ht="22" customHeight="1">
      <x:c r="A669" s="1" t="str">
        <x:v>R00668</x:v>
      </x:c>
      <x:c r="B669" s="4" t="n">
        <x:v>46220.557488425926</x:v>
      </x:c>
      <x:c r="C669" s="1" t="str">
        <x:v>주간</x:v>
      </x:c>
      <x:c r="D669" s="1" t="str">
        <x:v>L1</x:v>
      </x:c>
      <x:c r="E669" s="1" t="str">
        <x:v>P1</x:v>
      </x:c>
      <x:c r="F669" s="1" t="str">
        <x:v>M03</x:v>
      </x:c>
      <x:c r="G669" s="1" t="str">
        <x:v>G02</x:v>
      </x:c>
      <x:c r="H669" s="5" t="n">
        <x:v>32.76</x:v>
      </x:c>
      <x:c r="I669" s="5" t="n">
        <x:v>5.81</x:v>
      </x:c>
      <x:c r="J669" s="5" t="n">
        <x:v>50.3</x:v>
      </x:c>
      <x:c r="K669" s="5" t="n">
        <x:v>36.6</x:v>
      </x:c>
      <x:c r="L669" s="5" t="n">
        <x:v>1.67</x:v>
      </x:c>
      <x:c r="M669" s="1" t="n">
        <x:v>1</x:v>
      </x:c>
      <x:c r="N669" s="6" t="n">
        <x:v>0.976</x:v>
      </x:c>
      <x:c r="O669" s="1" t="str">
        <x:v>합격</x:v>
      </x:c>
      <x:c r="P669" s="1"/>
      <x:c r="Q669" s="1" t="n">
        <x:v>42</x:v>
      </x:c>
      <x:c r="R669" s="1" t="str">
        <x:v>N</x:v>
      </x:c>
      <x:c r="S669" s="1" t="n">
        <x:v>0</x:v>
      </x:c>
      <x:c r="T669" s="1" t="str">
        <x:v>합격</x:v>
      </x:c>
    </x:row>
    <x:row r="670" ht="22" customHeight="1">
      <x:c r="A670" s="1" t="str">
        <x:v>R00669</x:v>
      </x:c>
      <x:c r="B670" s="4" t="n">
        <x:v>46221.07481481481</x:v>
      </x:c>
      <x:c r="C670" s="1" t="str">
        <x:v>야간</x:v>
      </x:c>
      <x:c r="D670" s="1" t="str">
        <x:v>L1</x:v>
      </x:c>
      <x:c r="E670" s="1" t="str">
        <x:v>P1</x:v>
      </x:c>
      <x:c r="F670" s="1" t="str">
        <x:v>M03</x:v>
      </x:c>
      <x:c r="G670" s="1" t="str">
        <x:v>G03</x:v>
      </x:c>
      <x:c r="H670" s="5" t="n">
        <x:v>33.45</x:v>
      </x:c>
      <x:c r="I670" s="5" t="n">
        <x:v>5.95</x:v>
      </x:c>
      <x:c r="J670" s="5" t="n">
        <x:v>54</x:v>
      </x:c>
      <x:c r="K670" s="5" t="n">
        <x:v>39.5</x:v>
      </x:c>
      <x:c r="L670" s="5" t="n">
        <x:v>1.32</x:v>
      </x:c>
      <x:c r="M670" s="1" t="n">
        <x:v>0</x:v>
      </x:c>
      <x:c r="N670" s="6" t="n">
        <x:v>0.94</x:v>
      </x:c>
      <x:c r="O670" s="1" t="str">
        <x:v>합격</x:v>
      </x:c>
      <x:c r="P670" s="1"/>
      <x:c r="Q670" s="1" t="n">
        <x:v>37</x:v>
      </x:c>
      <x:c r="R670" s="1" t="str">
        <x:v>N</x:v>
      </x:c>
      <x:c r="S670" s="1" t="n">
        <x:v>0</x:v>
      </x:c>
      <x:c r="T670" s="1" t="str">
        <x:v>합격</x:v>
      </x:c>
    </x:row>
    <x:row r="671" ht="22" customHeight="1">
      <x:c r="A671" s="1" t="str">
        <x:v>R00670</x:v>
      </x:c>
      <x:c r="B671" s="4" t="n">
        <x:v>46222.39585648148</x:v>
      </x:c>
      <x:c r="C671" s="1" t="str">
        <x:v>주간</x:v>
      </x:c>
      <x:c r="D671" s="1" t="str">
        <x:v>L1</x:v>
      </x:c>
      <x:c r="E671" s="1" t="str">
        <x:v>P1</x:v>
      </x:c>
      <x:c r="F671" s="1" t="str">
        <x:v>M01</x:v>
      </x:c>
      <x:c r="G671" s="1" t="str">
        <x:v>G04</x:v>
      </x:c>
      <x:c r="H671" s="5" t="n">
        <x:v>31.84</x:v>
      </x:c>
      <x:c r="I671" s="5" t="n">
        <x:v>5.69</x:v>
      </x:c>
      <x:c r="J671" s="5" t="n">
        <x:v>54.6</x:v>
      </x:c>
      <x:c r="K671" s="5" t="n">
        <x:v>39.7</x:v>
      </x:c>
      <x:c r="L671" s="5" t="n">
        <x:v>2.41</x:v>
      </x:c>
      <x:c r="M671" s="1" t="n">
        <x:v>0</x:v>
      </x:c>
      <x:c r="N671" s="6" t="n">
        <x:v>0.951</x:v>
      </x:c>
      <x:c r="O671" s="1" t="str">
        <x:v>합격</x:v>
      </x:c>
      <x:c r="P671" s="1"/>
      <x:c r="Q671" s="1" t="n">
        <x:v>37</x:v>
      </x:c>
      <x:c r="R671" s="1" t="str">
        <x:v>N</x:v>
      </x:c>
      <x:c r="S671" s="1" t="n">
        <x:v>0</x:v>
      </x:c>
      <x:c r="T671" s="1" t="str">
        <x:v>합격</x:v>
      </x:c>
    </x:row>
    <x:row r="672" ht="22" customHeight="1">
      <x:c r="A672" s="1" t="str">
        <x:v>R00671</x:v>
      </x:c>
      <x:c r="B672" s="4" t="n">
        <x:v>46223.612708333334</x:v>
      </x:c>
      <x:c r="C672" s="1" t="str">
        <x:v>주간</x:v>
      </x:c>
      <x:c r="D672" s="1" t="str">
        <x:v>L1</x:v>
      </x:c>
      <x:c r="E672" s="1" t="str">
        <x:v>P1</x:v>
      </x:c>
      <x:c r="F672" s="1" t="str">
        <x:v>M01</x:v>
      </x:c>
      <x:c r="G672" s="1" t="str">
        <x:v>G05</x:v>
      </x:c>
      <x:c r="H672" s="5" t="n">
        <x:v>28.57</x:v>
      </x:c>
      <x:c r="I672" s="5" t="n">
        <x:v>5.79</x:v>
      </x:c>
      <x:c r="J672" s="5" t="n">
        <x:v>53.6</x:v>
      </x:c>
      <x:c r="K672" s="5" t="n">
        <x:v>40.3</x:v>
      </x:c>
      <x:c r="L672" s="5" t="n">
        <x:v>2.24</x:v>
      </x:c>
      <x:c r="M672" s="1" t="n">
        <x:v>1</x:v>
      </x:c>
      <x:c r="N672" s="6" t="n">
        <x:v>1.029</x:v>
      </x:c>
      <x:c r="O672" s="1" t="str">
        <x:v>합격</x:v>
      </x:c>
      <x:c r="P672" s="1"/>
      <x:c r="Q672" s="1" t="n">
        <x:v>40</x:v>
      </x:c>
      <x:c r="R672" s="1" t="str">
        <x:v>N</x:v>
      </x:c>
      <x:c r="S672" s="1" t="n">
        <x:v>0</x:v>
      </x:c>
      <x:c r="T672" s="1" t="str">
        <x:v>합격</x:v>
      </x:c>
    </x:row>
    <x:row r="673" ht="22" customHeight="1">
      <x:c r="A673" s="1" t="str">
        <x:v>R00672</x:v>
      </x:c>
      <x:c r="B673" s="4" t="n">
        <x:v>46224.58751157407</x:v>
      </x:c>
      <x:c r="C673" s="1" t="str">
        <x:v>주간</x:v>
      </x:c>
      <x:c r="D673" s="1" t="str">
        <x:v>L1</x:v>
      </x:c>
      <x:c r="E673" s="1" t="str">
        <x:v>P1</x:v>
      </x:c>
      <x:c r="F673" s="1" t="str">
        <x:v>M01</x:v>
      </x:c>
      <x:c r="G673" s="1" t="str">
        <x:v>G06</x:v>
      </x:c>
      <x:c r="H673" s="5" t="n">
        <x:v>29.57</x:v>
      </x:c>
      <x:c r="I673" s="5" t="n">
        <x:v>5.9</x:v>
      </x:c>
      <x:c r="J673" s="5" t="n">
        <x:v>58.5</x:v>
      </x:c>
      <x:c r="K673" s="5" t="n">
        <x:v>38.2</x:v>
      </x:c>
      <x:c r="L673" s="5" t="n">
        <x:v>1.92</x:v>
      </x:c>
      <x:c r="M673" s="1" t="n">
        <x:v>1</x:v>
      </x:c>
      <x:c r="N673" s="6" t="n">
        <x:v>0.867</x:v>
      </x:c>
      <x:c r="O673" s="1" t="str">
        <x:v>합격</x:v>
      </x:c>
      <x:c r="P673" s="1"/>
      <x:c r="Q673" s="1" t="n">
        <x:v>35</x:v>
      </x:c>
      <x:c r="R673" s="1" t="str">
        <x:v>N</x:v>
      </x:c>
      <x:c r="S673" s="1" t="n">
        <x:v>0</x:v>
      </x:c>
      <x:c r="T673" s="1" t="str">
        <x:v>합격</x:v>
      </x:c>
    </x:row>
    <x:row r="674" ht="22" customHeight="1">
      <x:c r="A674" s="1" t="str">
        <x:v>R00673</x:v>
      </x:c>
      <x:c r="B674" s="4" t="n">
        <x:v>46225.349178240744</x:v>
      </x:c>
      <x:c r="C674" s="1" t="str">
        <x:v>주간</x:v>
      </x:c>
      <x:c r="D674" s="1" t="str">
        <x:v>L2</x:v>
      </x:c>
      <x:c r="E674" s="1" t="str">
        <x:v>P2</x:v>
      </x:c>
      <x:c r="F674" s="1" t="str">
        <x:v>M02</x:v>
      </x:c>
      <x:c r="G674" s="1" t="str">
        <x:v>G01</x:v>
      </x:c>
      <x:c r="H674" s="5" t="n">
        <x:v>28.27</x:v>
      </x:c>
      <x:c r="I674" s="5" t="n">
        <x:v>5.98</x:v>
      </x:c>
      <x:c r="J674" s="5" t="n">
        <x:v>55.9</x:v>
      </x:c>
      <x:c r="K674" s="5" t="n">
        <x:v>41.2</x:v>
      </x:c>
      <x:c r="L674" s="5" t="n">
        <x:v>2.67</x:v>
      </x:c>
      <x:c r="M674" s="1" t="n">
        <x:v>1</x:v>
      </x:c>
      <x:c r="N674" s="6" t="n">
        <x:v>1.027</x:v>
      </x:c>
      <x:c r="O674" s="1" t="str">
        <x:v>합격</x:v>
      </x:c>
      <x:c r="P674" s="1"/>
      <x:c r="Q674" s="1" t="n">
        <x:v>39</x:v>
      </x:c>
      <x:c r="R674" s="1" t="str">
        <x:v>N</x:v>
      </x:c>
      <x:c r="S674" s="1" t="n">
        <x:v>0</x:v>
      </x:c>
      <x:c r="T674" s="1" t="str">
        <x:v>합격</x:v>
      </x:c>
    </x:row>
    <x:row r="675" ht="22" customHeight="1">
      <x:c r="A675" s="1" t="str">
        <x:v>R00674</x:v>
      </x:c>
      <x:c r="B675" s="4" t="n">
        <x:v>46226.056296296294</x:v>
      </x:c>
      <x:c r="C675" s="1" t="str">
        <x:v>야간</x:v>
      </x:c>
      <x:c r="D675" s="1" t="str">
        <x:v>L1</x:v>
      </x:c>
      <x:c r="E675" s="1" t="str">
        <x:v>P1</x:v>
      </x:c>
      <x:c r="F675" s="1" t="str">
        <x:v>M04</x:v>
      </x:c>
      <x:c r="G675" s="1" t="str">
        <x:v>G02</x:v>
      </x:c>
      <x:c r="H675" s="5" t="n">
        <x:v>30.02</x:v>
      </x:c>
      <x:c r="I675" s="5" t="n">
        <x:v>5.87</x:v>
      </x:c>
      <x:c r="J675" s="5" t="n">
        <x:v>51.4</x:v>
      </x:c>
      <x:c r="K675" s="5" t="n">
        <x:v>38.8</x:v>
      </x:c>
      <x:c r="L675" s="5" t="n">
        <x:v>2.2</x:v>
      </x:c>
      <x:c r="M675" s="1" t="n">
        <x:v>0</x:v>
      </x:c>
      <x:c r="N675" s="6" t="n">
        <x:v>0.961</x:v>
      </x:c>
      <x:c r="O675" s="1" t="str">
        <x:v>합격</x:v>
      </x:c>
      <x:c r="P675" s="1"/>
      <x:c r="Q675" s="1" t="n">
        <x:v>40</x:v>
      </x:c>
      <x:c r="R675" s="1" t="str">
        <x:v>N</x:v>
      </x:c>
      <x:c r="S675" s="1" t="n">
        <x:v>0</x:v>
      </x:c>
      <x:c r="T675" s="1" t="str">
        <x:v>합격</x:v>
      </x:c>
    </x:row>
    <x:row r="676" ht="22" customHeight="1">
      <x:c r="A676" s="1" t="str">
        <x:v>R00675</x:v>
      </x:c>
      <x:c r="B676" s="4" t="n">
        <x:v>46227.597662037035</x:v>
      </x:c>
      <x:c r="C676" s="1" t="str">
        <x:v>주간</x:v>
      </x:c>
      <x:c r="D676" s="1" t="str">
        <x:v>L1</x:v>
      </x:c>
      <x:c r="E676" s="1" t="str">
        <x:v>P1</x:v>
      </x:c>
      <x:c r="F676" s="1" t="str">
        <x:v>M03</x:v>
      </x:c>
      <x:c r="G676" s="1" t="str">
        <x:v>G03</x:v>
      </x:c>
      <x:c r="H676" s="5" t="n">
        <x:v>31.75</x:v>
      </x:c>
      <x:c r="I676" s="5" t="n">
        <x:v>5.61</x:v>
      </x:c>
      <x:c r="J676" s="5" t="n">
        <x:v>57.4</x:v>
      </x:c>
      <x:c r="K676" s="5" t="n">
        <x:v>37.7</x:v>
      </x:c>
      <x:c r="L676" s="5" t="n">
        <x:v>2.64</x:v>
      </x:c>
      <x:c r="M676" s="1" t="n">
        <x:v>1</x:v>
      </x:c>
      <x:c r="N676" s="6" t="n">
        <x:v>0.876</x:v>
      </x:c>
      <x:c r="O676" s="1" t="str">
        <x:v>합격</x:v>
      </x:c>
      <x:c r="P676" s="1"/>
      <x:c r="Q676" s="1" t="n">
        <x:v>36</x:v>
      </x:c>
      <x:c r="R676" s="1" t="str">
        <x:v>N</x:v>
      </x:c>
      <x:c r="S676" s="1" t="n">
        <x:v>0</x:v>
      </x:c>
      <x:c r="T676" s="1" t="str">
        <x:v>합격</x:v>
      </x:c>
    </x:row>
    <x:row r="677" ht="22" customHeight="1">
      <x:c r="A677" s="1" t="str">
        <x:v>R00676</x:v>
      </x:c>
      <x:c r="B677" s="4" t="n">
        <x:v>46228.45259259259</x:v>
      </x:c>
      <x:c r="C677" s="1" t="str">
        <x:v>주간</x:v>
      </x:c>
      <x:c r="D677" s="1" t="str">
        <x:v>L2</x:v>
      </x:c>
      <x:c r="E677" s="1" t="str">
        <x:v>P2</x:v>
      </x:c>
      <x:c r="F677" s="1" t="str">
        <x:v>M02</x:v>
      </x:c>
      <x:c r="G677" s="1" t="str">
        <x:v>G04</x:v>
      </x:c>
      <x:c r="H677" s="5" t="n">
        <x:v>28.59</x:v>
      </x:c>
      <x:c r="I677" s="5" t="n">
        <x:v>5.73</x:v>
      </x:c>
      <x:c r="J677" s="5" t="n">
        <x:v>56.7</x:v>
      </x:c>
      <x:c r="K677" s="5" t="n">
        <x:v>37.2</x:v>
      </x:c>
      <x:c r="L677" s="5" t="n">
        <x:v>2.41</x:v>
      </x:c>
      <x:c r="M677" s="1" t="n">
        <x:v>0</x:v>
      </x:c>
      <x:c r="N677" s="6" t="n">
        <x:v>0.852</x:v>
      </x:c>
      <x:c r="O677" s="1" t="str">
        <x:v>합격</x:v>
      </x:c>
      <x:c r="P677" s="1"/>
      <x:c r="Q677" s="1" t="n">
        <x:v>42</x:v>
      </x:c>
      <x:c r="R677" s="1" t="str">
        <x:v>N</x:v>
      </x:c>
      <x:c r="S677" s="1" t="n">
        <x:v>0</x:v>
      </x:c>
      <x:c r="T677" s="1" t="str">
        <x:v>합격</x:v>
      </x:c>
    </x:row>
    <x:row r="678" ht="22" customHeight="1">
      <x:c r="A678" s="1" t="str">
        <x:v>R00677</x:v>
      </x:c>
      <x:c r="B678" s="4" t="n">
        <x:v>46229.468935185185</x:v>
      </x:c>
      <x:c r="C678" s="1" t="str">
        <x:v>주간</x:v>
      </x:c>
      <x:c r="D678" s="1" t="str">
        <x:v>L1</x:v>
      </x:c>
      <x:c r="E678" s="1" t="str">
        <x:v>P1</x:v>
      </x:c>
      <x:c r="F678" s="1" t="str">
        <x:v>M01</x:v>
      </x:c>
      <x:c r="G678" s="1" t="str">
        <x:v>G05</x:v>
      </x:c>
      <x:c r="H678" s="5" t="n">
        <x:v>30.85</x:v>
      </x:c>
      <x:c r="I678" s="5" t="n">
        <x:v>5.82</x:v>
      </x:c>
      <x:c r="J678" s="5" t="n">
        <x:v>57.1</x:v>
      </x:c>
      <x:c r="K678" s="5" t="n">
        <x:v>40.9</x:v>
      </x:c>
      <x:c r="L678" s="5" t="n">
        <x:v>2.46</x:v>
      </x:c>
      <x:c r="M678" s="1" t="n">
        <x:v>0</x:v>
      </x:c>
      <x:c r="N678" s="6" t="n">
        <x:v>1.034</x:v>
      </x:c>
      <x:c r="O678" s="1" t="str">
        <x:v>합격</x:v>
      </x:c>
      <x:c r="P678" s="1"/>
      <x:c r="Q678" s="1" t="n">
        <x:v>46</x:v>
      </x:c>
      <x:c r="R678" s="1" t="str">
        <x:v>N</x:v>
      </x:c>
      <x:c r="S678" s="1" t="n">
        <x:v>0</x:v>
      </x:c>
      <x:c r="T678" s="1" t="str">
        <x:v>합격</x:v>
      </x:c>
    </x:row>
    <x:row r="679" ht="22" customHeight="1">
      <x:c r="A679" s="1" t="str">
        <x:v>R00678</x:v>
      </x:c>
      <x:c r="B679" s="4" t="n">
        <x:v>46230.42171296296</x:v>
      </x:c>
      <x:c r="C679" s="1" t="str">
        <x:v>주간</x:v>
      </x:c>
      <x:c r="D679" s="1" t="str">
        <x:v>L2</x:v>
      </x:c>
      <x:c r="E679" s="1" t="str">
        <x:v>P2</x:v>
      </x:c>
      <x:c r="F679" s="1" t="str">
        <x:v>M04</x:v>
      </x:c>
      <x:c r="G679" s="1" t="str">
        <x:v>G06</x:v>
      </x:c>
      <x:c r="H679" s="5" t="n">
        <x:v>32.79</x:v>
      </x:c>
      <x:c r="I679" s="5" t="n">
        <x:v>5.83</x:v>
      </x:c>
      <x:c r="J679" s="5" t="n">
        <x:v>47.9</x:v>
      </x:c>
      <x:c r="K679" s="5" t="n">
        <x:v>39.7</x:v>
      </x:c>
      <x:c r="L679" s="5" t="n">
        <x:v>1.58</x:v>
      </x:c>
      <x:c r="M679" s="1" t="n">
        <x:v>1</x:v>
      </x:c>
      <x:c r="N679" s="6" t="n">
        <x:v>0.995</x:v>
      </x:c>
      <x:c r="O679" s="1" t="str">
        <x:v>합격</x:v>
      </x:c>
      <x:c r="P679" s="1"/>
      <x:c r="Q679" s="1" t="n">
        <x:v>36</x:v>
      </x:c>
      <x:c r="R679" s="1" t="str">
        <x:v>N</x:v>
      </x:c>
      <x:c r="S679" s="1" t="n">
        <x:v>0</x:v>
      </x:c>
      <x:c r="T679" s="1" t="str">
        <x:v>합격</x:v>
      </x:c>
    </x:row>
    <x:row r="680" ht="22" customHeight="1">
      <x:c r="A680" s="1" t="str">
        <x:v>R00679</x:v>
      </x:c>
      <x:c r="B680" s="4" t="n">
        <x:v>46231.37137731481</x:v>
      </x:c>
      <x:c r="C680" s="1" t="str">
        <x:v>주간</x:v>
      </x:c>
      <x:c r="D680" s="1" t="str">
        <x:v>L2</x:v>
      </x:c>
      <x:c r="E680" s="1" t="str">
        <x:v>P2</x:v>
      </x:c>
      <x:c r="F680" s="1" t="str">
        <x:v>M02</x:v>
      </x:c>
      <x:c r="G680" s="1" t="str">
        <x:v>G01</x:v>
      </x:c>
      <x:c r="H680" s="5" t="n">
        <x:v>30.74</x:v>
      </x:c>
      <x:c r="I680" s="5" t="n">
        <x:v>5.97</x:v>
      </x:c>
      <x:c r="J680" s="5" t="n">
        <x:v>51.8</x:v>
      </x:c>
      <x:c r="K680" s="5" t="n">
        <x:v>35.4</x:v>
      </x:c>
      <x:c r="L680" s="5" t="n">
        <x:v>1.89</x:v>
      </x:c>
      <x:c r="M680" s="1" t="n">
        <x:v>1</x:v>
      </x:c>
      <x:c r="N680" s="6" t="n">
        <x:v>1.02</x:v>
      </x:c>
      <x:c r="O680" s="1" t="str">
        <x:v>합격</x:v>
      </x:c>
      <x:c r="P680" s="1"/>
      <x:c r="Q680" s="1" t="n">
        <x:v>46</x:v>
      </x:c>
      <x:c r="R680" s="1" t="str">
        <x:v>N</x:v>
      </x:c>
      <x:c r="S680" s="1" t="n">
        <x:v>0</x:v>
      </x:c>
      <x:c r="T680" s="1" t="str">
        <x:v>합격</x:v>
      </x:c>
    </x:row>
    <x:row r="681" ht="22" customHeight="1">
      <x:c r="A681" s="1" t="str">
        <x:v>R00680</x:v>
      </x:c>
      <x:c r="B681" s="4" t="n">
        <x:v>46232.02515046296</x:v>
      </x:c>
      <x:c r="C681" s="1" t="str">
        <x:v>야간</x:v>
      </x:c>
      <x:c r="D681" s="1" t="str">
        <x:v>L2</x:v>
      </x:c>
      <x:c r="E681" s="1" t="str">
        <x:v>P2</x:v>
      </x:c>
      <x:c r="F681" s="1" t="str">
        <x:v>M02</x:v>
      </x:c>
      <x:c r="G681" s="1" t="str">
        <x:v>G02</x:v>
      </x:c>
      <x:c r="H681" s="5" t="n">
        <x:v>29.02</x:v>
      </x:c>
      <x:c r="I681" s="5" t="n">
        <x:v>5.61</x:v>
      </x:c>
      <x:c r="J681" s="5" t="n">
        <x:v>50.6</x:v>
      </x:c>
      <x:c r="K681" s="5" t="n">
        <x:v>35.5</x:v>
      </x:c>
      <x:c r="L681" s="5" t="n">
        <x:v>1.49</x:v>
      </x:c>
      <x:c r="M681" s="1" t="n">
        <x:v>0</x:v>
      </x:c>
      <x:c r="N681" s="6" t="n">
        <x:v>0.952</x:v>
      </x:c>
      <x:c r="O681" s="1" t="str">
        <x:v>합격</x:v>
      </x:c>
      <x:c r="P681" s="1"/>
      <x:c r="Q681" s="1" t="n">
        <x:v>43</x:v>
      </x:c>
      <x:c r="R681" s="1" t="str">
        <x:v>N</x:v>
      </x:c>
      <x:c r="S681" s="1" t="n">
        <x:v>0</x:v>
      </x:c>
      <x:c r="T681" s="1" t="str">
        <x:v>합격</x:v>
      </x:c>
    </x:row>
    <x:row r="682" ht="22" customHeight="1">
      <x:c r="A682" s="1" t="str">
        <x:v>R00681</x:v>
      </x:c>
      <x:c r="B682" s="4" t="n">
        <x:v>46233.87054398148</x:v>
      </x:c>
      <x:c r="C682" s="1" t="str">
        <x:v>야간</x:v>
      </x:c>
      <x:c r="D682" s="1" t="str">
        <x:v>L2</x:v>
      </x:c>
      <x:c r="E682" s="1" t="str">
        <x:v>P2</x:v>
      </x:c>
      <x:c r="F682" s="1" t="str">
        <x:v>M01</x:v>
      </x:c>
      <x:c r="G682" s="1" t="str">
        <x:v>G03</x:v>
      </x:c>
      <x:c r="H682" s="5" t="n">
        <x:v>30.94</x:v>
      </x:c>
      <x:c r="I682" s="5" t="n">
        <x:v>5.78</x:v>
      </x:c>
      <x:c r="J682" s="5" t="n">
        <x:v>49</x:v>
      </x:c>
      <x:c r="K682" s="5" t="n">
        <x:v>39</x:v>
      </x:c>
      <x:c r="L682" s="5" t="n">
        <x:v>2.16</x:v>
      </x:c>
      <x:c r="M682" s="1" t="n">
        <x:v>0</x:v>
      </x:c>
      <x:c r="N682" s="6" t="n">
        <x:v>0.905</x:v>
      </x:c>
      <x:c r="O682" s="1" t="str">
        <x:v>합격</x:v>
      </x:c>
      <x:c r="P682" s="1"/>
      <x:c r="Q682" s="1" t="n">
        <x:v>41</x:v>
      </x:c>
      <x:c r="R682" s="1" t="str">
        <x:v>N</x:v>
      </x:c>
      <x:c r="S682" s="1" t="n">
        <x:v>0</x:v>
      </x:c>
      <x:c r="T682" s="1" t="str">
        <x:v>합격</x:v>
      </x:c>
    </x:row>
    <x:row r="683" ht="22" customHeight="1">
      <x:c r="A683" s="1" t="str">
        <x:v>R00682</x:v>
      </x:c>
      <x:c r="B683" s="4" t="n">
        <x:v>46234.124456018515</x:v>
      </x:c>
      <x:c r="C683" s="1" t="str">
        <x:v>야간</x:v>
      </x:c>
      <x:c r="D683" s="1" t="str">
        <x:v>L2</x:v>
      </x:c>
      <x:c r="E683" s="1" t="str">
        <x:v>P2</x:v>
      </x:c>
      <x:c r="F683" s="1" t="str">
        <x:v>M02</x:v>
      </x:c>
      <x:c r="G683" s="1" t="str">
        <x:v>G04</x:v>
      </x:c>
      <x:c r="H683" s="5" t="n">
        <x:v>31.89</x:v>
      </x:c>
      <x:c r="I683" s="5" t="n">
        <x:v>5.8</x:v>
      </x:c>
      <x:c r="J683" s="5" t="n">
        <x:v>54.8</x:v>
      </x:c>
      <x:c r="K683" s="5" t="n">
        <x:v>38.5</x:v>
      </x:c>
      <x:c r="L683" s="5" t="n">
        <x:v>2.17</x:v>
      </x:c>
      <x:c r="M683" s="1" t="n">
        <x:v>0</x:v>
      </x:c>
      <x:c r="N683" s="6" t="n">
        <x:v>0.927</x:v>
      </x:c>
      <x:c r="O683" s="1" t="str">
        <x:v>합격</x:v>
      </x:c>
      <x:c r="P683" s="1"/>
      <x:c r="Q683" s="1" t="n">
        <x:v>41</x:v>
      </x:c>
      <x:c r="R683" s="1" t="str">
        <x:v>N</x:v>
      </x:c>
      <x:c r="S683" s="1" t="n">
        <x:v>0</x:v>
      </x:c>
      <x:c r="T683" s="1" t="str">
        <x:v>합격</x:v>
      </x:c>
    </x:row>
    <x:row r="684" ht="22" customHeight="1">
      <x:c r="A684" s="1" t="str">
        <x:v>R00683</x:v>
      </x:c>
      <x:c r="B684" s="4" t="n">
        <x:v>46204.64434027778</x:v>
      </x:c>
      <x:c r="C684" s="1" t="str">
        <x:v>주간</x:v>
      </x:c>
      <x:c r="D684" s="1" t="str">
        <x:v>L1</x:v>
      </x:c>
      <x:c r="E684" s="1" t="str">
        <x:v>P1</x:v>
      </x:c>
      <x:c r="F684" s="1" t="str">
        <x:v>M03</x:v>
      </x:c>
      <x:c r="G684" s="1" t="str">
        <x:v>G05</x:v>
      </x:c>
      <x:c r="H684" s="5" t="n">
        <x:v>31.23</x:v>
      </x:c>
      <x:c r="I684" s="5" t="n">
        <x:v>5.72</x:v>
      </x:c>
      <x:c r="J684" s="5" t="n">
        <x:v>57.5</x:v>
      </x:c>
      <x:c r="K684" s="5" t="n">
        <x:v>38.3</x:v>
      </x:c>
      <x:c r="L684" s="5" t="n">
        <x:v>2.53</x:v>
      </x:c>
      <x:c r="M684" s="1" t="n">
        <x:v>0</x:v>
      </x:c>
      <x:c r="N684" s="6" t="n">
        <x:v>1.049</x:v>
      </x:c>
      <x:c r="O684" s="1" t="str">
        <x:v>합격</x:v>
      </x:c>
      <x:c r="P684" s="1"/>
      <x:c r="Q684" s="1" t="n">
        <x:v>38</x:v>
      </x:c>
      <x:c r="R684" s="1" t="str">
        <x:v>N</x:v>
      </x:c>
      <x:c r="S684" s="1" t="n">
        <x:v>0</x:v>
      </x:c>
      <x:c r="T684" s="1" t="str">
        <x:v>합격</x:v>
      </x:c>
    </x:row>
    <x:row r="685" ht="22" customHeight="1">
      <x:c r="A685" s="1" t="str">
        <x:v>R00684</x:v>
      </x:c>
      <x:c r="B685" s="4" t="n">
        <x:v>46205.11696759259</x:v>
      </x:c>
      <x:c r="C685" s="1" t="str">
        <x:v>야간</x:v>
      </x:c>
      <x:c r="D685" s="1" t="str">
        <x:v>L2</x:v>
      </x:c>
      <x:c r="E685" s="1" t="str">
        <x:v>P2</x:v>
      </x:c>
      <x:c r="F685" s="1" t="str">
        <x:v>M02</x:v>
      </x:c>
      <x:c r="G685" s="1" t="str">
        <x:v>G06</x:v>
      </x:c>
      <x:c r="H685" s="5" t="n">
        <x:v>29.32</x:v>
      </x:c>
      <x:c r="I685" s="5" t="n">
        <x:v>5.75</x:v>
      </x:c>
      <x:c r="J685" s="5" t="n">
        <x:v>54</x:v>
      </x:c>
      <x:c r="K685" s="5" t="n">
        <x:v>36.6</x:v>
      </x:c>
      <x:c r="L685" s="5" t="n">
        <x:v>2.1</x:v>
      </x:c>
      <x:c r="M685" s="1" t="n">
        <x:v>1</x:v>
      </x:c>
      <x:c r="N685" s="6" t="n">
        <x:v>0.996</x:v>
      </x:c>
      <x:c r="O685" s="1" t="str">
        <x:v>합격</x:v>
      </x:c>
      <x:c r="P685" s="1"/>
      <x:c r="Q685" s="1" t="n">
        <x:v>40</x:v>
      </x:c>
      <x:c r="R685" s="1" t="str">
        <x:v>N</x:v>
      </x:c>
      <x:c r="S685" s="1" t="n">
        <x:v>0</x:v>
      </x:c>
      <x:c r="T685" s="1" t="str">
        <x:v>합격</x:v>
      </x:c>
    </x:row>
    <x:row r="686" ht="22" customHeight="1">
      <x:c r="A686" s="1" t="str">
        <x:v>R00685</x:v>
      </x:c>
      <x:c r="B686" s="4" t="n">
        <x:v>46206.33693287037</x:v>
      </x:c>
      <x:c r="C686" s="1" t="str">
        <x:v>주간</x:v>
      </x:c>
      <x:c r="D686" s="1" t="str">
        <x:v>L1</x:v>
      </x:c>
      <x:c r="E686" s="1" t="str">
        <x:v>P1</x:v>
      </x:c>
      <x:c r="F686" s="1" t="str">
        <x:v>M03</x:v>
      </x:c>
      <x:c r="G686" s="1" t="str">
        <x:v>G01</x:v>
      </x:c>
      <x:c r="H686" s="5" t="n">
        <x:v>32.75</x:v>
      </x:c>
      <x:c r="I686" s="5" t="n">
        <x:v>5.99</x:v>
      </x:c>
      <x:c r="J686" s="5" t="n">
        <x:v>47.4</x:v>
      </x:c>
      <x:c r="K686" s="5" t="n">
        <x:v>37.8</x:v>
      </x:c>
      <x:c r="L686" s="5" t="n">
        <x:v>1.73</x:v>
      </x:c>
      <x:c r="M686" s="1" t="n">
        <x:v>1</x:v>
      </x:c>
      <x:c r="N686" s="6" t="n">
        <x:v>0.931</x:v>
      </x:c>
      <x:c r="O686" s="1" t="str">
        <x:v>합격</x:v>
      </x:c>
      <x:c r="P686" s="1"/>
      <x:c r="Q686" s="1" t="n">
        <x:v>40</x:v>
      </x:c>
      <x:c r="R686" s="1" t="str">
        <x:v>N</x:v>
      </x:c>
      <x:c r="S686" s="1" t="n">
        <x:v>0</x:v>
      </x:c>
      <x:c r="T686" s="1" t="str">
        <x:v>합격</x:v>
      </x:c>
    </x:row>
    <x:row r="687" ht="22" customHeight="1">
      <x:c r="A687" s="1" t="str">
        <x:v>R00686</x:v>
      </x:c>
      <x:c r="B687" s="4" t="n">
        <x:v>46207.09211805555</x:v>
      </x:c>
      <x:c r="C687" s="1" t="str">
        <x:v>야간</x:v>
      </x:c>
      <x:c r="D687" s="1" t="str">
        <x:v>L2</x:v>
      </x:c>
      <x:c r="E687" s="1" t="str">
        <x:v>P2</x:v>
      </x:c>
      <x:c r="F687" s="1" t="str">
        <x:v>M01</x:v>
      </x:c>
      <x:c r="G687" s="1" t="str">
        <x:v>G02</x:v>
      </x:c>
      <x:c r="H687" s="5" t="n">
        <x:v>28.22</x:v>
      </x:c>
      <x:c r="I687" s="5" t="n">
        <x:v>5.78</x:v>
      </x:c>
      <x:c r="J687" s="5" t="n">
        <x:v>55.1</x:v>
      </x:c>
      <x:c r="K687" s="5" t="n">
        <x:v>41.9</x:v>
      </x:c>
      <x:c r="L687" s="5" t="n">
        <x:v>2.26</x:v>
      </x:c>
      <x:c r="M687" s="1" t="n">
        <x:v>0</x:v>
      </x:c>
      <x:c r="N687" s="6" t="n">
        <x:v>1.02</x:v>
      </x:c>
      <x:c r="O687" s="1" t="str">
        <x:v>합격</x:v>
      </x:c>
      <x:c r="P687" s="1"/>
      <x:c r="Q687" s="1" t="n">
        <x:v>43</x:v>
      </x:c>
      <x:c r="R687" s="1" t="str">
        <x:v>N</x:v>
      </x:c>
      <x:c r="S687" s="1" t="n">
        <x:v>0</x:v>
      </x:c>
      <x:c r="T687" s="1" t="str">
        <x:v>합격</x:v>
      </x:c>
    </x:row>
    <x:row r="688" ht="22" customHeight="1">
      <x:c r="A688" s="1" t="str">
        <x:v>R00687</x:v>
      </x:c>
      <x:c r="B688" s="4" t="n">
        <x:v>46208.05336805555</x:v>
      </x:c>
      <x:c r="C688" s="1" t="str">
        <x:v>야간</x:v>
      </x:c>
      <x:c r="D688" s="1" t="str">
        <x:v>L2</x:v>
      </x:c>
      <x:c r="E688" s="1" t="str">
        <x:v>P2</x:v>
      </x:c>
      <x:c r="F688" s="1" t="str">
        <x:v>M01</x:v>
      </x:c>
      <x:c r="G688" s="1" t="str">
        <x:v>G03</x:v>
      </x:c>
      <x:c r="H688" s="5" t="n">
        <x:v>27.77</x:v>
      </x:c>
      <x:c r="I688" s="5" t="n">
        <x:v>5.84</x:v>
      </x:c>
      <x:c r="J688" s="5" t="n">
        <x:v>54.4</x:v>
      </x:c>
      <x:c r="K688" s="5" t="n">
        <x:v>40.3</x:v>
      </x:c>
      <x:c r="L688" s="5" t="n">
        <x:v>1.53</x:v>
      </x:c>
      <x:c r="M688" s="1" t="n">
        <x:v>0</x:v>
      </x:c>
      <x:c r="N688" s="6" t="n">
        <x:v>0.974</x:v>
      </x:c>
      <x:c r="O688" s="1" t="str">
        <x:v>합격</x:v>
      </x:c>
      <x:c r="P688" s="1"/>
      <x:c r="Q688" s="1" t="n">
        <x:v>37</x:v>
      </x:c>
      <x:c r="R688" s="1" t="str">
        <x:v>N</x:v>
      </x:c>
      <x:c r="S688" s="1" t="n">
        <x:v>0</x:v>
      </x:c>
      <x:c r="T688" s="1" t="str">
        <x:v>합격</x:v>
      </x:c>
    </x:row>
    <x:row r="689" ht="22" customHeight="1">
      <x:c r="A689" s="1" t="str">
        <x:v>R00688</x:v>
      </x:c>
      <x:c r="B689" s="4" t="n">
        <x:v>46209.04715277778</x:v>
      </x:c>
      <x:c r="C689" s="1" t="str">
        <x:v>야간</x:v>
      </x:c>
      <x:c r="D689" s="1" t="str">
        <x:v>L1</x:v>
      </x:c>
      <x:c r="E689" s="1" t="str">
        <x:v>P1</x:v>
      </x:c>
      <x:c r="F689" s="1" t="str">
        <x:v>M04</x:v>
      </x:c>
      <x:c r="G689" s="1" t="str">
        <x:v>G04</x:v>
      </x:c>
      <x:c r="H689" s="5" t="n">
        <x:v>29.23</x:v>
      </x:c>
      <x:c r="I689" s="5" t="n">
        <x:v>5.7</x:v>
      </x:c>
      <x:c r="J689" s="5" t="n">
        <x:v>54.8</x:v>
      </x:c>
      <x:c r="K689" s="5" t="n">
        <x:v>40.5</x:v>
      </x:c>
      <x:c r="L689" s="5" t="n">
        <x:v>2.52</x:v>
      </x:c>
      <x:c r="M689" s="1" t="n">
        <x:v>0</x:v>
      </x:c>
      <x:c r="N689" s="6" t="n">
        <x:v>0.86</x:v>
      </x:c>
      <x:c r="O689" s="1" t="str">
        <x:v>합격</x:v>
      </x:c>
      <x:c r="P689" s="1"/>
      <x:c r="Q689" s="1" t="n">
        <x:v>46</x:v>
      </x:c>
      <x:c r="R689" s="1" t="str">
        <x:v>N</x:v>
      </x:c>
      <x:c r="S689" s="1" t="n">
        <x:v>0</x:v>
      </x:c>
      <x:c r="T689" s="1" t="str">
        <x:v>합격</x:v>
      </x:c>
    </x:row>
    <x:row r="690" ht="22" customHeight="1">
      <x:c r="A690" s="1" t="str">
        <x:v>R00689</x:v>
      </x:c>
      <x:c r="B690" s="4" t="n">
        <x:v>46210.338425925926</x:v>
      </x:c>
      <x:c r="C690" s="1" t="str">
        <x:v>주간</x:v>
      </x:c>
      <x:c r="D690" s="1" t="str">
        <x:v>L1</x:v>
      </x:c>
      <x:c r="E690" s="1" t="str">
        <x:v>P1</x:v>
      </x:c>
      <x:c r="F690" s="1" t="str">
        <x:v>M03</x:v>
      </x:c>
      <x:c r="G690" s="1" t="str">
        <x:v>G05</x:v>
      </x:c>
      <x:c r="H690" s="5" t="n">
        <x:v>29.08</x:v>
      </x:c>
      <x:c r="I690" s="5" t="n">
        <x:v>5.94</x:v>
      </x:c>
      <x:c r="J690" s="5" t="n">
        <x:v>53.2</x:v>
      </x:c>
      <x:c r="K690" s="5" t="n">
        <x:v>40.7</x:v>
      </x:c>
      <x:c r="L690" s="5" t="n">
        <x:v>2.08</x:v>
      </x:c>
      <x:c r="M690" s="1" t="n">
        <x:v>1</x:v>
      </x:c>
      <x:c r="N690" s="6" t="n">
        <x:v>0.973</x:v>
      </x:c>
      <x:c r="O690" s="1" t="str">
        <x:v>합격</x:v>
      </x:c>
      <x:c r="P690" s="1"/>
      <x:c r="Q690" s="1" t="n">
        <x:v>46</x:v>
      </x:c>
      <x:c r="R690" s="1" t="str">
        <x:v>N</x:v>
      </x:c>
      <x:c r="S690" s="1" t="n">
        <x:v>0</x:v>
      </x:c>
      <x:c r="T690" s="1" t="str">
        <x:v>합격</x:v>
      </x:c>
    </x:row>
    <x:row r="691" ht="22" customHeight="1">
      <x:c r="A691" s="1" t="str">
        <x:v>R00690</x:v>
      </x:c>
      <x:c r="B691" s="4" t="n">
        <x:v>46211.104675925926</x:v>
      </x:c>
      <x:c r="C691" s="1" t="str">
        <x:v>야간</x:v>
      </x:c>
      <x:c r="D691" s="1" t="str">
        <x:v>L1</x:v>
      </x:c>
      <x:c r="E691" s="1" t="str">
        <x:v>P1</x:v>
      </x:c>
      <x:c r="F691" s="1" t="str">
        <x:v>M04</x:v>
      </x:c>
      <x:c r="G691" s="1" t="str">
        <x:v>G06</x:v>
      </x:c>
      <x:c r="H691" s="5" t="n">
        <x:v>29.51</x:v>
      </x:c>
      <x:c r="I691" s="5" t="n">
        <x:v>5.65</x:v>
      </x:c>
      <x:c r="J691" s="5" t="n">
        <x:v>47.7</x:v>
      </x:c>
      <x:c r="K691" s="5" t="n">
        <x:v>35.3</x:v>
      </x:c>
      <x:c r="L691" s="5" t="n">
        <x:v>1.42</x:v>
      </x:c>
      <x:c r="M691" s="1" t="n">
        <x:v>0</x:v>
      </x:c>
      <x:c r="N691" s="6" t="n">
        <x:v>1</x:v>
      </x:c>
      <x:c r="O691" s="1" t="str">
        <x:v>합격</x:v>
      </x:c>
      <x:c r="P691" s="1"/>
      <x:c r="Q691" s="1" t="n">
        <x:v>49</x:v>
      </x:c>
      <x:c r="R691" s="1" t="str">
        <x:v>N</x:v>
      </x:c>
      <x:c r="S691" s="1" t="n">
        <x:v>0</x:v>
      </x:c>
      <x:c r="T691" s="1" t="str">
        <x:v>합격</x:v>
      </x:c>
    </x:row>
    <x:row r="692" ht="22" customHeight="1">
      <x:c r="A692" s="1" t="str">
        <x:v>R00691</x:v>
      </x:c>
      <x:c r="B692" s="4" t="n">
        <x:v>46212.063576388886</x:v>
      </x:c>
      <x:c r="C692" s="1" t="str">
        <x:v>야간</x:v>
      </x:c>
      <x:c r="D692" s="1" t="str">
        <x:v>L2</x:v>
      </x:c>
      <x:c r="E692" s="1" t="str">
        <x:v>P2</x:v>
      </x:c>
      <x:c r="F692" s="1" t="str">
        <x:v>M02</x:v>
      </x:c>
      <x:c r="G692" s="1" t="str">
        <x:v>G01</x:v>
      </x:c>
      <x:c r="H692" s="5" t="n">
        <x:v>30.87</x:v>
      </x:c>
      <x:c r="I692" s="5" t="n">
        <x:v>5.96</x:v>
      </x:c>
      <x:c r="J692" s="5" t="n">
        <x:v>52.9</x:v>
      </x:c>
      <x:c r="K692" s="5" t="n">
        <x:v>41.4</x:v>
      </x:c>
      <x:c r="L692" s="5" t="n">
        <x:v>1.96</x:v>
      </x:c>
      <x:c r="M692" s="1" t="n">
        <x:v>0</x:v>
      </x:c>
      <x:c r="N692" s="6" t="n">
        <x:v>0.892</x:v>
      </x:c>
      <x:c r="O692" s="1" t="str">
        <x:v>합격</x:v>
      </x:c>
      <x:c r="P692" s="1"/>
      <x:c r="Q692" s="1" t="n">
        <x:v>47</x:v>
      </x:c>
      <x:c r="R692" s="1" t="str">
        <x:v>N</x:v>
      </x:c>
      <x:c r="S692" s="1" t="n">
        <x:v>0</x:v>
      </x:c>
      <x:c r="T692" s="1" t="str">
        <x:v>합격</x:v>
      </x:c>
    </x:row>
    <x:row r="693" ht="22" customHeight="1">
      <x:c r="A693" s="1" t="str">
        <x:v>R00692</x:v>
      </x:c>
      <x:c r="B693" s="4" t="n">
        <x:v>46213.34208333334</x:v>
      </x:c>
      <x:c r="C693" s="1" t="str">
        <x:v>주간</x:v>
      </x:c>
      <x:c r="D693" s="1" t="str">
        <x:v>L2</x:v>
      </x:c>
      <x:c r="E693" s="1" t="str">
        <x:v>P2</x:v>
      </x:c>
      <x:c r="F693" s="1" t="str">
        <x:v>M02</x:v>
      </x:c>
      <x:c r="G693" s="1" t="str">
        <x:v>G02</x:v>
      </x:c>
      <x:c r="H693" s="5" t="n">
        <x:v>27.84</x:v>
      </x:c>
      <x:c r="I693" s="5" t="n">
        <x:v>5.72</x:v>
      </x:c>
      <x:c r="J693" s="5" t="n">
        <x:v>49.1</x:v>
      </x:c>
      <x:c r="K693" s="5" t="n">
        <x:v>37.3</x:v>
      </x:c>
      <x:c r="L693" s="5" t="n">
        <x:v>2.47</x:v>
      </x:c>
      <x:c r="M693" s="1" t="n">
        <x:v>1</x:v>
      </x:c>
      <x:c r="N693" s="6" t="n">
        <x:v>0.857</x:v>
      </x:c>
      <x:c r="O693" s="1" t="str">
        <x:v>합격</x:v>
      </x:c>
      <x:c r="P693" s="1"/>
      <x:c r="Q693" s="1" t="n">
        <x:v>45</x:v>
      </x:c>
      <x:c r="R693" s="1" t="str">
        <x:v>N</x:v>
      </x:c>
      <x:c r="S693" s="1" t="n">
        <x:v>0</x:v>
      </x:c>
      <x:c r="T693" s="1" t="str">
        <x:v>합격</x:v>
      </x:c>
    </x:row>
    <x:row r="694" ht="22" customHeight="1">
      <x:c r="A694" s="1" t="str">
        <x:v>R00693</x:v>
      </x:c>
      <x:c r="B694" s="4" t="n">
        <x:v>46214.13790509259</x:v>
      </x:c>
      <x:c r="C694" s="1" t="str">
        <x:v>야간</x:v>
      </x:c>
      <x:c r="D694" s="1" t="str">
        <x:v>L1</x:v>
      </x:c>
      <x:c r="E694" s="1" t="str">
        <x:v>P1</x:v>
      </x:c>
      <x:c r="F694" s="1" t="str">
        <x:v>M03</x:v>
      </x:c>
      <x:c r="G694" s="1" t="str">
        <x:v>G03</x:v>
      </x:c>
      <x:c r="H694" s="5" t="n">
        <x:v>27.45</x:v>
      </x:c>
      <x:c r="I694" s="5" t="n">
        <x:v>5.98</x:v>
      </x:c>
      <x:c r="J694" s="5" t="n">
        <x:v>55.1</x:v>
      </x:c>
      <x:c r="K694" s="5" t="n">
        <x:v>35.2</x:v>
      </x:c>
      <x:c r="L694" s="5" t="n">
        <x:v>2.28</x:v>
      </x:c>
      <x:c r="M694" s="1" t="n">
        <x:v>0</x:v>
      </x:c>
      <x:c r="N694" s="6" t="n">
        <x:v>0.898</x:v>
      </x:c>
      <x:c r="O694" s="1" t="str">
        <x:v>합격</x:v>
      </x:c>
      <x:c r="P694" s="1"/>
      <x:c r="Q694" s="1" t="n">
        <x:v>49</x:v>
      </x:c>
      <x:c r="R694" s="1" t="str">
        <x:v>N</x:v>
      </x:c>
      <x:c r="S694" s="1" t="n">
        <x:v>0</x:v>
      </x:c>
      <x:c r="T694" s="1" t="str">
        <x:v>합격</x:v>
      </x:c>
    </x:row>
    <x:row r="695" ht="22" customHeight="1">
      <x:c r="A695" s="1" t="str">
        <x:v>R00694</x:v>
      </x:c>
      <x:c r="B695" s="4" t="n">
        <x:v>46215.515648148146</x:v>
      </x:c>
      <x:c r="C695" s="1" t="str">
        <x:v>주간</x:v>
      </x:c>
      <x:c r="D695" s="1" t="str">
        <x:v>L2</x:v>
      </x:c>
      <x:c r="E695" s="1" t="str">
        <x:v>P2</x:v>
      </x:c>
      <x:c r="F695" s="1" t="str">
        <x:v>M02</x:v>
      </x:c>
      <x:c r="G695" s="1" t="str">
        <x:v>G04</x:v>
      </x:c>
      <x:c r="H695" s="5" t="n">
        <x:v>31.61</x:v>
      </x:c>
      <x:c r="I695" s="5" t="n">
        <x:v>5.8</x:v>
      </x:c>
      <x:c r="J695" s="5" t="n">
        <x:v>54.2</x:v>
      </x:c>
      <x:c r="K695" s="5" t="n">
        <x:v>36.4</x:v>
      </x:c>
      <x:c r="L695" s="5" t="n">
        <x:v>1.94</x:v>
      </x:c>
      <x:c r="M695" s="1" t="n">
        <x:v>1</x:v>
      </x:c>
      <x:c r="N695" s="6" t="n">
        <x:v>0.908</x:v>
      </x:c>
      <x:c r="O695" s="1" t="str">
        <x:v>합격</x:v>
      </x:c>
      <x:c r="P695" s="1"/>
      <x:c r="Q695" s="1" t="n">
        <x:v>39</x:v>
      </x:c>
      <x:c r="R695" s="1" t="str">
        <x:v>N</x:v>
      </x:c>
      <x:c r="S695" s="1" t="n">
        <x:v>0</x:v>
      </x:c>
      <x:c r="T695" s="1" t="str">
        <x:v>합격</x:v>
      </x:c>
    </x:row>
    <x:row r="696" ht="22" customHeight="1">
      <x:c r="A696" s="1" t="str">
        <x:v>R00695</x:v>
      </x:c>
      <x:c r="B696" s="4" t="n">
        <x:v>46216.57969907407</x:v>
      </x:c>
      <x:c r="C696" s="1" t="str">
        <x:v>주간</x:v>
      </x:c>
      <x:c r="D696" s="1" t="str">
        <x:v>L1</x:v>
      </x:c>
      <x:c r="E696" s="1" t="str">
        <x:v>P1</x:v>
      </x:c>
      <x:c r="F696" s="1" t="str">
        <x:v>M03</x:v>
      </x:c>
      <x:c r="G696" s="1" t="str">
        <x:v>G05</x:v>
      </x:c>
      <x:c r="H696" s="5" t="n">
        <x:v>31.24</x:v>
      </x:c>
      <x:c r="I696" s="5" t="n">
        <x:v>5.79</x:v>
      </x:c>
      <x:c r="J696" s="5" t="n">
        <x:v>54.9</x:v>
      </x:c>
      <x:c r="K696" s="5" t="n">
        <x:v>38</x:v>
      </x:c>
      <x:c r="L696" s="5" t="n">
        <x:v>2.03</x:v>
      </x:c>
      <x:c r="M696" s="1" t="n">
        <x:v>0</x:v>
      </x:c>
      <x:c r="N696" s="6" t="n">
        <x:v>0.865</x:v>
      </x:c>
      <x:c r="O696" s="1" t="str">
        <x:v>합격</x:v>
      </x:c>
      <x:c r="P696" s="1"/>
      <x:c r="Q696" s="1" t="n">
        <x:v>35</x:v>
      </x:c>
      <x:c r="R696" s="1" t="str">
        <x:v>N</x:v>
      </x:c>
      <x:c r="S696" s="1" t="n">
        <x:v>0</x:v>
      </x:c>
      <x:c r="T696" s="1" t="str">
        <x:v>합격</x:v>
      </x:c>
    </x:row>
    <x:row r="697" ht="22" customHeight="1">
      <x:c r="A697" s="1" t="str">
        <x:v>R00696</x:v>
      </x:c>
      <x:c r="B697" s="4" t="n">
        <x:v>46217.5312962963</x:v>
      </x:c>
      <x:c r="C697" s="1" t="str">
        <x:v>주간</x:v>
      </x:c>
      <x:c r="D697" s="1" t="str">
        <x:v>L1</x:v>
      </x:c>
      <x:c r="E697" s="1" t="str">
        <x:v>P1</x:v>
      </x:c>
      <x:c r="F697" s="1" t="str">
        <x:v>M03</x:v>
      </x:c>
      <x:c r="G697" s="1" t="str">
        <x:v>G06</x:v>
      </x:c>
      <x:c r="H697" s="5" t="n">
        <x:v>27.34</x:v>
      </x:c>
      <x:c r="I697" s="5" t="n">
        <x:v>5.99</x:v>
      </x:c>
      <x:c r="J697" s="5" t="n">
        <x:v>48.8</x:v>
      </x:c>
      <x:c r="K697" s="5" t="n">
        <x:v>41.5</x:v>
      </x:c>
      <x:c r="L697" s="5" t="n">
        <x:v>2.18</x:v>
      </x:c>
      <x:c r="M697" s="1" t="n">
        <x:v>0</x:v>
      </x:c>
      <x:c r="N697" s="6" t="n">
        <x:v>0.914</x:v>
      </x:c>
      <x:c r="O697" s="1" t="str">
        <x:v>합격</x:v>
      </x:c>
      <x:c r="P697" s="1"/>
      <x:c r="Q697" s="1" t="n">
        <x:v>35</x:v>
      </x:c>
      <x:c r="R697" s="1" t="str">
        <x:v>N</x:v>
      </x:c>
      <x:c r="S697" s="1" t="n">
        <x:v>0</x:v>
      </x:c>
      <x:c r="T697" s="1" t="str">
        <x:v>합격</x:v>
      </x:c>
    </x:row>
    <x:row r="698" ht="22" customHeight="1">
      <x:c r="A698" s="1" t="str">
        <x:v>R00697</x:v>
      </x:c>
      <x:c r="B698" s="4" t="n">
        <x:v>46218.048125</x:v>
      </x:c>
      <x:c r="C698" s="1" t="str">
        <x:v>야간</x:v>
      </x:c>
      <x:c r="D698" s="1" t="str">
        <x:v>L1</x:v>
      </x:c>
      <x:c r="E698" s="1" t="str">
        <x:v>P1</x:v>
      </x:c>
      <x:c r="F698" s="1" t="str">
        <x:v>M03</x:v>
      </x:c>
      <x:c r="G698" s="1" t="str">
        <x:v>G01</x:v>
      </x:c>
      <x:c r="H698" s="5" t="n">
        <x:v>28.75</x:v>
      </x:c>
      <x:c r="I698" s="5" t="n">
        <x:v>5.7</x:v>
      </x:c>
      <x:c r="J698" s="5" t="n">
        <x:v>59</x:v>
      </x:c>
      <x:c r="K698" s="5" t="n">
        <x:v>38.8</x:v>
      </x:c>
      <x:c r="L698" s="5" t="n">
        <x:v>2.29</x:v>
      </x:c>
      <x:c r="M698" s="1" t="n">
        <x:v>1</x:v>
      </x:c>
      <x:c r="N698" s="6" t="n">
        <x:v>0.98</x:v>
      </x:c>
      <x:c r="O698" s="1" t="str">
        <x:v>합격</x:v>
      </x:c>
      <x:c r="P698" s="1"/>
      <x:c r="Q698" s="1" t="n">
        <x:v>45</x:v>
      </x:c>
      <x:c r="R698" s="1" t="str">
        <x:v>N</x:v>
      </x:c>
      <x:c r="S698" s="1" t="n">
        <x:v>0</x:v>
      </x:c>
      <x:c r="T698" s="1" t="str">
        <x:v>합격</x:v>
      </x:c>
    </x:row>
    <x:row r="699" ht="22" customHeight="1">
      <x:c r="A699" s="1" t="str">
        <x:v>R00698</x:v>
      </x:c>
      <x:c r="B699" s="4" t="n">
        <x:v>46219.16391203704</x:v>
      </x:c>
      <x:c r="C699" s="1" t="str">
        <x:v>야간</x:v>
      </x:c>
      <x:c r="D699" s="1" t="str">
        <x:v>L1</x:v>
      </x:c>
      <x:c r="E699" s="1" t="str">
        <x:v>P1</x:v>
      </x:c>
      <x:c r="F699" s="1" t="str">
        <x:v>M03</x:v>
      </x:c>
      <x:c r="G699" s="1" t="str">
        <x:v>G02</x:v>
      </x:c>
      <x:c r="H699" s="5" t="n">
        <x:v>26.2</x:v>
      </x:c>
      <x:c r="I699" s="5" t="n">
        <x:v>5.96</x:v>
      </x:c>
      <x:c r="J699" s="5" t="n">
        <x:v>53.5</x:v>
      </x:c>
      <x:c r="K699" s="5" t="n">
        <x:v>41.1</x:v>
      </x:c>
      <x:c r="L699" s="5" t="n">
        <x:v>1.79</x:v>
      </x:c>
      <x:c r="M699" s="1" t="n">
        <x:v>1</x:v>
      </x:c>
      <x:c r="N699" s="6" t="n">
        <x:v>1.038</x:v>
      </x:c>
      <x:c r="O699" s="1" t="str">
        <x:v>합격</x:v>
      </x:c>
      <x:c r="P699" s="1"/>
      <x:c r="Q699" s="1" t="n">
        <x:v>42</x:v>
      </x:c>
      <x:c r="R699" s="1" t="str">
        <x:v>N</x:v>
      </x:c>
      <x:c r="S699" s="1" t="n">
        <x:v>0</x:v>
      </x:c>
      <x:c r="T699" s="1" t="str">
        <x:v>합격</x:v>
      </x:c>
    </x:row>
    <x:row r="700" ht="22" customHeight="1">
      <x:c r="A700" s="1" t="str">
        <x:v>R00699</x:v>
      </x:c>
      <x:c r="B700" s="4" t="n">
        <x:v>46220.62505787037</x:v>
      </x:c>
      <x:c r="C700" s="1" t="str">
        <x:v>주간</x:v>
      </x:c>
      <x:c r="D700" s="1" t="str">
        <x:v>L2</x:v>
      </x:c>
      <x:c r="E700" s="1" t="str">
        <x:v>P2</x:v>
      </x:c>
      <x:c r="F700" s="1" t="str">
        <x:v>M02</x:v>
      </x:c>
      <x:c r="G700" s="1" t="str">
        <x:v>G03</x:v>
      </x:c>
      <x:c r="H700" s="5" t="n">
        <x:v>32.33</x:v>
      </x:c>
      <x:c r="I700" s="5" t="n">
        <x:v>5.84</x:v>
      </x:c>
      <x:c r="J700" s="5" t="n">
        <x:v>56.7</x:v>
      </x:c>
      <x:c r="K700" s="5" t="n">
        <x:v>36.2</x:v>
      </x:c>
      <x:c r="L700" s="5" t="n">
        <x:v>2.37</x:v>
      </x:c>
      <x:c r="M700" s="1" t="n">
        <x:v>0</x:v>
      </x:c>
      <x:c r="N700" s="6" t="n">
        <x:v>1.035</x:v>
      </x:c>
      <x:c r="O700" s="1" t="str">
        <x:v>합격</x:v>
      </x:c>
      <x:c r="P700" s="1"/>
      <x:c r="Q700" s="1" t="n">
        <x:v>48</x:v>
      </x:c>
      <x:c r="R700" s="1" t="str">
        <x:v>N</x:v>
      </x:c>
      <x:c r="S700" s="1" t="n">
        <x:v>0</x:v>
      </x:c>
      <x:c r="T700" s="1" t="str">
        <x:v>합격</x:v>
      </x:c>
    </x:row>
    <x:row r="701" ht="22" customHeight="1">
      <x:c r="A701" s="1" t="str">
        <x:v>R00700</x:v>
      </x:c>
      <x:c r="B701" s="4" t="n">
        <x:v>46221.39135416667</x:v>
      </x:c>
      <x:c r="C701" s="1" t="str">
        <x:v>주간</x:v>
      </x:c>
      <x:c r="D701" s="1" t="str">
        <x:v>L2</x:v>
      </x:c>
      <x:c r="E701" s="1" t="str">
        <x:v>P2</x:v>
      </x:c>
      <x:c r="F701" s="1" t="str">
        <x:v>M04</x:v>
      </x:c>
      <x:c r="G701" s="1" t="str">
        <x:v>G04</x:v>
      </x:c>
      <x:c r="H701" s="5" t="n">
        <x:v>30.34</x:v>
      </x:c>
      <x:c r="I701" s="5" t="n">
        <x:v>5.96</x:v>
      </x:c>
      <x:c r="J701" s="5" t="n">
        <x:v>47.4</x:v>
      </x:c>
      <x:c r="K701" s="5" t="n">
        <x:v>41.3</x:v>
      </x:c>
      <x:c r="L701" s="5" t="n">
        <x:v>2.63</x:v>
      </x:c>
      <x:c r="M701" s="1" t="n">
        <x:v>1</x:v>
      </x:c>
      <x:c r="N701" s="6" t="n">
        <x:v>0.878</x:v>
      </x:c>
      <x:c r="O701" s="1" t="str">
        <x:v>합격</x:v>
      </x:c>
      <x:c r="P701" s="1"/>
      <x:c r="Q701" s="1" t="n">
        <x:v>46</x:v>
      </x:c>
      <x:c r="R701" s="1" t="str">
        <x:v>N</x:v>
      </x:c>
      <x:c r="S701" s="1" t="n">
        <x:v>0</x:v>
      </x:c>
      <x:c r="T701" s="1" t="str">
        <x:v>합격</x:v>
      </x:c>
    </x:row>
    <x:row r="702" ht="22" customHeight="1">
      <x:c r="A702" s="1" t="str">
        <x:v>R00701</x:v>
      </x:c>
      <x:c r="B702" s="4" t="n">
        <x:v>46222.56605324074</x:v>
      </x:c>
      <x:c r="C702" s="1" t="str">
        <x:v>주간</x:v>
      </x:c>
      <x:c r="D702" s="1" t="str">
        <x:v>L2</x:v>
      </x:c>
      <x:c r="E702" s="1" t="str">
        <x:v>P2</x:v>
      </x:c>
      <x:c r="F702" s="1" t="str">
        <x:v>M02</x:v>
      </x:c>
      <x:c r="G702" s="1" t="str">
        <x:v>G05</x:v>
      </x:c>
      <x:c r="H702" s="5" t="n">
        <x:v>31.65</x:v>
      </x:c>
      <x:c r="I702" s="5" t="n">
        <x:v>5.7</x:v>
      </x:c>
      <x:c r="J702" s="5" t="n">
        <x:v>48.4</x:v>
      </x:c>
      <x:c r="K702" s="5" t="n">
        <x:v>41.9</x:v>
      </x:c>
      <x:c r="L702" s="5" t="n">
        <x:v>1.63</x:v>
      </x:c>
      <x:c r="M702" s="1" t="n">
        <x:v>1</x:v>
      </x:c>
      <x:c r="N702" s="6" t="n">
        <x:v>0.998</x:v>
      </x:c>
      <x:c r="O702" s="1" t="str">
        <x:v>합격</x:v>
      </x:c>
      <x:c r="P702" s="1"/>
      <x:c r="Q702" s="1" t="n">
        <x:v>36</x:v>
      </x:c>
      <x:c r="R702" s="1" t="str">
        <x:v>N</x:v>
      </x:c>
      <x:c r="S702" s="1" t="n">
        <x:v>0</x:v>
      </x:c>
      <x:c r="T702" s="1" t="str">
        <x:v>합격</x:v>
      </x:c>
    </x:row>
    <x:row r="703" ht="22" customHeight="1">
      <x:c r="A703" s="1" t="str">
        <x:v>R00702</x:v>
      </x:c>
      <x:c r="B703" s="4" t="n">
        <x:v>46223.633252314816</x:v>
      </x:c>
      <x:c r="C703" s="1" t="str">
        <x:v>주간</x:v>
      </x:c>
      <x:c r="D703" s="1" t="str">
        <x:v>L1</x:v>
      </x:c>
      <x:c r="E703" s="1" t="str">
        <x:v>P1</x:v>
      </x:c>
      <x:c r="F703" s="1" t="str">
        <x:v>M03</x:v>
      </x:c>
      <x:c r="G703" s="1" t="str">
        <x:v>G06</x:v>
      </x:c>
      <x:c r="H703" s="5" t="n">
        <x:v>27.56</x:v>
      </x:c>
      <x:c r="I703" s="5" t="n">
        <x:v>5.62</x:v>
      </x:c>
      <x:c r="J703" s="5" t="n">
        <x:v>49.4</x:v>
      </x:c>
      <x:c r="K703" s="5" t="n">
        <x:v>41.7</x:v>
      </x:c>
      <x:c r="L703" s="5" t="n">
        <x:v>2.15</x:v>
      </x:c>
      <x:c r="M703" s="1" t="n">
        <x:v>1</x:v>
      </x:c>
      <x:c r="N703" s="6" t="n">
        <x:v>1.021</x:v>
      </x:c>
      <x:c r="O703" s="1" t="str">
        <x:v>합격</x:v>
      </x:c>
      <x:c r="P703" s="1"/>
      <x:c r="Q703" s="1" t="n">
        <x:v>40</x:v>
      </x:c>
      <x:c r="R703" s="1" t="str">
        <x:v>N</x:v>
      </x:c>
      <x:c r="S703" s="1" t="n">
        <x:v>0</x:v>
      </x:c>
      <x:c r="T703" s="1" t="str">
        <x:v>합격</x:v>
      </x:c>
    </x:row>
    <x:row r="704" ht="22" customHeight="1">
      <x:c r="A704" s="1" t="str">
        <x:v>R00703</x:v>
      </x:c>
      <x:c r="B704" s="4" t="n">
        <x:v>46224.90660879629</x:v>
      </x:c>
      <x:c r="C704" s="1" t="str">
        <x:v>야간</x:v>
      </x:c>
      <x:c r="D704" s="1" t="str">
        <x:v>L2</x:v>
      </x:c>
      <x:c r="E704" s="1" t="str">
        <x:v>P2</x:v>
      </x:c>
      <x:c r="F704" s="1" t="str">
        <x:v>M02</x:v>
      </x:c>
      <x:c r="G704" s="1" t="str">
        <x:v>G01</x:v>
      </x:c>
      <x:c r="H704" s="5" t="n">
        <x:v>32.6</x:v>
      </x:c>
      <x:c r="I704" s="5" t="n">
        <x:v>5.72</x:v>
      </x:c>
      <x:c r="J704" s="5" t="n">
        <x:v>48</x:v>
      </x:c>
      <x:c r="K704" s="5" t="n">
        <x:v>39.7</x:v>
      </x:c>
      <x:c r="L704" s="5" t="n">
        <x:v>1.66</x:v>
      </x:c>
      <x:c r="M704" s="1" t="n">
        <x:v>0</x:v>
      </x:c>
      <x:c r="N704" s="6" t="n">
        <x:v>0.852</x:v>
      </x:c>
      <x:c r="O704" s="1" t="str">
        <x:v>합격</x:v>
      </x:c>
      <x:c r="P704" s="1"/>
      <x:c r="Q704" s="1" t="n">
        <x:v>35</x:v>
      </x:c>
      <x:c r="R704" s="1" t="str">
        <x:v>N</x:v>
      </x:c>
      <x:c r="S704" s="1" t="n">
        <x:v>0</x:v>
      </x:c>
      <x:c r="T704" s="1" t="str">
        <x:v>합격</x:v>
      </x:c>
    </x:row>
    <x:row r="705" ht="22" customHeight="1">
      <x:c r="A705" s="1" t="str">
        <x:v>R00704</x:v>
      </x:c>
      <x:c r="B705" s="4" t="n">
        <x:v>46225.89665509259</x:v>
      </x:c>
      <x:c r="C705" s="1" t="str">
        <x:v>야간</x:v>
      </x:c>
      <x:c r="D705" s="1" t="str">
        <x:v>L2</x:v>
      </x:c>
      <x:c r="E705" s="1" t="str">
        <x:v>P2</x:v>
      </x:c>
      <x:c r="F705" s="1" t="str">
        <x:v>M01</x:v>
      </x:c>
      <x:c r="G705" s="1" t="str">
        <x:v>G02</x:v>
      </x:c>
      <x:c r="H705" s="5" t="n">
        <x:v>32.73</x:v>
      </x:c>
      <x:c r="I705" s="5" t="n">
        <x:v>5.91</x:v>
      </x:c>
      <x:c r="J705" s="5" t="n">
        <x:v>57.3</x:v>
      </x:c>
      <x:c r="K705" s="5" t="n">
        <x:v>35.3</x:v>
      </x:c>
      <x:c r="L705" s="5" t="n">
        <x:v>2.26</x:v>
      </x:c>
      <x:c r="M705" s="1" t="n">
        <x:v>0</x:v>
      </x:c>
      <x:c r="N705" s="6" t="n">
        <x:v>1.035</x:v>
      </x:c>
      <x:c r="O705" s="1" t="str">
        <x:v>합격</x:v>
      </x:c>
      <x:c r="P705" s="1"/>
      <x:c r="Q705" s="1" t="n">
        <x:v>43</x:v>
      </x:c>
      <x:c r="R705" s="1" t="str">
        <x:v>N</x:v>
      </x:c>
      <x:c r="S705" s="1" t="n">
        <x:v>0</x:v>
      </x:c>
      <x:c r="T705" s="1" t="str">
        <x:v>합격</x:v>
      </x:c>
    </x:row>
    <x:row r="706" ht="22" customHeight="1">
      <x:c r="A706" s="1" t="str">
        <x:v>R00705</x:v>
      </x:c>
      <x:c r="B706" s="4" t="n">
        <x:v>46226.34409722222</x:v>
      </x:c>
      <x:c r="C706" s="1" t="str">
        <x:v>주간</x:v>
      </x:c>
      <x:c r="D706" s="1" t="str">
        <x:v>L1</x:v>
      </x:c>
      <x:c r="E706" s="1" t="str">
        <x:v>P1</x:v>
      </x:c>
      <x:c r="F706" s="1" t="str">
        <x:v>M01</x:v>
      </x:c>
      <x:c r="G706" s="1" t="str">
        <x:v>G03</x:v>
      </x:c>
      <x:c r="H706" s="5" t="n">
        <x:v>27.98</x:v>
      </x:c>
      <x:c r="I706" s="5" t="n">
        <x:v>5.66</x:v>
      </x:c>
      <x:c r="J706" s="5" t="n">
        <x:v>54.7</x:v>
      </x:c>
      <x:c r="K706" s="5" t="n">
        <x:v>38</x:v>
      </x:c>
      <x:c r="L706" s="5" t="n">
        <x:v>1.95</x:v>
      </x:c>
      <x:c r="M706" s="1" t="n">
        <x:v>0</x:v>
      </x:c>
      <x:c r="N706" s="6" t="n">
        <x:v>0.904</x:v>
      </x:c>
      <x:c r="O706" s="1" t="str">
        <x:v>합격</x:v>
      </x:c>
      <x:c r="P706" s="1"/>
      <x:c r="Q706" s="1" t="n">
        <x:v>43</x:v>
      </x:c>
      <x:c r="R706" s="1" t="str">
        <x:v>N</x:v>
      </x:c>
      <x:c r="S706" s="1" t="n">
        <x:v>0</x:v>
      </x:c>
      <x:c r="T706" s="1" t="str">
        <x:v>합격</x:v>
      </x:c>
    </x:row>
    <x:row r="707" ht="22" customHeight="1">
      <x:c r="A707" s="1" t="str">
        <x:v>R00706</x:v>
      </x:c>
      <x:c r="B707" s="4" t="n">
        <x:v>46227.34243055555</x:v>
      </x:c>
      <x:c r="C707" s="1" t="str">
        <x:v>주간</x:v>
      </x:c>
      <x:c r="D707" s="1" t="str">
        <x:v>L1</x:v>
      </x:c>
      <x:c r="E707" s="1" t="str">
        <x:v>P1</x:v>
      </x:c>
      <x:c r="F707" s="1" t="str">
        <x:v>M03</x:v>
      </x:c>
      <x:c r="G707" s="1" t="str">
        <x:v>G04</x:v>
      </x:c>
      <x:c r="H707" s="5" t="n">
        <x:v>30.05</x:v>
      </x:c>
      <x:c r="I707" s="5" t="n">
        <x:v>5.8</x:v>
      </x:c>
      <x:c r="J707" s="5" t="n">
        <x:v>51.8</x:v>
      </x:c>
      <x:c r="K707" s="5" t="n">
        <x:v>38.8</x:v>
      </x:c>
      <x:c r="L707" s="5" t="n">
        <x:v>2.11</x:v>
      </x:c>
      <x:c r="M707" s="1" t="n">
        <x:v>1</x:v>
      </x:c>
      <x:c r="N707" s="6" t="n">
        <x:v>0.931</x:v>
      </x:c>
      <x:c r="O707" s="1" t="str">
        <x:v>합격</x:v>
      </x:c>
      <x:c r="P707" s="1"/>
      <x:c r="Q707" s="1" t="n">
        <x:v>36</x:v>
      </x:c>
      <x:c r="R707" s="1" t="str">
        <x:v>N</x:v>
      </x:c>
      <x:c r="S707" s="1" t="n">
        <x:v>0</x:v>
      </x:c>
      <x:c r="T707" s="1" t="str">
        <x:v>합격</x:v>
      </x:c>
    </x:row>
    <x:row r="708" ht="22" customHeight="1">
      <x:c r="A708" s="1" t="str">
        <x:v>R00707</x:v>
      </x:c>
      <x:c r="B708" s="4" t="n">
        <x:v>46228.43645833333</x:v>
      </x:c>
      <x:c r="C708" s="1" t="str">
        <x:v>주간</x:v>
      </x:c>
      <x:c r="D708" s="1" t="str">
        <x:v>L1</x:v>
      </x:c>
      <x:c r="E708" s="1" t="str">
        <x:v>P1</x:v>
      </x:c>
      <x:c r="F708" s="1" t="str">
        <x:v>M01</x:v>
      </x:c>
      <x:c r="G708" s="1" t="str">
        <x:v>G05</x:v>
      </x:c>
      <x:c r="H708" s="5" t="n">
        <x:v>32.27</x:v>
      </x:c>
      <x:c r="I708" s="5" t="n">
        <x:v>5.96</x:v>
      </x:c>
      <x:c r="J708" s="5" t="n">
        <x:v>50</x:v>
      </x:c>
      <x:c r="K708" s="5" t="n">
        <x:v>37.1</x:v>
      </x:c>
      <x:c r="L708" s="5" t="n">
        <x:v>2.67</x:v>
      </x:c>
      <x:c r="M708" s="1" t="n">
        <x:v>0</x:v>
      </x:c>
      <x:c r="N708" s="6" t="n">
        <x:v>0.909</x:v>
      </x:c>
      <x:c r="O708" s="1" t="str">
        <x:v>합격</x:v>
      </x:c>
      <x:c r="P708" s="1"/>
      <x:c r="Q708" s="1" t="n">
        <x:v>37</x:v>
      </x:c>
      <x:c r="R708" s="1" t="str">
        <x:v>N</x:v>
      </x:c>
      <x:c r="S708" s="1" t="n">
        <x:v>0</x:v>
      </x:c>
      <x:c r="T708" s="1" t="str">
        <x:v>합격</x:v>
      </x:c>
    </x:row>
    <x:row r="709" ht="22" customHeight="1">
      <x:c r="A709" s="1" t="str">
        <x:v>R00708</x:v>
      </x:c>
      <x:c r="B709" s="4" t="n">
        <x:v>46229.102685185186</x:v>
      </x:c>
      <x:c r="C709" s="1" t="str">
        <x:v>야간</x:v>
      </x:c>
      <x:c r="D709" s="1" t="str">
        <x:v>L1</x:v>
      </x:c>
      <x:c r="E709" s="1" t="str">
        <x:v>P1</x:v>
      </x:c>
      <x:c r="F709" s="1" t="str">
        <x:v>M04</x:v>
      </x:c>
      <x:c r="G709" s="1" t="str">
        <x:v>G06</x:v>
      </x:c>
      <x:c r="H709" s="5" t="n">
        <x:v>28.56</x:v>
      </x:c>
      <x:c r="I709" s="5" t="n">
        <x:v>5.75</x:v>
      </x:c>
      <x:c r="J709" s="5" t="n">
        <x:v>58.3</x:v>
      </x:c>
      <x:c r="K709" s="5" t="n">
        <x:v>39.1</x:v>
      </x:c>
      <x:c r="L709" s="5" t="n">
        <x:v>1.8</x:v>
      </x:c>
      <x:c r="M709" s="1" t="n">
        <x:v>1</x:v>
      </x:c>
      <x:c r="N709" s="6" t="n">
        <x:v>0.852</x:v>
      </x:c>
      <x:c r="O709" s="1" t="str">
        <x:v>합격</x:v>
      </x:c>
      <x:c r="P709" s="1"/>
      <x:c r="Q709" s="1" t="n">
        <x:v>41</x:v>
      </x:c>
      <x:c r="R709" s="1" t="str">
        <x:v>N</x:v>
      </x:c>
      <x:c r="S709" s="1" t="n">
        <x:v>0</x:v>
      </x:c>
      <x:c r="T709" s="1" t="str">
        <x:v>합격</x:v>
      </x:c>
    </x:row>
    <x:row r="710" ht="22" customHeight="1">
      <x:c r="A710" s="1" t="str">
        <x:v>R00709</x:v>
      </x:c>
      <x:c r="B710" s="4" t="n">
        <x:v>46230.33555555555</x:v>
      </x:c>
      <x:c r="C710" s="1" t="str">
        <x:v>주간</x:v>
      </x:c>
      <x:c r="D710" s="1" t="str">
        <x:v>L2</x:v>
      </x:c>
      <x:c r="E710" s="1" t="str">
        <x:v>P2</x:v>
      </x:c>
      <x:c r="F710" s="1" t="str">
        <x:v>M02</x:v>
      </x:c>
      <x:c r="G710" s="1" t="str">
        <x:v>G01</x:v>
      </x:c>
      <x:c r="H710" s="5" t="n">
        <x:v>27.73</x:v>
      </x:c>
      <x:c r="I710" s="5" t="n">
        <x:v>5.66</x:v>
      </x:c>
      <x:c r="J710" s="5" t="n">
        <x:v>55.6</x:v>
      </x:c>
      <x:c r="K710" s="5" t="n">
        <x:v>40.6</x:v>
      </x:c>
      <x:c r="L710" s="5" t="n">
        <x:v>1.45</x:v>
      </x:c>
      <x:c r="M710" s="1" t="n">
        <x:v>0</x:v>
      </x:c>
      <x:c r="N710" s="6" t="n">
        <x:v>0.968</x:v>
      </x:c>
      <x:c r="O710" s="1" t="str">
        <x:v>합격</x:v>
      </x:c>
      <x:c r="P710" s="1"/>
      <x:c r="Q710" s="1" t="n">
        <x:v>37</x:v>
      </x:c>
      <x:c r="R710" s="1" t="str">
        <x:v>N</x:v>
      </x:c>
      <x:c r="S710" s="1" t="n">
        <x:v>0</x:v>
      </x:c>
      <x:c r="T710" s="1" t="str">
        <x:v>합격</x:v>
      </x:c>
    </x:row>
    <x:row r="711" ht="22" customHeight="1">
      <x:c r="A711" s="1" t="str">
        <x:v>R00710</x:v>
      </x:c>
      <x:c r="B711" s="4" t="n">
        <x:v>46231.14011574074</x:v>
      </x:c>
      <x:c r="C711" s="1" t="str">
        <x:v>야간</x:v>
      </x:c>
      <x:c r="D711" s="1" t="str">
        <x:v>L1</x:v>
      </x:c>
      <x:c r="E711" s="1" t="str">
        <x:v>P1</x:v>
      </x:c>
      <x:c r="F711" s="1" t="str">
        <x:v>M04</x:v>
      </x:c>
      <x:c r="G711" s="1" t="str">
        <x:v>G02</x:v>
      </x:c>
      <x:c r="H711" s="5" t="n">
        <x:v>32.78</x:v>
      </x:c>
      <x:c r="I711" s="5" t="n">
        <x:v>5.93</x:v>
      </x:c>
      <x:c r="J711" s="5" t="n">
        <x:v>57.9</x:v>
      </x:c>
      <x:c r="K711" s="5" t="n">
        <x:v>39.3</x:v>
      </x:c>
      <x:c r="L711" s="5" t="n">
        <x:v>2.42</x:v>
      </x:c>
      <x:c r="M711" s="1" t="n">
        <x:v>1</x:v>
      </x:c>
      <x:c r="N711" s="6" t="n">
        <x:v>0.978</x:v>
      </x:c>
      <x:c r="O711" s="1" t="str">
        <x:v>합격</x:v>
      </x:c>
      <x:c r="P711" s="1"/>
      <x:c r="Q711" s="1" t="n">
        <x:v>40</x:v>
      </x:c>
      <x:c r="R711" s="1" t="str">
        <x:v>N</x:v>
      </x:c>
      <x:c r="S711" s="1" t="n">
        <x:v>0</x:v>
      </x:c>
      <x:c r="T711" s="1" t="str">
        <x:v>합격</x:v>
      </x:c>
    </x:row>
    <x:row r="712" ht="22" customHeight="1">
      <x:c r="A712" s="1" t="str">
        <x:v>R00711</x:v>
      </x:c>
      <x:c r="B712" s="4" t="n">
        <x:v>46232.42650462963</x:v>
      </x:c>
      <x:c r="C712" s="1" t="str">
        <x:v>주간</x:v>
      </x:c>
      <x:c r="D712" s="1" t="str">
        <x:v>L2</x:v>
      </x:c>
      <x:c r="E712" s="1" t="str">
        <x:v>P2</x:v>
      </x:c>
      <x:c r="F712" s="1" t="str">
        <x:v>M02</x:v>
      </x:c>
      <x:c r="G712" s="1" t="str">
        <x:v>G03</x:v>
      </x:c>
      <x:c r="H712" s="5" t="n">
        <x:v>30.53</x:v>
      </x:c>
      <x:c r="I712" s="5" t="n">
        <x:v>5.85</x:v>
      </x:c>
      <x:c r="J712" s="5" t="n">
        <x:v>49.8</x:v>
      </x:c>
      <x:c r="K712" s="5" t="n">
        <x:v>41.8</x:v>
      </x:c>
      <x:c r="L712" s="5" t="n">
        <x:v>1.82</x:v>
      </x:c>
      <x:c r="M712" s="1" t="n">
        <x:v>1</x:v>
      </x:c>
      <x:c r="N712" s="6" t="n">
        <x:v>0.934</x:v>
      </x:c>
      <x:c r="O712" s="1" t="str">
        <x:v>합격</x:v>
      </x:c>
      <x:c r="P712" s="1"/>
      <x:c r="Q712" s="1" t="n">
        <x:v>36</x:v>
      </x:c>
      <x:c r="R712" s="1" t="str">
        <x:v>N</x:v>
      </x:c>
      <x:c r="S712" s="1" t="n">
        <x:v>0</x:v>
      </x:c>
      <x:c r="T712" s="1" t="str">
        <x:v>합격</x:v>
      </x:c>
    </x:row>
    <x:row r="713" ht="22" customHeight="1">
      <x:c r="A713" s="1" t="str">
        <x:v>R00712</x:v>
      </x:c>
      <x:c r="B713" s="4" t="n">
        <x:v>46233.55195601852</x:v>
      </x:c>
      <x:c r="C713" s="1" t="str">
        <x:v>주간</x:v>
      </x:c>
      <x:c r="D713" s="1" t="str">
        <x:v>L2</x:v>
      </x:c>
      <x:c r="E713" s="1" t="str">
        <x:v>P2</x:v>
      </x:c>
      <x:c r="F713" s="1" t="str">
        <x:v>M02</x:v>
      </x:c>
      <x:c r="G713" s="1" t="str">
        <x:v>G04</x:v>
      </x:c>
      <x:c r="H713" s="5" t="n">
        <x:v>32.26</x:v>
      </x:c>
      <x:c r="I713" s="5" t="n">
        <x:v>5.88</x:v>
      </x:c>
      <x:c r="J713" s="5" t="n">
        <x:v>56</x:v>
      </x:c>
      <x:c r="K713" s="5" t="n">
        <x:v>36.8</x:v>
      </x:c>
      <x:c r="L713" s="5" t="n">
        <x:v>2.05</x:v>
      </x:c>
      <x:c r="M713" s="1" t="n">
        <x:v>0</x:v>
      </x:c>
      <x:c r="N713" s="6" t="n">
        <x:v>0.905</x:v>
      </x:c>
      <x:c r="O713" s="1" t="str">
        <x:v>합격</x:v>
      </x:c>
      <x:c r="P713" s="1"/>
      <x:c r="Q713" s="1" t="n">
        <x:v>44</x:v>
      </x:c>
      <x:c r="R713" s="1" t="str">
        <x:v>N</x:v>
      </x:c>
      <x:c r="S713" s="1" t="n">
        <x:v>0</x:v>
      </x:c>
      <x:c r="T713" s="1" t="str">
        <x:v>합격</x:v>
      </x:c>
    </x:row>
    <x:row r="714" ht="22" customHeight="1">
      <x:c r="A714" s="1" t="str">
        <x:v>R00713</x:v>
      </x:c>
      <x:c r="B714" s="4" t="n">
        <x:v>46234.4525</x:v>
      </x:c>
      <x:c r="C714" s="1" t="str">
        <x:v>주간</x:v>
      </x:c>
      <x:c r="D714" s="1" t="str">
        <x:v>L2</x:v>
      </x:c>
      <x:c r="E714" s="1" t="str">
        <x:v>P2</x:v>
      </x:c>
      <x:c r="F714" s="1" t="str">
        <x:v>M02</x:v>
      </x:c>
      <x:c r="G714" s="1" t="str">
        <x:v>G05</x:v>
      </x:c>
      <x:c r="H714" s="5" t="n">
        <x:v>31.59</x:v>
      </x:c>
      <x:c r="I714" s="5" t="n">
        <x:v>5.86</x:v>
      </x:c>
      <x:c r="J714" s="5" t="n">
        <x:v>52</x:v>
      </x:c>
      <x:c r="K714" s="5" t="n">
        <x:v>38</x:v>
      </x:c>
      <x:c r="L714" s="5" t="n">
        <x:v>2.43</x:v>
      </x:c>
      <x:c r="M714" s="1" t="n">
        <x:v>1</x:v>
      </x:c>
      <x:c r="N714" s="6" t="n">
        <x:v>1</x:v>
      </x:c>
      <x:c r="O714" s="1" t="str">
        <x:v>합격</x:v>
      </x:c>
      <x:c r="P714" s="1"/>
      <x:c r="Q714" s="1" t="n">
        <x:v>39</x:v>
      </x:c>
      <x:c r="R714" s="1" t="str">
        <x:v>N</x:v>
      </x:c>
      <x:c r="S714" s="1" t="n">
        <x:v>0</x:v>
      </x:c>
      <x:c r="T714" s="1" t="str">
        <x:v>합격</x:v>
      </x:c>
    </x:row>
    <x:row r="715" ht="22" customHeight="1">
      <x:c r="A715" s="1" t="str">
        <x:v>R00714</x:v>
      </x:c>
      <x:c r="B715" s="4" t="n">
        <x:v>46204.521469907406</x:v>
      </x:c>
      <x:c r="C715" s="1" t="str">
        <x:v>주간</x:v>
      </x:c>
      <x:c r="D715" s="1" t="str">
        <x:v>L1</x:v>
      </x:c>
      <x:c r="E715" s="1" t="str">
        <x:v>P1</x:v>
      </x:c>
      <x:c r="F715" s="1" t="str">
        <x:v>M01</x:v>
      </x:c>
      <x:c r="G715" s="1" t="str">
        <x:v>G06</x:v>
      </x:c>
      <x:c r="H715" s="5" t="n">
        <x:v>29.05</x:v>
      </x:c>
      <x:c r="I715" s="5" t="n">
        <x:v>5.71</x:v>
      </x:c>
      <x:c r="J715" s="5" t="n">
        <x:v>54.1</x:v>
      </x:c>
      <x:c r="K715" s="5" t="n">
        <x:v>37.5</x:v>
      </x:c>
      <x:c r="L715" s="5" t="n">
        <x:v>2.45</x:v>
      </x:c>
      <x:c r="M715" s="1" t="n">
        <x:v>0</x:v>
      </x:c>
      <x:c r="N715" s="6" t="n">
        <x:v>0.943</x:v>
      </x:c>
      <x:c r="O715" s="1" t="str">
        <x:v>합격</x:v>
      </x:c>
      <x:c r="P715" s="1"/>
      <x:c r="Q715" s="1" t="n">
        <x:v>39</x:v>
      </x:c>
      <x:c r="R715" s="1" t="str">
        <x:v>N</x:v>
      </x:c>
      <x:c r="S715" s="1" t="n">
        <x:v>0</x:v>
      </x:c>
      <x:c r="T715" s="1" t="str">
        <x:v>합격</x:v>
      </x:c>
    </x:row>
    <x:row r="716" ht="22" customHeight="1">
      <x:c r="A716" s="1" t="str">
        <x:v>R00715</x:v>
      </x:c>
      <x:c r="B716" s="4" t="n">
        <x:v>46205.474016203705</x:v>
      </x:c>
      <x:c r="C716" s="1" t="str">
        <x:v>주간</x:v>
      </x:c>
      <x:c r="D716" s="1" t="str">
        <x:v>L1</x:v>
      </x:c>
      <x:c r="E716" s="1" t="str">
        <x:v>P1</x:v>
      </x:c>
      <x:c r="F716" s="1" t="str">
        <x:v>M03</x:v>
      </x:c>
      <x:c r="G716" s="1" t="str">
        <x:v>G01</x:v>
      </x:c>
      <x:c r="H716" s="5" t="n">
        <x:v>30.52</x:v>
      </x:c>
      <x:c r="I716" s="5" t="n">
        <x:v>5.76</x:v>
      </x:c>
      <x:c r="J716" s="5" t="n">
        <x:v>57.8</x:v>
      </x:c>
      <x:c r="K716" s="5" t="n">
        <x:v>37.9</x:v>
      </x:c>
      <x:c r="L716" s="5" t="n">
        <x:v>1.78</x:v>
      </x:c>
      <x:c r="M716" s="1" t="n">
        <x:v>1</x:v>
      </x:c>
      <x:c r="N716" s="6" t="n">
        <x:v>1.041</x:v>
      </x:c>
      <x:c r="O716" s="1" t="str">
        <x:v>합격</x:v>
      </x:c>
      <x:c r="P716" s="1"/>
      <x:c r="Q716" s="1" t="n">
        <x:v>49</x:v>
      </x:c>
      <x:c r="R716" s="1" t="str">
        <x:v>N</x:v>
      </x:c>
      <x:c r="S716" s="1" t="n">
        <x:v>0</x:v>
      </x:c>
      <x:c r="T716" s="1" t="str">
        <x:v>합격</x:v>
      </x:c>
    </x:row>
    <x:row r="717" ht="22" customHeight="1">
      <x:c r="A717" s="1" t="str">
        <x:v>R00716</x:v>
      </x:c>
      <x:c r="B717" s="4" t="n">
        <x:v>46206.84364583333</x:v>
      </x:c>
      <x:c r="C717" s="1" t="str">
        <x:v>야간</x:v>
      </x:c>
      <x:c r="D717" s="1" t="str">
        <x:v>L2</x:v>
      </x:c>
      <x:c r="E717" s="1" t="str">
        <x:v>P2</x:v>
      </x:c>
      <x:c r="F717" s="1" t="str">
        <x:v>M02</x:v>
      </x:c>
      <x:c r="G717" s="1" t="str">
        <x:v>G02</x:v>
      </x:c>
      <x:c r="H717" s="5" t="n">
        <x:v>28.06</x:v>
      </x:c>
      <x:c r="I717" s="5" t="n">
        <x:v>5.97</x:v>
      </x:c>
      <x:c r="J717" s="5" t="n">
        <x:v>52.3</x:v>
      </x:c>
      <x:c r="K717" s="5" t="n">
        <x:v>37.1</x:v>
      </x:c>
      <x:c r="L717" s="5" t="n">
        <x:v>2.06</x:v>
      </x:c>
      <x:c r="M717" s="1" t="n">
        <x:v>0</x:v>
      </x:c>
      <x:c r="N717" s="6" t="n">
        <x:v>0.932</x:v>
      </x:c>
      <x:c r="O717" s="1" t="str">
        <x:v>합격</x:v>
      </x:c>
      <x:c r="P717" s="1"/>
      <x:c r="Q717" s="1" t="n">
        <x:v>43</x:v>
      </x:c>
      <x:c r="R717" s="1" t="str">
        <x:v>N</x:v>
      </x:c>
      <x:c r="S717" s="1" t="n">
        <x:v>0</x:v>
      </x:c>
      <x:c r="T717" s="1" t="str">
        <x:v>합격</x:v>
      </x:c>
    </x:row>
    <x:row r="718" ht="22" customHeight="1">
      <x:c r="A718" s="1" t="str">
        <x:v>R00717</x:v>
      </x:c>
      <x:c r="B718" s="4" t="n">
        <x:v>46207.60074074074</x:v>
      </x:c>
      <x:c r="C718" s="1" t="str">
        <x:v>주간</x:v>
      </x:c>
      <x:c r="D718" s="1" t="str">
        <x:v>L2</x:v>
      </x:c>
      <x:c r="E718" s="1" t="str">
        <x:v>P2</x:v>
      </x:c>
      <x:c r="F718" s="1" t="str">
        <x:v>M02</x:v>
      </x:c>
      <x:c r="G718" s="1" t="str">
        <x:v>G03</x:v>
      </x:c>
      <x:c r="H718" s="5" t="n">
        <x:v>31.05</x:v>
      </x:c>
      <x:c r="I718" s="5" t="n">
        <x:v>5.93</x:v>
      </x:c>
      <x:c r="J718" s="5" t="n">
        <x:v>55.9</x:v>
      </x:c>
      <x:c r="K718" s="5" t="n">
        <x:v>41.4</x:v>
      </x:c>
      <x:c r="L718" s="5" t="n">
        <x:v>1.98</x:v>
      </x:c>
      <x:c r="M718" s="1" t="n">
        <x:v>0</x:v>
      </x:c>
      <x:c r="N718" s="6" t="n">
        <x:v>0.853</x:v>
      </x:c>
      <x:c r="O718" s="1" t="str">
        <x:v>합격</x:v>
      </x:c>
      <x:c r="P718" s="1"/>
      <x:c r="Q718" s="1" t="n">
        <x:v>41</x:v>
      </x:c>
      <x:c r="R718" s="1" t="str">
        <x:v>N</x:v>
      </x:c>
      <x:c r="S718" s="1" t="n">
        <x:v>0</x:v>
      </x:c>
      <x:c r="T718" s="1" t="str">
        <x:v>합격</x:v>
      </x:c>
    </x:row>
    <x:row r="719" ht="22" customHeight="1">
      <x:c r="A719" s="1" t="str">
        <x:v>R00718</x:v>
      </x:c>
      <x:c r="B719" s="4" t="n">
        <x:v>46208.103125</x:v>
      </x:c>
      <x:c r="C719" s="1" t="str">
        <x:v>야간</x:v>
      </x:c>
      <x:c r="D719" s="1" t="str">
        <x:v>L1</x:v>
      </x:c>
      <x:c r="E719" s="1" t="str">
        <x:v>P1</x:v>
      </x:c>
      <x:c r="F719" s="1" t="str">
        <x:v>M04</x:v>
      </x:c>
      <x:c r="G719" s="1" t="str">
        <x:v>G04</x:v>
      </x:c>
      <x:c r="H719" s="5" t="n">
        <x:v>29.97</x:v>
      </x:c>
      <x:c r="I719" s="5" t="n">
        <x:v>5.98</x:v>
      </x:c>
      <x:c r="J719" s="5" t="n">
        <x:v>52.8</x:v>
      </x:c>
      <x:c r="K719" s="5" t="n">
        <x:v>36</x:v>
      </x:c>
      <x:c r="L719" s="5" t="n">
        <x:v>1.33</x:v>
      </x:c>
      <x:c r="M719" s="1" t="n">
        <x:v>0</x:v>
      </x:c>
      <x:c r="N719" s="6" t="n">
        <x:v>1.002</x:v>
      </x:c>
      <x:c r="O719" s="1" t="str">
        <x:v>합격</x:v>
      </x:c>
      <x:c r="P719" s="1"/>
      <x:c r="Q719" s="1" t="n">
        <x:v>47</x:v>
      </x:c>
      <x:c r="R719" s="1" t="str">
        <x:v>N</x:v>
      </x:c>
      <x:c r="S719" s="1" t="n">
        <x:v>0</x:v>
      </x:c>
      <x:c r="T719" s="1" t="str">
        <x:v>합격</x:v>
      </x:c>
    </x:row>
    <x:row r="720" ht="22" customHeight="1">
      <x:c r="A720" s="1" t="str">
        <x:v>R00719</x:v>
      </x:c>
      <x:c r="B720" s="4" t="n">
        <x:v>46209.00098379629</x:v>
      </x:c>
      <x:c r="C720" s="1" t="str">
        <x:v>야간</x:v>
      </x:c>
      <x:c r="D720" s="1" t="str">
        <x:v>L1</x:v>
      </x:c>
      <x:c r="E720" s="1" t="str">
        <x:v>P1</x:v>
      </x:c>
      <x:c r="F720" s="1" t="str">
        <x:v>M04</x:v>
      </x:c>
      <x:c r="G720" s="1" t="str">
        <x:v>G05</x:v>
      </x:c>
      <x:c r="H720" s="5" t="n">
        <x:v>30.43</x:v>
      </x:c>
      <x:c r="I720" s="5" t="n">
        <x:v>5.62</x:v>
      </x:c>
      <x:c r="J720" s="5" t="n">
        <x:v>47.6</x:v>
      </x:c>
      <x:c r="K720" s="5" t="n">
        <x:v>37.8</x:v>
      </x:c>
      <x:c r="L720" s="5"/>
      <x:c r="M720" s="1" t="n">
        <x:v>0</x:v>
      </x:c>
      <x:c r="N720" s="6" t="n">
        <x:v>0.906</x:v>
      </x:c>
      <x:c r="O720" s="1" t="str">
        <x:v>합격</x:v>
      </x:c>
      <x:c r="P720" s="1"/>
      <x:c r="Q720" s="1" t="n">
        <x:v>43</x:v>
      </x:c>
      <x:c r="R720" s="1" t="str">
        <x:v>N</x:v>
      </x:c>
      <x:c r="S720" s="1" t="n">
        <x:v>0</x:v>
      </x:c>
      <x:c r="T720" s="1" t="str">
        <x:v>합격</x:v>
      </x:c>
    </x:row>
    <x:row r="721" ht="22" customHeight="1">
      <x:c r="A721" s="1" t="str">
        <x:v>R00720</x:v>
      </x:c>
      <x:c r="B721" s="4" t="n">
        <x:v>46210.95841435185</x:v>
      </x:c>
      <x:c r="C721" s="1" t="str">
        <x:v>야간</x:v>
      </x:c>
      <x:c r="D721" s="1" t="str">
        <x:v>L2</x:v>
      </x:c>
      <x:c r="E721" s="1" t="str">
        <x:v>P2</x:v>
      </x:c>
      <x:c r="F721" s="1" t="str">
        <x:v>M02</x:v>
      </x:c>
      <x:c r="G721" s="1" t="str">
        <x:v>G06</x:v>
      </x:c>
      <x:c r="H721" s="5" t="n">
        <x:v>31.36</x:v>
      </x:c>
      <x:c r="I721" s="5" t="n">
        <x:v>5.85</x:v>
      </x:c>
      <x:c r="J721" s="5" t="n">
        <x:v>58.4</x:v>
      </x:c>
      <x:c r="K721" s="5" t="n">
        <x:v>39</x:v>
      </x:c>
      <x:c r="L721" s="5" t="n">
        <x:v>2.44</x:v>
      </x:c>
      <x:c r="M721" s="1" t="n">
        <x:v>0</x:v>
      </x:c>
      <x:c r="N721" s="6" t="n">
        <x:v>0.971</x:v>
      </x:c>
      <x:c r="O721" s="1" t="str">
        <x:v>합격</x:v>
      </x:c>
      <x:c r="P721" s="1"/>
      <x:c r="Q721" s="1" t="n">
        <x:v>44</x:v>
      </x:c>
      <x:c r="R721" s="1" t="str">
        <x:v>N</x:v>
      </x:c>
      <x:c r="S721" s="1" t="n">
        <x:v>0</x:v>
      </x:c>
      <x:c r="T721" s="1" t="str">
        <x:v>합격</x:v>
      </x:c>
    </x:row>
    <x:row r="722" ht="22" customHeight="1">
      <x:c r="A722" s="1" t="str">
        <x:v>R00721</x:v>
      </x:c>
      <x:c r="B722" s="4" t="n">
        <x:v>46211.05903935185</x:v>
      </x:c>
      <x:c r="C722" s="1" t="str">
        <x:v>야간</x:v>
      </x:c>
      <x:c r="D722" s="1" t="str">
        <x:v>L2</x:v>
      </x:c>
      <x:c r="E722" s="1" t="str">
        <x:v>P2</x:v>
      </x:c>
      <x:c r="F722" s="1" t="str">
        <x:v>M02</x:v>
      </x:c>
      <x:c r="G722" s="1" t="str">
        <x:v>G01</x:v>
      </x:c>
      <x:c r="H722" s="5" t="n">
        <x:v>32.42</x:v>
      </x:c>
      <x:c r="I722" s="5" t="n">
        <x:v>5.69</x:v>
      </x:c>
      <x:c r="J722" s="5" t="n">
        <x:v>52.2</x:v>
      </x:c>
      <x:c r="K722" s="5" t="n">
        <x:v>37.7</x:v>
      </x:c>
      <x:c r="L722" s="5" t="n">
        <x:v>2.54</x:v>
      </x:c>
      <x:c r="M722" s="1" t="n">
        <x:v>1</x:v>
      </x:c>
      <x:c r="N722" s="6" t="n">
        <x:v>0.858</x:v>
      </x:c>
      <x:c r="O722" s="1" t="str">
        <x:v>합격</x:v>
      </x:c>
      <x:c r="P722" s="1"/>
      <x:c r="Q722" s="1" t="n">
        <x:v>41</x:v>
      </x:c>
      <x:c r="R722" s="1" t="str">
        <x:v>N</x:v>
      </x:c>
      <x:c r="S722" s="1" t="n">
        <x:v>0</x:v>
      </x:c>
      <x:c r="T722" s="1" t="str">
        <x:v>합격</x:v>
      </x:c>
    </x:row>
    <x:row r="723" ht="22" customHeight="1">
      <x:c r="A723" s="1" t="str">
        <x:v>R00722</x:v>
      </x:c>
      <x:c r="B723" s="4" t="n">
        <x:v>46212.512870370374</x:v>
      </x:c>
      <x:c r="C723" s="1" t="str">
        <x:v>주간</x:v>
      </x:c>
      <x:c r="D723" s="1" t="str">
        <x:v>L2</x:v>
      </x:c>
      <x:c r="E723" s="1" t="str">
        <x:v>P2</x:v>
      </x:c>
      <x:c r="F723" s="1" t="str">
        <x:v>M04</x:v>
      </x:c>
      <x:c r="G723" s="1" t="str">
        <x:v>G02</x:v>
      </x:c>
      <x:c r="H723" s="5" t="n">
        <x:v>32.48</x:v>
      </x:c>
      <x:c r="I723" s="5" t="n">
        <x:v>5.99</x:v>
      </x:c>
      <x:c r="J723" s="5" t="n">
        <x:v>49.1</x:v>
      </x:c>
      <x:c r="K723" s="5" t="n">
        <x:v>40.5</x:v>
      </x:c>
      <x:c r="L723" s="5" t="n">
        <x:v>2.13</x:v>
      </x:c>
      <x:c r="M723" s="1" t="n">
        <x:v>1</x:v>
      </x:c>
      <x:c r="N723" s="6" t="n">
        <x:v>0.935</x:v>
      </x:c>
      <x:c r="O723" s="1" t="str">
        <x:v>합격</x:v>
      </x:c>
      <x:c r="P723" s="1"/>
      <x:c r="Q723" s="1" t="n">
        <x:v>43</x:v>
      </x:c>
      <x:c r="R723" s="1" t="str">
        <x:v>N</x:v>
      </x:c>
      <x:c r="S723" s="1" t="n">
        <x:v>0</x:v>
      </x:c>
      <x:c r="T723" s="1" t="str">
        <x:v>합격</x:v>
      </x:c>
    </x:row>
    <x:row r="724" ht="22" customHeight="1">
      <x:c r="A724" s="1" t="str">
        <x:v>R00723</x:v>
      </x:c>
      <x:c r="B724" s="4" t="n">
        <x:v>46213.33793981482</x:v>
      </x:c>
      <x:c r="C724" s="1" t="str">
        <x:v>주간</x:v>
      </x:c>
      <x:c r="D724" s="1" t="str">
        <x:v>L1</x:v>
      </x:c>
      <x:c r="E724" s="1" t="str">
        <x:v>P1</x:v>
      </x:c>
      <x:c r="F724" s="1" t="str">
        <x:v>M01</x:v>
      </x:c>
      <x:c r="G724" s="1" t="str">
        <x:v>G03</x:v>
      </x:c>
      <x:c r="H724" s="5" t="n">
        <x:v>28.33</x:v>
      </x:c>
      <x:c r="I724" s="5" t="n">
        <x:v>5.67</x:v>
      </x:c>
      <x:c r="J724" s="5" t="n">
        <x:v>56.8</x:v>
      </x:c>
      <x:c r="K724" s="5" t="n">
        <x:v>41.2</x:v>
      </x:c>
      <x:c r="L724" s="5" t="n">
        <x:v>1.38</x:v>
      </x:c>
      <x:c r="M724" s="1" t="n">
        <x:v>0</x:v>
      </x:c>
      <x:c r="N724" s="6" t="n">
        <x:v>0.982</x:v>
      </x:c>
      <x:c r="O724" s="1" t="str">
        <x:v>합격</x:v>
      </x:c>
      <x:c r="P724" s="1"/>
      <x:c r="Q724" s="1" t="n">
        <x:v>47</x:v>
      </x:c>
      <x:c r="R724" s="1" t="str">
        <x:v>N</x:v>
      </x:c>
      <x:c r="S724" s="1" t="n">
        <x:v>0</x:v>
      </x:c>
      <x:c r="T724" s="1" t="str">
        <x:v>합격</x:v>
      </x:c>
    </x:row>
    <x:row r="725" ht="22" customHeight="1">
      <x:c r="A725" s="1" t="str">
        <x:v>R00724</x:v>
      </x:c>
      <x:c r="B725" s="4" t="n">
        <x:v>46214.83799768519</x:v>
      </x:c>
      <x:c r="C725" s="1" t="str">
        <x:v>야간</x:v>
      </x:c>
      <x:c r="D725" s="1" t="str">
        <x:v>L1</x:v>
      </x:c>
      <x:c r="E725" s="1" t="str">
        <x:v>P1</x:v>
      </x:c>
      <x:c r="F725" s="1" t="str">
        <x:v>M04</x:v>
      </x:c>
      <x:c r="G725" s="1" t="str">
        <x:v>G04</x:v>
      </x:c>
      <x:c r="H725" s="5" t="n">
        <x:v>32.02</x:v>
      </x:c>
      <x:c r="I725" s="5" t="n">
        <x:v>5.81</x:v>
      </x:c>
      <x:c r="J725" s="5" t="n">
        <x:v>48.9</x:v>
      </x:c>
      <x:c r="K725" s="5" t="n">
        <x:v>41.6</x:v>
      </x:c>
      <x:c r="L725" s="5" t="n">
        <x:v>1.32</x:v>
      </x:c>
      <x:c r="M725" s="1" t="n">
        <x:v>0</x:v>
      </x:c>
      <x:c r="N725" s="6" t="n">
        <x:v>0.963</x:v>
      </x:c>
      <x:c r="O725" s="1" t="str">
        <x:v>합격</x:v>
      </x:c>
      <x:c r="P725" s="1"/>
      <x:c r="Q725" s="1" t="n">
        <x:v>37</x:v>
      </x:c>
      <x:c r="R725" s="1" t="str">
        <x:v>N</x:v>
      </x:c>
      <x:c r="S725" s="1" t="n">
        <x:v>0</x:v>
      </x:c>
      <x:c r="T725" s="1" t="str">
        <x:v>합격</x:v>
      </x:c>
    </x:row>
    <x:row r="726" ht="22" customHeight="1">
      <x:c r="A726" s="1" t="str">
        <x:v>R00725</x:v>
      </x:c>
      <x:c r="B726" s="4" t="n">
        <x:v>46215.04484953704</x:v>
      </x:c>
      <x:c r="C726" s="1" t="str">
        <x:v>야간</x:v>
      </x:c>
      <x:c r="D726" s="1" t="str">
        <x:v>L2</x:v>
      </x:c>
      <x:c r="E726" s="1" t="str">
        <x:v>P2</x:v>
      </x:c>
      <x:c r="F726" s="1" t="str">
        <x:v>M04</x:v>
      </x:c>
      <x:c r="G726" s="1" t="str">
        <x:v>G05</x:v>
      </x:c>
      <x:c r="H726" s="5" t="n">
        <x:v>33.4</x:v>
      </x:c>
      <x:c r="I726" s="5" t="n">
        <x:v>5.68</x:v>
      </x:c>
      <x:c r="J726" s="5" t="n">
        <x:v>58.3</x:v>
      </x:c>
      <x:c r="K726" s="5" t="n">
        <x:v>35.9</x:v>
      </x:c>
      <x:c r="L726" s="5" t="n">
        <x:v>1.88</x:v>
      </x:c>
      <x:c r="M726" s="1" t="n">
        <x:v>0</x:v>
      </x:c>
      <x:c r="N726" s="6" t="n">
        <x:v>0.934</x:v>
      </x:c>
      <x:c r="O726" s="1" t="str">
        <x:v>불합격</x:v>
      </x:c>
      <x:c r="P726" s="1" t="str">
        <x:v>치수불량</x:v>
      </x:c>
      <x:c r="Q726" s="1" t="n">
        <x:v>44</x:v>
      </x:c>
      <x:c r="R726" s="1" t="str">
        <x:v>Y</x:v>
      </x:c>
      <x:c r="S726" s="1" t="n">
        <x:v>9</x:v>
      </x:c>
      <x:c r="T726" s="1" t="str">
        <x:v>재작업후합격</x:v>
      </x:c>
    </x:row>
    <x:row r="727" ht="22" customHeight="1">
      <x:c r="A727" s="1" t="str">
        <x:v>R00726</x:v>
      </x:c>
      <x:c r="B727" s="4" t="n">
        <x:v>46216.983148148145</x:v>
      </x:c>
      <x:c r="C727" s="1" t="str">
        <x:v>야간</x:v>
      </x:c>
      <x:c r="D727" s="1" t="str">
        <x:v>L1</x:v>
      </x:c>
      <x:c r="E727" s="1" t="str">
        <x:v>P1</x:v>
      </x:c>
      <x:c r="F727" s="1" t="str">
        <x:v>M04</x:v>
      </x:c>
      <x:c r="G727" s="1" t="str">
        <x:v>G06</x:v>
      </x:c>
      <x:c r="H727" s="5" t="n">
        <x:v>32.41</x:v>
      </x:c>
      <x:c r="I727" s="5" t="n">
        <x:v>5.73</x:v>
      </x:c>
      <x:c r="J727" s="5" t="n">
        <x:v>57.5</x:v>
      </x:c>
      <x:c r="K727" s="5" t="n">
        <x:v>41.4</x:v>
      </x:c>
      <x:c r="L727" s="5" t="n">
        <x:v>2.14</x:v>
      </x:c>
      <x:c r="M727" s="1" t="n">
        <x:v>0</x:v>
      </x:c>
      <x:c r="N727" s="6" t="n">
        <x:v>0.979</x:v>
      </x:c>
      <x:c r="O727" s="1" t="str">
        <x:v>합격</x:v>
      </x:c>
      <x:c r="P727" s="1"/>
      <x:c r="Q727" s="1" t="n">
        <x:v>47</x:v>
      </x:c>
      <x:c r="R727" s="1" t="str">
        <x:v>N</x:v>
      </x:c>
      <x:c r="S727" s="1" t="n">
        <x:v>0</x:v>
      </x:c>
      <x:c r="T727" s="1" t="str">
        <x:v>합격</x:v>
      </x:c>
    </x:row>
    <x:row r="728" ht="22" customHeight="1">
      <x:c r="A728" s="1" t="str">
        <x:v>R00727</x:v>
      </x:c>
      <x:c r="B728" s="4" t="n">
        <x:v>46217.64244212963</x:v>
      </x:c>
      <x:c r="C728" s="1" t="str">
        <x:v>주간</x:v>
      </x:c>
      <x:c r="D728" s="1" t="str">
        <x:v>L2</x:v>
      </x:c>
      <x:c r="E728" s="1" t="str">
        <x:v>P2</x:v>
      </x:c>
      <x:c r="F728" s="1" t="str">
        <x:v>M02</x:v>
      </x:c>
      <x:c r="G728" s="1" t="str">
        <x:v>G01</x:v>
      </x:c>
      <x:c r="H728" s="5" t="n">
        <x:v>32.77</x:v>
      </x:c>
      <x:c r="I728" s="5" t="n">
        <x:v>5.74</x:v>
      </x:c>
      <x:c r="J728" s="5" t="n">
        <x:v>50.2</x:v>
      </x:c>
      <x:c r="K728" s="5" t="n">
        <x:v>36.7</x:v>
      </x:c>
      <x:c r="L728" s="5" t="n">
        <x:v>2.35</x:v>
      </x:c>
      <x:c r="M728" s="1" t="n">
        <x:v>1</x:v>
      </x:c>
      <x:c r="N728" s="6" t="n">
        <x:v>1.02</x:v>
      </x:c>
      <x:c r="O728" s="1" t="str">
        <x:v>합격</x:v>
      </x:c>
      <x:c r="P728" s="1"/>
      <x:c r="Q728" s="1" t="n">
        <x:v>49</x:v>
      </x:c>
      <x:c r="R728" s="1" t="str">
        <x:v>N</x:v>
      </x:c>
      <x:c r="S728" s="1" t="n">
        <x:v>0</x:v>
      </x:c>
      <x:c r="T728" s="1" t="str">
        <x:v>합격</x:v>
      </x:c>
    </x:row>
    <x:row r="729" ht="22" customHeight="1">
      <x:c r="A729" s="1" t="str">
        <x:v>R00728</x:v>
      </x:c>
      <x:c r="B729" s="4" t="n">
        <x:v>46218.49659722222</x:v>
      </x:c>
      <x:c r="C729" s="1" t="str">
        <x:v>주간</x:v>
      </x:c>
      <x:c r="D729" s="1" t="str">
        <x:v>L2</x:v>
      </x:c>
      <x:c r="E729" s="1" t="str">
        <x:v>P2</x:v>
      </x:c>
      <x:c r="F729" s="1" t="str">
        <x:v>M04</x:v>
      </x:c>
      <x:c r="G729" s="1" t="str">
        <x:v>G02</x:v>
      </x:c>
      <x:c r="H729" s="5" t="n">
        <x:v>30.45</x:v>
      </x:c>
      <x:c r="I729" s="5" t="n">
        <x:v>5.69</x:v>
      </x:c>
      <x:c r="J729" s="5" t="n">
        <x:v>48.8</x:v>
      </x:c>
      <x:c r="K729" s="5" t="n">
        <x:v>38.9</x:v>
      </x:c>
      <x:c r="L729" s="5" t="n">
        <x:v>1.79</x:v>
      </x:c>
      <x:c r="M729" s="1" t="n">
        <x:v>0</x:v>
      </x:c>
      <x:c r="N729" s="6" t="n">
        <x:v>1.046</x:v>
      </x:c>
      <x:c r="O729" s="1" t="str">
        <x:v>합격</x:v>
      </x:c>
      <x:c r="P729" s="1"/>
      <x:c r="Q729" s="1" t="n">
        <x:v>47</x:v>
      </x:c>
      <x:c r="R729" s="1" t="str">
        <x:v>N</x:v>
      </x:c>
      <x:c r="S729" s="1" t="n">
        <x:v>0</x:v>
      </x:c>
      <x:c r="T729" s="1" t="str">
        <x:v>합격</x:v>
      </x:c>
    </x:row>
    <x:row r="730" ht="22" customHeight="1">
      <x:c r="A730" s="1" t="str">
        <x:v>R00729</x:v>
      </x:c>
      <x:c r="B730" s="4" t="n">
        <x:v>46219.86471064815</x:v>
      </x:c>
      <x:c r="C730" s="1" t="str">
        <x:v>야간</x:v>
      </x:c>
      <x:c r="D730" s="1" t="str">
        <x:v>L1</x:v>
      </x:c>
      <x:c r="E730" s="1" t="str">
        <x:v>P1</x:v>
      </x:c>
      <x:c r="F730" s="1" t="str">
        <x:v>M04</x:v>
      </x:c>
      <x:c r="G730" s="1" t="str">
        <x:v>G03</x:v>
      </x:c>
      <x:c r="H730" s="5" t="n">
        <x:v>28.2</x:v>
      </x:c>
      <x:c r="I730" s="5" t="n">
        <x:v>5.71</x:v>
      </x:c>
      <x:c r="J730" s="5" t="n">
        <x:v>52.5</x:v>
      </x:c>
      <x:c r="K730" s="5" t="n">
        <x:v>39.5</x:v>
      </x:c>
      <x:c r="L730" s="5" t="n">
        <x:v>2.32</x:v>
      </x:c>
      <x:c r="M730" s="1" t="n">
        <x:v>0</x:v>
      </x:c>
      <x:c r="N730" s="6" t="n">
        <x:v>1.014</x:v>
      </x:c>
      <x:c r="O730" s="1" t="str">
        <x:v>합격</x:v>
      </x:c>
      <x:c r="P730" s="1"/>
      <x:c r="Q730" s="1" t="n">
        <x:v>38</x:v>
      </x:c>
      <x:c r="R730" s="1" t="str">
        <x:v>N</x:v>
      </x:c>
      <x:c r="S730" s="1" t="n">
        <x:v>0</x:v>
      </x:c>
      <x:c r="T730" s="1" t="str">
        <x:v>합격</x:v>
      </x:c>
    </x:row>
    <x:row r="731" ht="22" customHeight="1">
      <x:c r="A731" s="1" t="str">
        <x:v>R00730</x:v>
      </x:c>
      <x:c r="B731" s="4" t="n">
        <x:v>46220.9812962963</x:v>
      </x:c>
      <x:c r="C731" s="1" t="str">
        <x:v>야간</x:v>
      </x:c>
      <x:c r="D731" s="1" t="str">
        <x:v>L1</x:v>
      </x:c>
      <x:c r="E731" s="1" t="str">
        <x:v>P1</x:v>
      </x:c>
      <x:c r="F731" s="1" t="str">
        <x:v>M04</x:v>
      </x:c>
      <x:c r="G731" s="1" t="str">
        <x:v>G04</x:v>
      </x:c>
      <x:c r="H731" s="5" t="n">
        <x:v>31.47</x:v>
      </x:c>
      <x:c r="I731" s="5" t="n">
        <x:v>5.9</x:v>
      </x:c>
      <x:c r="J731" s="5" t="n">
        <x:v>58.7</x:v>
      </x:c>
      <x:c r="K731" s="5" t="n">
        <x:v>38.1</x:v>
      </x:c>
      <x:c r="L731" s="5" t="n">
        <x:v>1.84</x:v>
      </x:c>
      <x:c r="M731" s="1" t="n">
        <x:v>1</x:v>
      </x:c>
      <x:c r="N731" s="6" t="n">
        <x:v>0.907</x:v>
      </x:c>
      <x:c r="O731" s="1" t="str">
        <x:v>합격</x:v>
      </x:c>
      <x:c r="P731" s="1"/>
      <x:c r="Q731" s="1" t="n">
        <x:v>45</x:v>
      </x:c>
      <x:c r="R731" s="1" t="str">
        <x:v>N</x:v>
      </x:c>
      <x:c r="S731" s="1" t="n">
        <x:v>0</x:v>
      </x:c>
      <x:c r="T731" s="1" t="str">
        <x:v>합격</x:v>
      </x:c>
    </x:row>
    <x:row r="732" ht="22" customHeight="1">
      <x:c r="A732" s="1" t="str">
        <x:v>R00731</x:v>
      </x:c>
      <x:c r="B732" s="4" t="n">
        <x:v>46221.39524305556</x:v>
      </x:c>
      <x:c r="C732" s="1" t="str">
        <x:v>주간</x:v>
      </x:c>
      <x:c r="D732" s="1" t="str">
        <x:v>L1</x:v>
      </x:c>
      <x:c r="E732" s="1" t="str">
        <x:v>P1</x:v>
      </x:c>
      <x:c r="F732" s="1" t="str">
        <x:v>M03</x:v>
      </x:c>
      <x:c r="G732" s="1" t="str">
        <x:v>G05</x:v>
      </x:c>
      <x:c r="H732" s="5" t="n">
        <x:v>32.68</x:v>
      </x:c>
      <x:c r="I732" s="5" t="n">
        <x:v>5.88</x:v>
      </x:c>
      <x:c r="J732" s="5" t="n">
        <x:v>53.8</x:v>
      </x:c>
      <x:c r="K732" s="5" t="n">
        <x:v>36.6</x:v>
      </x:c>
      <x:c r="L732" s="5" t="n">
        <x:v>2.53</x:v>
      </x:c>
      <x:c r="M732" s="1" t="n">
        <x:v>1</x:v>
      </x:c>
      <x:c r="N732" s="6" t="n">
        <x:v>1.023</x:v>
      </x:c>
      <x:c r="O732" s="1" t="str">
        <x:v>합격</x:v>
      </x:c>
      <x:c r="P732" s="1"/>
      <x:c r="Q732" s="1" t="n">
        <x:v>47</x:v>
      </x:c>
      <x:c r="R732" s="1" t="str">
        <x:v>N</x:v>
      </x:c>
      <x:c r="S732" s="1" t="n">
        <x:v>0</x:v>
      </x:c>
      <x:c r="T732" s="1" t="str">
        <x:v>합격</x:v>
      </x:c>
    </x:row>
    <x:row r="733" ht="22" customHeight="1">
      <x:c r="A733" s="1" t="str">
        <x:v>R00732</x:v>
      </x:c>
      <x:c r="B733" s="4" t="n">
        <x:v>46222.92300925926</x:v>
      </x:c>
      <x:c r="C733" s="1" t="str">
        <x:v>야간</x:v>
      </x:c>
      <x:c r="D733" s="1" t="str">
        <x:v>L1</x:v>
      </x:c>
      <x:c r="E733" s="1" t="str">
        <x:v>P1</x:v>
      </x:c>
      <x:c r="F733" s="1" t="str">
        <x:v>M03</x:v>
      </x:c>
      <x:c r="G733" s="1" t="str">
        <x:v>G06</x:v>
      </x:c>
      <x:c r="H733" s="5" t="n">
        <x:v>25.96</x:v>
      </x:c>
      <x:c r="I733" s="5" t="n">
        <x:v>5.78</x:v>
      </x:c>
      <x:c r="J733" s="5" t="n">
        <x:v>51.5</x:v>
      </x:c>
      <x:c r="K733" s="5" t="n">
        <x:v>36</x:v>
      </x:c>
      <x:c r="L733" s="5" t="n">
        <x:v>1.72</x:v>
      </x:c>
      <x:c r="M733" s="1" t="n">
        <x:v>1</x:v>
      </x:c>
      <x:c r="N733" s="6" t="n">
        <x:v>0.87</x:v>
      </x:c>
      <x:c r="O733" s="1" t="str">
        <x:v>합격</x:v>
      </x:c>
      <x:c r="P733" s="1"/>
      <x:c r="Q733" s="1" t="n">
        <x:v>43</x:v>
      </x:c>
      <x:c r="R733" s="1" t="str">
        <x:v>N</x:v>
      </x:c>
      <x:c r="S733" s="1" t="n">
        <x:v>0</x:v>
      </x:c>
      <x:c r="T733" s="1" t="str">
        <x:v>합격</x:v>
      </x:c>
    </x:row>
    <x:row r="734" ht="22" customHeight="1">
      <x:c r="A734" s="1" t="str">
        <x:v>R00733</x:v>
      </x:c>
      <x:c r="B734" s="4" t="n">
        <x:v>46223.660625</x:v>
      </x:c>
      <x:c r="C734" s="1" t="str">
        <x:v>주간</x:v>
      </x:c>
      <x:c r="D734" s="1" t="str">
        <x:v>L2</x:v>
      </x:c>
      <x:c r="E734" s="1" t="str">
        <x:v>P2</x:v>
      </x:c>
      <x:c r="F734" s="1" t="str">
        <x:v>M04</x:v>
      </x:c>
      <x:c r="G734" s="1" t="str">
        <x:v>G01</x:v>
      </x:c>
      <x:c r="H734" s="5" t="n">
        <x:v>30.44</x:v>
      </x:c>
      <x:c r="I734" s="5" t="n">
        <x:v>5.98</x:v>
      </x:c>
      <x:c r="J734" s="5" t="n">
        <x:v>53.2</x:v>
      </x:c>
      <x:c r="K734" s="5" t="n">
        <x:v>37</x:v>
      </x:c>
      <x:c r="L734" s="5" t="n">
        <x:v>2.66</x:v>
      </x:c>
      <x:c r="M734" s="1" t="n">
        <x:v>0</x:v>
      </x:c>
      <x:c r="N734" s="6" t="n">
        <x:v>0.858</x:v>
      </x:c>
      <x:c r="O734" s="1" t="str">
        <x:v>합격</x:v>
      </x:c>
      <x:c r="P734" s="1"/>
      <x:c r="Q734" s="1" t="n">
        <x:v>47</x:v>
      </x:c>
      <x:c r="R734" s="1" t="str">
        <x:v>N</x:v>
      </x:c>
      <x:c r="S734" s="1" t="n">
        <x:v>0</x:v>
      </x:c>
      <x:c r="T734" s="1" t="str">
        <x:v>합격</x:v>
      </x:c>
    </x:row>
    <x:row r="735" ht="22" customHeight="1">
      <x:c r="A735" s="1" t="str">
        <x:v>R00734</x:v>
      </x:c>
      <x:c r="B735" s="4" t="n">
        <x:v>46224.947905092595</x:v>
      </x:c>
      <x:c r="C735" s="1" t="str">
        <x:v>야간</x:v>
      </x:c>
      <x:c r="D735" s="1" t="str">
        <x:v>L2</x:v>
      </x:c>
      <x:c r="E735" s="1" t="str">
        <x:v>P2</x:v>
      </x:c>
      <x:c r="F735" s="1" t="str">
        <x:v>M01</x:v>
      </x:c>
      <x:c r="G735" s="1" t="str">
        <x:v>G02</x:v>
      </x:c>
      <x:c r="H735" s="5" t="n">
        <x:v>29.23</x:v>
      </x:c>
      <x:c r="I735" s="5" t="n">
        <x:v>5.81</x:v>
      </x:c>
      <x:c r="J735" s="5" t="n">
        <x:v>50.1</x:v>
      </x:c>
      <x:c r="K735" s="5" t="n">
        <x:v>37.4</x:v>
      </x:c>
      <x:c r="L735" s="5" t="n">
        <x:v>1.42</x:v>
      </x:c>
      <x:c r="M735" s="1" t="n">
        <x:v>0</x:v>
      </x:c>
      <x:c r="N735" s="6" t="n">
        <x:v>0.912</x:v>
      </x:c>
      <x:c r="O735" s="1" t="str">
        <x:v>합격</x:v>
      </x:c>
      <x:c r="P735" s="1"/>
      <x:c r="Q735" s="1" t="n">
        <x:v>38</x:v>
      </x:c>
      <x:c r="R735" s="1" t="str">
        <x:v>N</x:v>
      </x:c>
      <x:c r="S735" s="1" t="n">
        <x:v>0</x:v>
      </x:c>
      <x:c r="T735" s="1" t="str">
        <x:v>합격</x:v>
      </x:c>
    </x:row>
    <x:row r="736" ht="22" customHeight="1">
      <x:c r="A736" s="1" t="str">
        <x:v>R00735</x:v>
      </x:c>
      <x:c r="B736" s="4" t="n">
        <x:v>46225.95940972222</x:v>
      </x:c>
      <x:c r="C736" s="1" t="str">
        <x:v>야간</x:v>
      </x:c>
      <x:c r="D736" s="1" t="str">
        <x:v>L1</x:v>
      </x:c>
      <x:c r="E736" s="1" t="str">
        <x:v>P1</x:v>
      </x:c>
      <x:c r="F736" s="1" t="str">
        <x:v>M04</x:v>
      </x:c>
      <x:c r="G736" s="1" t="str">
        <x:v>G03</x:v>
      </x:c>
      <x:c r="H736" s="5" t="n">
        <x:v>29.22</x:v>
      </x:c>
      <x:c r="I736" s="5" t="n">
        <x:v>5.7</x:v>
      </x:c>
      <x:c r="J736" s="5" t="n">
        <x:v>49.3</x:v>
      </x:c>
      <x:c r="K736" s="5" t="n">
        <x:v>40.2</x:v>
      </x:c>
      <x:c r="L736" s="5" t="n">
        <x:v>1.6</x:v>
      </x:c>
      <x:c r="M736" s="1" t="n">
        <x:v>0</x:v>
      </x:c>
      <x:c r="N736" s="6" t="n">
        <x:v>0.98</x:v>
      </x:c>
      <x:c r="O736" s="1" t="str">
        <x:v>합격</x:v>
      </x:c>
      <x:c r="P736" s="1"/>
      <x:c r="Q736" s="1" t="n">
        <x:v>44</x:v>
      </x:c>
      <x:c r="R736" s="1" t="str">
        <x:v>N</x:v>
      </x:c>
      <x:c r="S736" s="1" t="n">
        <x:v>0</x:v>
      </x:c>
      <x:c r="T736" s="1" t="str">
        <x:v>합격</x:v>
      </x:c>
    </x:row>
    <x:row r="737" ht="22" customHeight="1">
      <x:c r="A737" s="1" t="str">
        <x:v>R00736</x:v>
      </x:c>
      <x:c r="B737" s="4" t="n">
        <x:v>46226.38402777778</x:v>
      </x:c>
      <x:c r="C737" s="1" t="str">
        <x:v>주간</x:v>
      </x:c>
      <x:c r="D737" s="1" t="str">
        <x:v>L1</x:v>
      </x:c>
      <x:c r="E737" s="1" t="str">
        <x:v>P1</x:v>
      </x:c>
      <x:c r="F737" s="1" t="str">
        <x:v>M03</x:v>
      </x:c>
      <x:c r="G737" s="1" t="str">
        <x:v>G04</x:v>
      </x:c>
      <x:c r="H737" s="5" t="n">
        <x:v>32.05</x:v>
      </x:c>
      <x:c r="I737" s="5" t="n">
        <x:v>5.68</x:v>
      </x:c>
      <x:c r="J737" s="5" t="n">
        <x:v>51.6</x:v>
      </x:c>
      <x:c r="K737" s="5" t="n">
        <x:v>41.3</x:v>
      </x:c>
      <x:c r="L737" s="5" t="n">
        <x:v>1.4</x:v>
      </x:c>
      <x:c r="M737" s="1" t="n">
        <x:v>1</x:v>
      </x:c>
      <x:c r="N737" s="6" t="n">
        <x:v>0.98</x:v>
      </x:c>
      <x:c r="O737" s="1" t="str">
        <x:v>합격</x:v>
      </x:c>
      <x:c r="P737" s="1"/>
      <x:c r="Q737" s="1" t="n">
        <x:v>47</x:v>
      </x:c>
      <x:c r="R737" s="1" t="str">
        <x:v>N</x:v>
      </x:c>
      <x:c r="S737" s="1" t="n">
        <x:v>0</x:v>
      </x:c>
      <x:c r="T737" s="1" t="str">
        <x:v>합격</x:v>
      </x:c>
    </x:row>
    <x:row r="738" ht="22" customHeight="1">
      <x:c r="A738" s="1" t="str">
        <x:v>R00737</x:v>
      </x:c>
      <x:c r="B738" s="4" t="n">
        <x:v>46227.335810185185</x:v>
      </x:c>
      <x:c r="C738" s="1" t="str">
        <x:v>주간</x:v>
      </x:c>
      <x:c r="D738" s="1" t="str">
        <x:v>L2</x:v>
      </x:c>
      <x:c r="E738" s="1" t="str">
        <x:v>P2</x:v>
      </x:c>
      <x:c r="F738" s="1" t="str">
        <x:v>M04</x:v>
      </x:c>
      <x:c r="G738" s="1" t="str">
        <x:v>G05</x:v>
      </x:c>
      <x:c r="H738" s="5" t="n">
        <x:v>31.97</x:v>
      </x:c>
      <x:c r="I738" s="5" t="n">
        <x:v>5.6</x:v>
      </x:c>
      <x:c r="J738" s="5" t="n">
        <x:v>47.3</x:v>
      </x:c>
      <x:c r="K738" s="5" t="n">
        <x:v>39</x:v>
      </x:c>
      <x:c r="L738" s="5" t="n">
        <x:v>2.17</x:v>
      </x:c>
      <x:c r="M738" s="1" t="n">
        <x:v>1</x:v>
      </x:c>
      <x:c r="N738" s="6" t="n">
        <x:v>0.978</x:v>
      </x:c>
      <x:c r="O738" s="1" t="str">
        <x:v>합격</x:v>
      </x:c>
      <x:c r="P738" s="1"/>
      <x:c r="Q738" s="1" t="n">
        <x:v>35</x:v>
      </x:c>
      <x:c r="R738" s="1" t="str">
        <x:v>N</x:v>
      </x:c>
      <x:c r="S738" s="1" t="n">
        <x:v>0</x:v>
      </x:c>
      <x:c r="T738" s="1" t="str">
        <x:v>합격</x:v>
      </x:c>
    </x:row>
    <x:row r="739" ht="22" customHeight="1">
      <x:c r="A739" s="1" t="str">
        <x:v>R00738</x:v>
      </x:c>
      <x:c r="B739" s="4" t="n">
        <x:v>46228.647199074076</x:v>
      </x:c>
      <x:c r="C739" s="1" t="str">
        <x:v>주간</x:v>
      </x:c>
      <x:c r="D739" s="1" t="str">
        <x:v>L1</x:v>
      </x:c>
      <x:c r="E739" s="1" t="str">
        <x:v>P1</x:v>
      </x:c>
      <x:c r="F739" s="1" t="str">
        <x:v>M01</x:v>
      </x:c>
      <x:c r="G739" s="1" t="str">
        <x:v>G06</x:v>
      </x:c>
      <x:c r="H739" s="5" t="n">
        <x:v>28.44</x:v>
      </x:c>
      <x:c r="I739" s="5" t="n">
        <x:v>5.63</x:v>
      </x:c>
      <x:c r="J739" s="5" t="n">
        <x:v>54.3</x:v>
      </x:c>
      <x:c r="K739" s="5" t="n">
        <x:v>40.3</x:v>
      </x:c>
      <x:c r="L739" s="5" t="n">
        <x:v>2.27</x:v>
      </x:c>
      <x:c r="M739" s="1" t="n">
        <x:v>0</x:v>
      </x:c>
      <x:c r="N739" s="6" t="n">
        <x:v>0.88</x:v>
      </x:c>
      <x:c r="O739" s="1" t="str">
        <x:v>합격</x:v>
      </x:c>
      <x:c r="P739" s="1"/>
      <x:c r="Q739" s="1" t="n">
        <x:v>49</x:v>
      </x:c>
      <x:c r="R739" s="1" t="str">
        <x:v>N</x:v>
      </x:c>
      <x:c r="S739" s="1" t="n">
        <x:v>0</x:v>
      </x:c>
      <x:c r="T739" s="1" t="str">
        <x:v>합격</x:v>
      </x:c>
    </x:row>
    <x:row r="740" ht="22" customHeight="1">
      <x:c r="A740" s="1" t="str">
        <x:v>R00739</x:v>
      </x:c>
      <x:c r="B740" s="4" t="n">
        <x:v>46229.65320601852</x:v>
      </x:c>
      <x:c r="C740" s="1" t="str">
        <x:v>주간</x:v>
      </x:c>
      <x:c r="D740" s="1" t="str">
        <x:v>L2</x:v>
      </x:c>
      <x:c r="E740" s="1" t="str">
        <x:v>P2</x:v>
      </x:c>
      <x:c r="F740" s="1" t="str">
        <x:v>M04</x:v>
      </x:c>
      <x:c r="G740" s="1" t="str">
        <x:v>G01</x:v>
      </x:c>
      <x:c r="H740" s="5" t="n">
        <x:v>32.29</x:v>
      </x:c>
      <x:c r="I740" s="5" t="n">
        <x:v>5.81</x:v>
      </x:c>
      <x:c r="J740" s="5" t="n">
        <x:v>48.9</x:v>
      </x:c>
      <x:c r="K740" s="5" t="n">
        <x:v>35.9</x:v>
      </x:c>
      <x:c r="L740" s="5" t="n">
        <x:v>1.59</x:v>
      </x:c>
      <x:c r="M740" s="1" t="n">
        <x:v>1</x:v>
      </x:c>
      <x:c r="N740" s="6" t="n">
        <x:v>1.01</x:v>
      </x:c>
      <x:c r="O740" s="1" t="str">
        <x:v>합격</x:v>
      </x:c>
      <x:c r="P740" s="1"/>
      <x:c r="Q740" s="1" t="n">
        <x:v>43</x:v>
      </x:c>
      <x:c r="R740" s="1" t="str">
        <x:v>N</x:v>
      </x:c>
      <x:c r="S740" s="1" t="n">
        <x:v>0</x:v>
      </x:c>
      <x:c r="T740" s="1" t="str">
        <x:v>합격</x:v>
      </x:c>
    </x:row>
    <x:row r="741" ht="22" customHeight="1">
      <x:c r="A741" s="1" t="str">
        <x:v>R00740</x:v>
      </x:c>
      <x:c r="B741" s="4" t="n">
        <x:v>46230.449849537035</x:v>
      </x:c>
      <x:c r="C741" s="1" t="str">
        <x:v>주간</x:v>
      </x:c>
      <x:c r="D741" s="1" t="str">
        <x:v>L2</x:v>
      </x:c>
      <x:c r="E741" s="1" t="str">
        <x:v>P2</x:v>
      </x:c>
      <x:c r="F741" s="1" t="str">
        <x:v>M02</x:v>
      </x:c>
      <x:c r="G741" s="1" t="str">
        <x:v>G02</x:v>
      </x:c>
      <x:c r="H741" s="5"/>
      <x:c r="I741" s="5" t="n">
        <x:v>5.73</x:v>
      </x:c>
      <x:c r="J741" s="5" t="n">
        <x:v>55.9</x:v>
      </x:c>
      <x:c r="K741" s="5" t="n">
        <x:v>37.1</x:v>
      </x:c>
      <x:c r="L741" s="5" t="n">
        <x:v>1.7</x:v>
      </x:c>
      <x:c r="M741" s="1" t="n">
        <x:v>1</x:v>
      </x:c>
      <x:c r="N741" s="6" t="n">
        <x:v>1</x:v>
      </x:c>
      <x:c r="O741" s="1" t="str">
        <x:v>합격</x:v>
      </x:c>
      <x:c r="P741" s="1"/>
      <x:c r="Q741" s="1" t="n">
        <x:v>48</x:v>
      </x:c>
      <x:c r="R741" s="1" t="str">
        <x:v>N</x:v>
      </x:c>
      <x:c r="S741" s="1" t="n">
        <x:v>0</x:v>
      </x:c>
      <x:c r="T741" s="1" t="str">
        <x:v>합격</x:v>
      </x:c>
    </x:row>
    <x:row r="742" ht="22" customHeight="1">
      <x:c r="A742" s="1" t="str">
        <x:v>R00741</x:v>
      </x:c>
      <x:c r="B742" s="4" t="n">
        <x:v>46231.94802083333</x:v>
      </x:c>
      <x:c r="C742" s="1" t="str">
        <x:v>야간</x:v>
      </x:c>
      <x:c r="D742" s="1" t="str">
        <x:v>L2</x:v>
      </x:c>
      <x:c r="E742" s="1" t="str">
        <x:v>P2</x:v>
      </x:c>
      <x:c r="F742" s="1" t="str">
        <x:v>M02</x:v>
      </x:c>
      <x:c r="G742" s="1" t="str">
        <x:v>G03</x:v>
      </x:c>
      <x:c r="H742" s="5" t="n">
        <x:v>30.16</x:v>
      </x:c>
      <x:c r="I742" s="5" t="n">
        <x:v>5.92</x:v>
      </x:c>
      <x:c r="J742" s="5" t="n">
        <x:v>57</x:v>
      </x:c>
      <x:c r="K742" s="5" t="n">
        <x:v>40</x:v>
      </x:c>
      <x:c r="L742" s="5" t="n">
        <x:v>2.22</x:v>
      </x:c>
      <x:c r="M742" s="1" t="n">
        <x:v>0</x:v>
      </x:c>
      <x:c r="N742" s="6" t="n">
        <x:v>1.002</x:v>
      </x:c>
      <x:c r="O742" s="1" t="str">
        <x:v>합격</x:v>
      </x:c>
      <x:c r="P742" s="1"/>
      <x:c r="Q742" s="1" t="n">
        <x:v>43</x:v>
      </x:c>
      <x:c r="R742" s="1" t="str">
        <x:v>N</x:v>
      </x:c>
      <x:c r="S742" s="1" t="n">
        <x:v>0</x:v>
      </x:c>
      <x:c r="T742" s="1" t="str">
        <x:v>합격</x:v>
      </x:c>
    </x:row>
    <x:row r="743" ht="22" customHeight="1">
      <x:c r="A743" s="1" t="str">
        <x:v>R00742</x:v>
      </x:c>
      <x:c r="B743" s="4" t="n">
        <x:v>46232.03501157407</x:v>
      </x:c>
      <x:c r="C743" s="1" t="str">
        <x:v>야간</x:v>
      </x:c>
      <x:c r="D743" s="1" t="str">
        <x:v>L1</x:v>
      </x:c>
      <x:c r="E743" s="1" t="str">
        <x:v>P1</x:v>
      </x:c>
      <x:c r="F743" s="1" t="str">
        <x:v>M03</x:v>
      </x:c>
      <x:c r="G743" s="1" t="str">
        <x:v>G04</x:v>
      </x:c>
      <x:c r="H743" s="5" t="n">
        <x:v>28.11</x:v>
      </x:c>
      <x:c r="I743" s="5" t="n">
        <x:v>5.88</x:v>
      </x:c>
      <x:c r="J743" s="5" t="n">
        <x:v>58.9</x:v>
      </x:c>
      <x:c r="K743" s="5" t="n">
        <x:v>39.7</x:v>
      </x:c>
      <x:c r="L743" s="5" t="n">
        <x:v>2.23</x:v>
      </x:c>
      <x:c r="M743" s="1" t="n">
        <x:v>1</x:v>
      </x:c>
      <x:c r="N743" s="6" t="n">
        <x:v>0.878</x:v>
      </x:c>
      <x:c r="O743" s="1" t="str">
        <x:v>합격</x:v>
      </x:c>
      <x:c r="P743" s="1"/>
      <x:c r="Q743" s="1" t="n">
        <x:v>42</x:v>
      </x:c>
      <x:c r="R743" s="1" t="str">
        <x:v>N</x:v>
      </x:c>
      <x:c r="S743" s="1" t="n">
        <x:v>0</x:v>
      </x:c>
      <x:c r="T743" s="1" t="str">
        <x:v>합격</x:v>
      </x:c>
    </x:row>
    <x:row r="744" ht="22" customHeight="1">
      <x:c r="A744" s="1" t="str">
        <x:v>R00743</x:v>
      </x:c>
      <x:c r="B744" s="4" t="n">
        <x:v>46233.04310185185</x:v>
      </x:c>
      <x:c r="C744" s="1" t="str">
        <x:v>야간</x:v>
      </x:c>
      <x:c r="D744" s="1" t="str">
        <x:v>L1</x:v>
      </x:c>
      <x:c r="E744" s="1" t="str">
        <x:v>P1</x:v>
      </x:c>
      <x:c r="F744" s="1" t="str">
        <x:v>M03</x:v>
      </x:c>
      <x:c r="G744" s="1" t="str">
        <x:v>G05</x:v>
      </x:c>
      <x:c r="H744" s="5" t="n">
        <x:v>33.41</x:v>
      </x:c>
      <x:c r="I744" s="5" t="n">
        <x:v>5.61</x:v>
      </x:c>
      <x:c r="J744" s="5" t="n">
        <x:v>52.8</x:v>
      </x:c>
      <x:c r="K744" s="5" t="n">
        <x:v>36.8</x:v>
      </x:c>
      <x:c r="L744" s="5" t="n">
        <x:v>2.04</x:v>
      </x:c>
      <x:c r="M744" s="1" t="n">
        <x:v>1</x:v>
      </x:c>
      <x:c r="N744" s="6" t="n">
        <x:v>0.965</x:v>
      </x:c>
      <x:c r="O744" s="1" t="str">
        <x:v>합격</x:v>
      </x:c>
      <x:c r="P744" s="1"/>
      <x:c r="Q744" s="1" t="n">
        <x:v>44</x:v>
      </x:c>
      <x:c r="R744" s="1" t="str">
        <x:v>N</x:v>
      </x:c>
      <x:c r="S744" s="1" t="n">
        <x:v>0</x:v>
      </x:c>
      <x:c r="T744" s="1" t="str">
        <x:v>합격</x:v>
      </x:c>
    </x:row>
    <x:row r="745" ht="22" customHeight="1">
      <x:c r="A745" s="1" t="str">
        <x:v>R00744</x:v>
      </x:c>
      <x:c r="B745" s="4" t="n">
        <x:v>46234.64755787037</x:v>
      </x:c>
      <x:c r="C745" s="1" t="str">
        <x:v>주간</x:v>
      </x:c>
      <x:c r="D745" s="1" t="str">
        <x:v>L2</x:v>
      </x:c>
      <x:c r="E745" s="1" t="str">
        <x:v>P2</x:v>
      </x:c>
      <x:c r="F745" s="1" t="str">
        <x:v>M02</x:v>
      </x:c>
      <x:c r="G745" s="1" t="str">
        <x:v>G06</x:v>
      </x:c>
      <x:c r="H745" s="5" t="n">
        <x:v>29.28</x:v>
      </x:c>
      <x:c r="I745" s="5" t="n">
        <x:v>5.62</x:v>
      </x:c>
      <x:c r="J745" s="5" t="n">
        <x:v>58.4</x:v>
      </x:c>
      <x:c r="K745" s="5" t="n">
        <x:v>38.3</x:v>
      </x:c>
      <x:c r="L745" s="5" t="n">
        <x:v>2.44</x:v>
      </x:c>
      <x:c r="M745" s="1" t="n">
        <x:v>1</x:v>
      </x:c>
      <x:c r="N745" s="6" t="n">
        <x:v>0.93</x:v>
      </x:c>
      <x:c r="O745" s="1" t="str">
        <x:v>합격</x:v>
      </x:c>
      <x:c r="P745" s="1"/>
      <x:c r="Q745" s="1" t="n">
        <x:v>38</x:v>
      </x:c>
      <x:c r="R745" s="1" t="str">
        <x:v>N</x:v>
      </x:c>
      <x:c r="S745" s="1" t="n">
        <x:v>0</x:v>
      </x:c>
      <x:c r="T745" s="1" t="str">
        <x:v>합격</x:v>
      </x:c>
    </x:row>
    <x:row r="746" ht="22" customHeight="1">
      <x:c r="A746" s="1" t="str">
        <x:v>R00745</x:v>
      </x:c>
      <x:c r="B746" s="4" t="n">
        <x:v>46204.03145833333</x:v>
      </x:c>
      <x:c r="C746" s="1" t="str">
        <x:v>야간</x:v>
      </x:c>
      <x:c r="D746" s="1" t="str">
        <x:v>L1</x:v>
      </x:c>
      <x:c r="E746" s="1" t="str">
        <x:v>P1</x:v>
      </x:c>
      <x:c r="F746" s="1" t="str">
        <x:v>M04</x:v>
      </x:c>
      <x:c r="G746" s="1" t="str">
        <x:v>G01</x:v>
      </x:c>
      <x:c r="H746" s="5" t="n">
        <x:v>28.04</x:v>
      </x:c>
      <x:c r="I746" s="5" t="n">
        <x:v>5.7</x:v>
      </x:c>
      <x:c r="J746" s="5" t="n">
        <x:v>58.3</x:v>
      </x:c>
      <x:c r="K746" s="5" t="n">
        <x:v>41</x:v>
      </x:c>
      <x:c r="L746" s="5" t="n">
        <x:v>2.56</x:v>
      </x:c>
      <x:c r="M746" s="1" t="n">
        <x:v>0</x:v>
      </x:c>
      <x:c r="N746" s="6" t="n">
        <x:v>1.017</x:v>
      </x:c>
      <x:c r="O746" s="1" t="str">
        <x:v>합격</x:v>
      </x:c>
      <x:c r="P746" s="1"/>
      <x:c r="Q746" s="1" t="n">
        <x:v>46</x:v>
      </x:c>
      <x:c r="R746" s="1" t="str">
        <x:v>N</x:v>
      </x:c>
      <x:c r="S746" s="1" t="n">
        <x:v>0</x:v>
      </x:c>
      <x:c r="T746" s="1" t="str">
        <x:v>합격</x:v>
      </x:c>
    </x:row>
    <x:row r="747" ht="22" customHeight="1">
      <x:c r="A747" s="1" t="str">
        <x:v>R00746</x:v>
      </x:c>
      <x:c r="B747" s="4" t="n">
        <x:v>46205.60585648148</x:v>
      </x:c>
      <x:c r="C747" s="1" t="str">
        <x:v>주간</x:v>
      </x:c>
      <x:c r="D747" s="1" t="str">
        <x:v>L2</x:v>
      </x:c>
      <x:c r="E747" s="1" t="str">
        <x:v>P2</x:v>
      </x:c>
      <x:c r="F747" s="1" t="str">
        <x:v>M04</x:v>
      </x:c>
      <x:c r="G747" s="1" t="str">
        <x:v>G02</x:v>
      </x:c>
      <x:c r="H747" s="5" t="n">
        <x:v>29.03</x:v>
      </x:c>
      <x:c r="I747" s="5" t="n">
        <x:v>6</x:v>
      </x:c>
      <x:c r="J747" s="5" t="n">
        <x:v>50.7</x:v>
      </x:c>
      <x:c r="K747" s="5" t="n">
        <x:v>35.2</x:v>
      </x:c>
      <x:c r="L747" s="5" t="n">
        <x:v>2.59</x:v>
      </x:c>
      <x:c r="M747" s="1" t="n">
        <x:v>1</x:v>
      </x:c>
      <x:c r="N747" s="6" t="n">
        <x:v>1.028</x:v>
      </x:c>
      <x:c r="O747" s="1" t="str">
        <x:v>합격</x:v>
      </x:c>
      <x:c r="P747" s="1"/>
      <x:c r="Q747" s="1" t="n">
        <x:v>49</x:v>
      </x:c>
      <x:c r="R747" s="1" t="str">
        <x:v>N</x:v>
      </x:c>
      <x:c r="S747" s="1" t="n">
        <x:v>0</x:v>
      </x:c>
      <x:c r="T747" s="1" t="str">
        <x:v>합격</x:v>
      </x:c>
    </x:row>
    <x:row r="748" ht="22" customHeight="1">
      <x:c r="A748" s="1" t="str">
        <x:v>R00747</x:v>
      </x:c>
      <x:c r="B748" s="4" t="n">
        <x:v>46206.164131944446</x:v>
      </x:c>
      <x:c r="C748" s="1" t="str">
        <x:v>야간</x:v>
      </x:c>
      <x:c r="D748" s="1" t="str">
        <x:v>L2</x:v>
      </x:c>
      <x:c r="E748" s="1" t="str">
        <x:v>P2</x:v>
      </x:c>
      <x:c r="F748" s="1" t="str">
        <x:v>M02</x:v>
      </x:c>
      <x:c r="G748" s="1" t="str">
        <x:v>G03</x:v>
      </x:c>
      <x:c r="H748" s="5" t="n">
        <x:v>28.22</x:v>
      </x:c>
      <x:c r="I748" s="5" t="n">
        <x:v>5.9</x:v>
      </x:c>
      <x:c r="J748" s="5" t="n">
        <x:v>48.2</x:v>
      </x:c>
      <x:c r="K748" s="5" t="n">
        <x:v>40.1</x:v>
      </x:c>
      <x:c r="L748" s="5" t="n">
        <x:v>1.51</x:v>
      </x:c>
      <x:c r="M748" s="1" t="n">
        <x:v>0</x:v>
      </x:c>
      <x:c r="N748" s="6" t="n">
        <x:v>0.941</x:v>
      </x:c>
      <x:c r="O748" s="1" t="str">
        <x:v>합격</x:v>
      </x:c>
      <x:c r="P748" s="1"/>
      <x:c r="Q748" s="1" t="n">
        <x:v>46</x:v>
      </x:c>
      <x:c r="R748" s="1" t="str">
        <x:v>N</x:v>
      </x:c>
      <x:c r="S748" s="1" t="n">
        <x:v>0</x:v>
      </x:c>
      <x:c r="T748" s="1" t="str">
        <x:v>합격</x:v>
      </x:c>
    </x:row>
    <x:row r="749" ht="22" customHeight="1">
      <x:c r="A749" s="1" t="str">
        <x:v>R00748</x:v>
      </x:c>
      <x:c r="B749" s="4" t="n">
        <x:v>46207.86</x:v>
      </x:c>
      <x:c r="C749" s="1" t="str">
        <x:v>야간</x:v>
      </x:c>
      <x:c r="D749" s="1" t="str">
        <x:v>L1</x:v>
      </x:c>
      <x:c r="E749" s="1" t="str">
        <x:v>P1</x:v>
      </x:c>
      <x:c r="F749" s="1" t="str">
        <x:v>M04</x:v>
      </x:c>
      <x:c r="G749" s="1" t="str">
        <x:v>G04</x:v>
      </x:c>
      <x:c r="H749" s="5" t="n">
        <x:v>30.13</x:v>
      </x:c>
      <x:c r="I749" s="5" t="n">
        <x:v>5.71</x:v>
      </x:c>
      <x:c r="J749" s="5" t="n">
        <x:v>56.8</x:v>
      </x:c>
      <x:c r="K749" s="5" t="n">
        <x:v>42</x:v>
      </x:c>
      <x:c r="L749" s="5" t="n">
        <x:v>2.48</x:v>
      </x:c>
      <x:c r="M749" s="1" t="n">
        <x:v>0</x:v>
      </x:c>
      <x:c r="N749" s="6" t="n">
        <x:v>0.96</x:v>
      </x:c>
      <x:c r="O749" s="1" t="str">
        <x:v>합격</x:v>
      </x:c>
      <x:c r="P749" s="1"/>
      <x:c r="Q749" s="1" t="n">
        <x:v>47</x:v>
      </x:c>
      <x:c r="R749" s="1" t="str">
        <x:v>N</x:v>
      </x:c>
      <x:c r="S749" s="1" t="n">
        <x:v>0</x:v>
      </x:c>
      <x:c r="T749" s="1" t="str">
        <x:v>합격</x:v>
      </x:c>
    </x:row>
    <x:row r="750" ht="22" customHeight="1">
      <x:c r="A750" s="1" t="str">
        <x:v>R00749</x:v>
      </x:c>
      <x:c r="B750" s="4" t="n">
        <x:v>46208.64271990741</x:v>
      </x:c>
      <x:c r="C750" s="1" t="str">
        <x:v>주간</x:v>
      </x:c>
      <x:c r="D750" s="1" t="str">
        <x:v>L2</x:v>
      </x:c>
      <x:c r="E750" s="1" t="str">
        <x:v>P2</x:v>
      </x:c>
      <x:c r="F750" s="1" t="str">
        <x:v>M02</x:v>
      </x:c>
      <x:c r="G750" s="1" t="str">
        <x:v>G05</x:v>
      </x:c>
      <x:c r="H750" s="5" t="n">
        <x:v>28.78</x:v>
      </x:c>
      <x:c r="I750" s="5" t="n">
        <x:v>5.69</x:v>
      </x:c>
      <x:c r="J750" s="5" t="n">
        <x:v>47.6</x:v>
      </x:c>
      <x:c r="K750" s="5" t="n">
        <x:v>41.1</x:v>
      </x:c>
      <x:c r="L750" s="5" t="n">
        <x:v>1.62</x:v>
      </x:c>
      <x:c r="M750" s="1" t="n">
        <x:v>1</x:v>
      </x:c>
      <x:c r="N750" s="6" t="n">
        <x:v>0.99</x:v>
      </x:c>
      <x:c r="O750" s="1" t="str">
        <x:v>합격</x:v>
      </x:c>
      <x:c r="P750" s="1"/>
      <x:c r="Q750" s="1" t="n">
        <x:v>47</x:v>
      </x:c>
      <x:c r="R750" s="1" t="str">
        <x:v>N</x:v>
      </x:c>
      <x:c r="S750" s="1" t="n">
        <x:v>0</x:v>
      </x:c>
      <x:c r="T750" s="1" t="str">
        <x:v>합격</x:v>
      </x:c>
    </x:row>
    <x:row r="751" ht="22" customHeight="1">
      <x:c r="A751" s="1" t="str">
        <x:v>R00750</x:v>
      </x:c>
      <x:c r="B751" s="4" t="n">
        <x:v>46209.15880787037</x:v>
      </x:c>
      <x:c r="C751" s="1" t="str">
        <x:v>야간</x:v>
      </x:c>
      <x:c r="D751" s="1" t="str">
        <x:v>L1</x:v>
      </x:c>
      <x:c r="E751" s="1" t="str">
        <x:v>P1</x:v>
      </x:c>
      <x:c r="F751" s="1" t="str">
        <x:v>M04</x:v>
      </x:c>
      <x:c r="G751" s="1" t="str">
        <x:v>G06</x:v>
      </x:c>
      <x:c r="H751" s="5" t="n">
        <x:v>30.98</x:v>
      </x:c>
      <x:c r="I751" s="5" t="n">
        <x:v>5.86</x:v>
      </x:c>
      <x:c r="J751" s="5" t="n">
        <x:v>50.2</x:v>
      </x:c>
      <x:c r="K751" s="5" t="n">
        <x:v>39.8</x:v>
      </x:c>
      <x:c r="L751" s="5" t="n">
        <x:v>2.69</x:v>
      </x:c>
      <x:c r="M751" s="1" t="n">
        <x:v>0</x:v>
      </x:c>
      <x:c r="N751" s="6" t="n">
        <x:v>1.023</x:v>
      </x:c>
      <x:c r="O751" s="1" t="str">
        <x:v>합격</x:v>
      </x:c>
      <x:c r="P751" s="1"/>
      <x:c r="Q751" s="1" t="n">
        <x:v>35</x:v>
      </x:c>
      <x:c r="R751" s="1" t="str">
        <x:v>N</x:v>
      </x:c>
      <x:c r="S751" s="1" t="n">
        <x:v>0</x:v>
      </x:c>
      <x:c r="T751" s="1" t="str">
        <x:v>합격</x:v>
      </x:c>
    </x:row>
    <x:row r="752" ht="22" customHeight="1">
      <x:c r="A752" s="1" t="str">
        <x:v>R00751</x:v>
      </x:c>
      <x:c r="B752" s="4" t="n">
        <x:v>46210.91438657408</x:v>
      </x:c>
      <x:c r="C752" s="1" t="str">
        <x:v>야간</x:v>
      </x:c>
      <x:c r="D752" s="1" t="str">
        <x:v>L1</x:v>
      </x:c>
      <x:c r="E752" s="1" t="str">
        <x:v>P1</x:v>
      </x:c>
      <x:c r="F752" s="1" t="str">
        <x:v>M04</x:v>
      </x:c>
      <x:c r="G752" s="1" t="str">
        <x:v>G01</x:v>
      </x:c>
      <x:c r="H752" s="5" t="n">
        <x:v>30.94</x:v>
      </x:c>
      <x:c r="I752" s="5" t="n">
        <x:v>5.84</x:v>
      </x:c>
      <x:c r="J752" s="5" t="n">
        <x:v>57.1</x:v>
      </x:c>
      <x:c r="K752" s="5" t="n">
        <x:v>38.4</x:v>
      </x:c>
      <x:c r="L752" s="5" t="n">
        <x:v>2.07</x:v>
      </x:c>
      <x:c r="M752" s="1" t="n">
        <x:v>1</x:v>
      </x:c>
      <x:c r="N752" s="6" t="n">
        <x:v>1.049</x:v>
      </x:c>
      <x:c r="O752" s="1" t="str">
        <x:v>합격</x:v>
      </x:c>
      <x:c r="P752" s="1"/>
      <x:c r="Q752" s="1" t="n">
        <x:v>40</x:v>
      </x:c>
      <x:c r="R752" s="1" t="str">
        <x:v>N</x:v>
      </x:c>
      <x:c r="S752" s="1" t="n">
        <x:v>0</x:v>
      </x:c>
      <x:c r="T752" s="1" t="str">
        <x:v>합격</x:v>
      </x:c>
    </x:row>
    <x:row r="753" ht="22" customHeight="1">
      <x:c r="A753" s="1" t="str">
        <x:v>R00752</x:v>
      </x:c>
      <x:c r="B753" s="4" t="n">
        <x:v>46211.45108796296</x:v>
      </x:c>
      <x:c r="C753" s="1" t="str">
        <x:v>주간</x:v>
      </x:c>
      <x:c r="D753" s="1" t="str">
        <x:v>L1</x:v>
      </x:c>
      <x:c r="E753" s="1" t="str">
        <x:v>P1</x:v>
      </x:c>
      <x:c r="F753" s="1" t="str">
        <x:v>M03</x:v>
      </x:c>
      <x:c r="G753" s="1" t="str">
        <x:v>G02</x:v>
      </x:c>
      <x:c r="H753" s="5" t="n">
        <x:v>29.28</x:v>
      </x:c>
      <x:c r="I753" s="5" t="n">
        <x:v>5.91</x:v>
      </x:c>
      <x:c r="J753" s="5" t="n">
        <x:v>53.6</x:v>
      </x:c>
      <x:c r="K753" s="5" t="n">
        <x:v>37.3</x:v>
      </x:c>
      <x:c r="L753" s="5" t="n">
        <x:v>2.67</x:v>
      </x:c>
      <x:c r="M753" s="1" t="n">
        <x:v>0</x:v>
      </x:c>
      <x:c r="N753" s="6" t="n">
        <x:v>0.877</x:v>
      </x:c>
      <x:c r="O753" s="1" t="str">
        <x:v>합격</x:v>
      </x:c>
      <x:c r="P753" s="1"/>
      <x:c r="Q753" s="1" t="n">
        <x:v>43</x:v>
      </x:c>
      <x:c r="R753" s="1" t="str">
        <x:v>N</x:v>
      </x:c>
      <x:c r="S753" s="1" t="n">
        <x:v>0</x:v>
      </x:c>
      <x:c r="T753" s="1" t="str">
        <x:v>합격</x:v>
      </x:c>
    </x:row>
    <x:row r="754" ht="22" customHeight="1">
      <x:c r="A754" s="1" t="str">
        <x:v>R00753</x:v>
      </x:c>
      <x:c r="B754" s="4" t="n">
        <x:v>46212.931550925925</x:v>
      </x:c>
      <x:c r="C754" s="1" t="str">
        <x:v>야간</x:v>
      </x:c>
      <x:c r="D754" s="1" t="str">
        <x:v>L2</x:v>
      </x:c>
      <x:c r="E754" s="1" t="str">
        <x:v>P2</x:v>
      </x:c>
      <x:c r="F754" s="1" t="str">
        <x:v>M02</x:v>
      </x:c>
      <x:c r="G754" s="1" t="str">
        <x:v>G03</x:v>
      </x:c>
      <x:c r="H754" s="5" t="n">
        <x:v>30.18</x:v>
      </x:c>
      <x:c r="I754" s="5" t="n">
        <x:v>5.69</x:v>
      </x:c>
      <x:c r="J754" s="5" t="n">
        <x:v>55.7</x:v>
      </x:c>
      <x:c r="K754" s="5" t="n">
        <x:v>37.7</x:v>
      </x:c>
      <x:c r="L754" s="5" t="n">
        <x:v>2.49</x:v>
      </x:c>
      <x:c r="M754" s="1" t="n">
        <x:v>0</x:v>
      </x:c>
      <x:c r="N754" s="6" t="n">
        <x:v>0.867</x:v>
      </x:c>
      <x:c r="O754" s="1" t="str">
        <x:v>합격</x:v>
      </x:c>
      <x:c r="P754" s="1"/>
      <x:c r="Q754" s="1" t="n">
        <x:v>46</x:v>
      </x:c>
      <x:c r="R754" s="1" t="str">
        <x:v>N</x:v>
      </x:c>
      <x:c r="S754" s="1" t="n">
        <x:v>0</x:v>
      </x:c>
      <x:c r="T754" s="1" t="str">
        <x:v>합격</x:v>
      </x:c>
    </x:row>
    <x:row r="755" ht="22" customHeight="1">
      <x:c r="A755" s="1" t="str">
        <x:v>R00754</x:v>
      </x:c>
      <x:c r="B755" s="4" t="n">
        <x:v>46213.339594907404</x:v>
      </x:c>
      <x:c r="C755" s="1" t="str">
        <x:v>주간</x:v>
      </x:c>
      <x:c r="D755" s="1" t="str">
        <x:v>L2</x:v>
      </x:c>
      <x:c r="E755" s="1" t="str">
        <x:v>P2</x:v>
      </x:c>
      <x:c r="F755" s="1" t="str">
        <x:v>M04</x:v>
      </x:c>
      <x:c r="G755" s="1" t="str">
        <x:v>G04</x:v>
      </x:c>
      <x:c r="H755" s="5" t="n">
        <x:v>32.75</x:v>
      </x:c>
      <x:c r="I755" s="5" t="n">
        <x:v>5.68</x:v>
      </x:c>
      <x:c r="J755" s="5" t="n">
        <x:v>50.8</x:v>
      </x:c>
      <x:c r="K755" s="5" t="n">
        <x:v>37.2</x:v>
      </x:c>
      <x:c r="L755" s="5" t="n">
        <x:v>2.14</x:v>
      </x:c>
      <x:c r="M755" s="1" t="n">
        <x:v>1</x:v>
      </x:c>
      <x:c r="N755" s="6" t="n">
        <x:v>0.871</x:v>
      </x:c>
      <x:c r="O755" s="1" t="str">
        <x:v>합격</x:v>
      </x:c>
      <x:c r="P755" s="1"/>
      <x:c r="Q755" s="1" t="n">
        <x:v>44</x:v>
      </x:c>
      <x:c r="R755" s="1" t="str">
        <x:v>N</x:v>
      </x:c>
      <x:c r="S755" s="1" t="n">
        <x:v>0</x:v>
      </x:c>
      <x:c r="T755" s="1" t="str">
        <x:v>합격</x:v>
      </x:c>
    </x:row>
    <x:row r="756" ht="22" customHeight="1">
      <x:c r="A756" s="1" t="str">
        <x:v>R00755</x:v>
      </x:c>
      <x:c r="B756" s="4" t="n">
        <x:v>46214.988020833334</x:v>
      </x:c>
      <x:c r="C756" s="1" t="str">
        <x:v>야간</x:v>
      </x:c>
      <x:c r="D756" s="1" t="str">
        <x:v>L1</x:v>
      </x:c>
      <x:c r="E756" s="1" t="str">
        <x:v>P1</x:v>
      </x:c>
      <x:c r="F756" s="1" t="str">
        <x:v>M03</x:v>
      </x:c>
      <x:c r="G756" s="1" t="str">
        <x:v>G05</x:v>
      </x:c>
      <x:c r="H756" s="5" t="n">
        <x:v>30.29</x:v>
      </x:c>
      <x:c r="I756" s="5" t="n">
        <x:v>5.92</x:v>
      </x:c>
      <x:c r="J756" s="5" t="n">
        <x:v>48.1</x:v>
      </x:c>
      <x:c r="K756" s="5" t="n">
        <x:v>41.6</x:v>
      </x:c>
      <x:c r="L756" s="5" t="n">
        <x:v>2.4</x:v>
      </x:c>
      <x:c r="M756" s="1" t="n">
        <x:v>1</x:v>
      </x:c>
      <x:c r="N756" s="6" t="n">
        <x:v>0.926</x:v>
      </x:c>
      <x:c r="O756" s="1" t="str">
        <x:v>불합격</x:v>
      </x:c>
      <x:c r="P756" s="1" t="str">
        <x:v>작동불량</x:v>
      </x:c>
      <x:c r="Q756" s="1" t="n">
        <x:v>40</x:v>
      </x:c>
      <x:c r="R756" s="1" t="str">
        <x:v>Y</x:v>
      </x:c>
      <x:c r="S756" s="1" t="n">
        <x:v>7</x:v>
      </x:c>
      <x:c r="T756" s="1" t="str">
        <x:v>재작업후합격</x:v>
      </x:c>
    </x:row>
    <x:row r="757" ht="22" customHeight="1">
      <x:c r="A757" s="1" t="str">
        <x:v>R00756</x:v>
      </x:c>
      <x:c r="B757" s="4" t="n">
        <x:v>46215.84196759259</x:v>
      </x:c>
      <x:c r="C757" s="1" t="str">
        <x:v>야간</x:v>
      </x:c>
      <x:c r="D757" s="1" t="str">
        <x:v>L2</x:v>
      </x:c>
      <x:c r="E757" s="1" t="str">
        <x:v>P2</x:v>
      </x:c>
      <x:c r="F757" s="1" t="str">
        <x:v>M02</x:v>
      </x:c>
      <x:c r="G757" s="1" t="str">
        <x:v>G06</x:v>
      </x:c>
      <x:c r="H757" s="5" t="n">
        <x:v>28.18</x:v>
      </x:c>
      <x:c r="I757" s="5" t="n">
        <x:v>5.86</x:v>
      </x:c>
      <x:c r="J757" s="5" t="n">
        <x:v>58.3</x:v>
      </x:c>
      <x:c r="K757" s="5" t="n">
        <x:v>37.1</x:v>
      </x:c>
      <x:c r="L757" s="5" t="n">
        <x:v>2.17</x:v>
      </x:c>
      <x:c r="M757" s="1" t="n">
        <x:v>0</x:v>
      </x:c>
      <x:c r="N757" s="6" t="n">
        <x:v>0.965</x:v>
      </x:c>
      <x:c r="O757" s="1" t="str">
        <x:v>합격</x:v>
      </x:c>
      <x:c r="P757" s="1"/>
      <x:c r="Q757" s="1" t="n">
        <x:v>36</x:v>
      </x:c>
      <x:c r="R757" s="1" t="str">
        <x:v>N</x:v>
      </x:c>
      <x:c r="S757" s="1" t="n">
        <x:v>0</x:v>
      </x:c>
      <x:c r="T757" s="1" t="str">
        <x:v>합격</x:v>
      </x:c>
    </x:row>
    <x:row r="758" ht="22" customHeight="1">
      <x:c r="A758" s="1" t="str">
        <x:v>R00757</x:v>
      </x:c>
      <x:c r="B758" s="4" t="n">
        <x:v>46216.03984953704</x:v>
      </x:c>
      <x:c r="C758" s="1" t="str">
        <x:v>야간</x:v>
      </x:c>
      <x:c r="D758" s="1" t="str">
        <x:v>L2</x:v>
      </x:c>
      <x:c r="E758" s="1" t="str">
        <x:v>P2</x:v>
      </x:c>
      <x:c r="F758" s="1" t="str">
        <x:v>M02</x:v>
      </x:c>
      <x:c r="G758" s="1" t="str">
        <x:v>G01</x:v>
      </x:c>
      <x:c r="H758" s="5" t="n">
        <x:v>29.9</x:v>
      </x:c>
      <x:c r="I758" s="5" t="n">
        <x:v>5.65</x:v>
      </x:c>
      <x:c r="J758" s="5" t="n">
        <x:v>58.1</x:v>
      </x:c>
      <x:c r="K758" s="5" t="n">
        <x:v>35.6</x:v>
      </x:c>
      <x:c r="L758" s="5" t="n">
        <x:v>2.09</x:v>
      </x:c>
      <x:c r="M758" s="1" t="n">
        <x:v>0</x:v>
      </x:c>
      <x:c r="N758" s="6" t="n">
        <x:v>0.892</x:v>
      </x:c>
      <x:c r="O758" s="1" t="str">
        <x:v>합격</x:v>
      </x:c>
      <x:c r="P758" s="1"/>
      <x:c r="Q758" s="1" t="n">
        <x:v>41</x:v>
      </x:c>
      <x:c r="R758" s="1" t="str">
        <x:v>N</x:v>
      </x:c>
      <x:c r="S758" s="1" t="n">
        <x:v>0</x:v>
      </x:c>
      <x:c r="T758" s="1" t="str">
        <x:v>합격</x:v>
      </x:c>
    </x:row>
    <x:row r="759" ht="22" customHeight="1">
      <x:c r="A759" s="1" t="str">
        <x:v>R00758</x:v>
      </x:c>
      <x:c r="B759" s="4" t="n">
        <x:v>46217.84043981481</x:v>
      </x:c>
      <x:c r="C759" s="1" t="str">
        <x:v>야간</x:v>
      </x:c>
      <x:c r="D759" s="1" t="str">
        <x:v>L2</x:v>
      </x:c>
      <x:c r="E759" s="1" t="str">
        <x:v>P2</x:v>
      </x:c>
      <x:c r="F759" s="1" t="str">
        <x:v>M02</x:v>
      </x:c>
      <x:c r="G759" s="1" t="str">
        <x:v>G02</x:v>
      </x:c>
      <x:c r="H759" s="5" t="n">
        <x:v>28.78</x:v>
      </x:c>
      <x:c r="I759" s="5" t="n">
        <x:v>5.87</x:v>
      </x:c>
      <x:c r="J759" s="5" t="n">
        <x:v>57.8</x:v>
      </x:c>
      <x:c r="K759" s="5" t="n">
        <x:v>38.9</x:v>
      </x:c>
      <x:c r="L759" s="5" t="n">
        <x:v>2.23</x:v>
      </x:c>
      <x:c r="M759" s="1" t="n">
        <x:v>1</x:v>
      </x:c>
      <x:c r="N759" s="6" t="n">
        <x:v>0.923</x:v>
      </x:c>
      <x:c r="O759" s="1" t="str">
        <x:v>합격</x:v>
      </x:c>
      <x:c r="P759" s="1"/>
      <x:c r="Q759" s="1" t="n">
        <x:v>36</x:v>
      </x:c>
      <x:c r="R759" s="1" t="str">
        <x:v>N</x:v>
      </x:c>
      <x:c r="S759" s="1" t="n">
        <x:v>0</x:v>
      </x:c>
      <x:c r="T759" s="1" t="str">
        <x:v>합격</x:v>
      </x:c>
    </x:row>
    <x:row r="760" ht="22" customHeight="1">
      <x:c r="A760" s="1" t="str">
        <x:v>R00759</x:v>
      </x:c>
      <x:c r="B760" s="4" t="n">
        <x:v>46218.00984953704</x:v>
      </x:c>
      <x:c r="C760" s="1" t="str">
        <x:v>야간</x:v>
      </x:c>
      <x:c r="D760" s="1" t="str">
        <x:v>L1</x:v>
      </x:c>
      <x:c r="E760" s="1" t="str">
        <x:v>P1</x:v>
      </x:c>
      <x:c r="F760" s="1" t="str">
        <x:v>M04</x:v>
      </x:c>
      <x:c r="G760" s="1" t="str">
        <x:v>G03</x:v>
      </x:c>
      <x:c r="H760" s="5" t="n">
        <x:v>27.87</x:v>
      </x:c>
      <x:c r="I760" s="5" t="n">
        <x:v>5.98</x:v>
      </x:c>
      <x:c r="J760" s="5" t="n">
        <x:v>54.6</x:v>
      </x:c>
      <x:c r="K760" s="5" t="n">
        <x:v>37.7</x:v>
      </x:c>
      <x:c r="L760" s="5" t="n">
        <x:v>2.38</x:v>
      </x:c>
      <x:c r="M760" s="1" t="n">
        <x:v>0</x:v>
      </x:c>
      <x:c r="N760" s="6" t="n">
        <x:v>0.905</x:v>
      </x:c>
      <x:c r="O760" s="1" t="str">
        <x:v>합격</x:v>
      </x:c>
      <x:c r="P760" s="1"/>
      <x:c r="Q760" s="1" t="n">
        <x:v>41</x:v>
      </x:c>
      <x:c r="R760" s="1" t="str">
        <x:v>N</x:v>
      </x:c>
      <x:c r="S760" s="1" t="n">
        <x:v>0</x:v>
      </x:c>
      <x:c r="T760" s="1" t="str">
        <x:v>합격</x:v>
      </x:c>
    </x:row>
    <x:row r="761" ht="22" customHeight="1">
      <x:c r="A761" s="1" t="str">
        <x:v>R00760</x:v>
      </x:c>
      <x:c r="B761" s="4" t="n">
        <x:v>46219.38009259259</x:v>
      </x:c>
      <x:c r="C761" s="1" t="str">
        <x:v>주간</x:v>
      </x:c>
      <x:c r="D761" s="1" t="str">
        <x:v>L2</x:v>
      </x:c>
      <x:c r="E761" s="1" t="str">
        <x:v>P2</x:v>
      </x:c>
      <x:c r="F761" s="1" t="str">
        <x:v>M04</x:v>
      </x:c>
      <x:c r="G761" s="1" t="str">
        <x:v>G04</x:v>
      </x:c>
      <x:c r="H761" s="5" t="n">
        <x:v>32.4</x:v>
      </x:c>
      <x:c r="I761" s="5" t="n">
        <x:v>5.88</x:v>
      </x:c>
      <x:c r="J761" s="5" t="n">
        <x:v>58</x:v>
      </x:c>
      <x:c r="K761" s="5" t="n">
        <x:v>36.6</x:v>
      </x:c>
      <x:c r="L761" s="5" t="n">
        <x:v>2.18</x:v>
      </x:c>
      <x:c r="M761" s="1" t="n">
        <x:v>0</x:v>
      </x:c>
      <x:c r="N761" s="6" t="n">
        <x:v>0.879</x:v>
      </x:c>
      <x:c r="O761" s="1" t="str">
        <x:v>합격</x:v>
      </x:c>
      <x:c r="P761" s="1"/>
      <x:c r="Q761" s="1" t="n">
        <x:v>46</x:v>
      </x:c>
      <x:c r="R761" s="1" t="str">
        <x:v>N</x:v>
      </x:c>
      <x:c r="S761" s="1" t="n">
        <x:v>0</x:v>
      </x:c>
      <x:c r="T761" s="1" t="str">
        <x:v>합격</x:v>
      </x:c>
    </x:row>
    <x:row r="762" ht="22" customHeight="1">
      <x:c r="A762" s="1" t="str">
        <x:v>R00761</x:v>
      </x:c>
      <x:c r="B762" s="4" t="n">
        <x:v>46220.38888888889</x:v>
      </x:c>
      <x:c r="C762" s="1" t="str">
        <x:v>주간</x:v>
      </x:c>
      <x:c r="D762" s="1" t="str">
        <x:v>L2</x:v>
      </x:c>
      <x:c r="E762" s="1" t="str">
        <x:v>P2</x:v>
      </x:c>
      <x:c r="F762" s="1" t="str">
        <x:v>M04</x:v>
      </x:c>
      <x:c r="G762" s="1" t="str">
        <x:v>G05</x:v>
      </x:c>
      <x:c r="H762" s="5" t="n">
        <x:v>28.55</x:v>
      </x:c>
      <x:c r="I762" s="5" t="n">
        <x:v>5.9</x:v>
      </x:c>
      <x:c r="J762" s="5" t="n">
        <x:v>49</x:v>
      </x:c>
      <x:c r="K762" s="5" t="n">
        <x:v>35.6</x:v>
      </x:c>
      <x:c r="L762" s="5" t="n">
        <x:v>2.35</x:v>
      </x:c>
      <x:c r="M762" s="1" t="n">
        <x:v>0</x:v>
      </x:c>
      <x:c r="N762" s="6" t="n">
        <x:v>0.859</x:v>
      </x:c>
      <x:c r="O762" s="1" t="str">
        <x:v>합격</x:v>
      </x:c>
      <x:c r="P762" s="1"/>
      <x:c r="Q762" s="1" t="n">
        <x:v>45</x:v>
      </x:c>
      <x:c r="R762" s="1" t="str">
        <x:v>N</x:v>
      </x:c>
      <x:c r="S762" s="1" t="n">
        <x:v>0</x:v>
      </x:c>
      <x:c r="T762" s="1" t="str">
        <x:v>합격</x:v>
      </x:c>
    </x:row>
    <x:row r="763" ht="22" customHeight="1">
      <x:c r="A763" s="1" t="str">
        <x:v>R00762</x:v>
      </x:c>
      <x:c r="B763" s="4" t="n">
        <x:v>46221.52050925926</x:v>
      </x:c>
      <x:c r="C763" s="1" t="str">
        <x:v>주간</x:v>
      </x:c>
      <x:c r="D763" s="1" t="str">
        <x:v>L2</x:v>
      </x:c>
      <x:c r="E763" s="1" t="str">
        <x:v>P2</x:v>
      </x:c>
      <x:c r="F763" s="1" t="str">
        <x:v>M04</x:v>
      </x:c>
      <x:c r="G763" s="1" t="str">
        <x:v>G06</x:v>
      </x:c>
      <x:c r="H763" s="5" t="n">
        <x:v>29.85</x:v>
      </x:c>
      <x:c r="I763" s="5" t="n">
        <x:v>5.72</x:v>
      </x:c>
      <x:c r="J763" s="5" t="n">
        <x:v>49.8</x:v>
      </x:c>
      <x:c r="K763" s="5" t="n">
        <x:v>41.6</x:v>
      </x:c>
      <x:c r="L763" s="5" t="n">
        <x:v>1.92</x:v>
      </x:c>
      <x:c r="M763" s="1" t="n">
        <x:v>1</x:v>
      </x:c>
      <x:c r="N763" s="6" t="n">
        <x:v>1.048</x:v>
      </x:c>
      <x:c r="O763" s="1" t="str">
        <x:v>합격</x:v>
      </x:c>
      <x:c r="P763" s="1"/>
      <x:c r="Q763" s="1" t="n">
        <x:v>42</x:v>
      </x:c>
      <x:c r="R763" s="1" t="str">
        <x:v>N</x:v>
      </x:c>
      <x:c r="S763" s="1" t="n">
        <x:v>0</x:v>
      </x:c>
      <x:c r="T763" s="1" t="str">
        <x:v>합격</x:v>
      </x:c>
    </x:row>
    <x:row r="764" ht="22" customHeight="1">
      <x:c r="A764" s="1" t="str">
        <x:v>R00763</x:v>
      </x:c>
      <x:c r="B764" s="4" t="n">
        <x:v>46222.413136574076</x:v>
      </x:c>
      <x:c r="C764" s="1" t="str">
        <x:v>주간</x:v>
      </x:c>
      <x:c r="D764" s="1" t="str">
        <x:v>L2</x:v>
      </x:c>
      <x:c r="E764" s="1" t="str">
        <x:v>P2</x:v>
      </x:c>
      <x:c r="F764" s="1" t="str">
        <x:v>M04</x:v>
      </x:c>
      <x:c r="G764" s="1" t="str">
        <x:v>G01</x:v>
      </x:c>
      <x:c r="H764" s="5" t="n">
        <x:v>27.39</x:v>
      </x:c>
      <x:c r="I764" s="5" t="n">
        <x:v>5.91</x:v>
      </x:c>
      <x:c r="J764" s="5" t="n">
        <x:v>47.5</x:v>
      </x:c>
      <x:c r="K764" s="5" t="n">
        <x:v>35.2</x:v>
      </x:c>
      <x:c r="L764" s="5" t="n">
        <x:v>1.54</x:v>
      </x:c>
      <x:c r="M764" s="1" t="n">
        <x:v>0</x:v>
      </x:c>
      <x:c r="N764" s="6" t="n">
        <x:v>0.925</x:v>
      </x:c>
      <x:c r="O764" s="1" t="str">
        <x:v>합격</x:v>
      </x:c>
      <x:c r="P764" s="1"/>
      <x:c r="Q764" s="1" t="n">
        <x:v>36</x:v>
      </x:c>
      <x:c r="R764" s="1" t="str">
        <x:v>N</x:v>
      </x:c>
      <x:c r="S764" s="1" t="n">
        <x:v>0</x:v>
      </x:c>
      <x:c r="T764" s="1" t="str">
        <x:v>합격</x:v>
      </x:c>
    </x:row>
    <x:row r="765" ht="22" customHeight="1">
      <x:c r="A765" s="1" t="str">
        <x:v>R00764</x:v>
      </x:c>
      <x:c r="B765" s="4" t="n">
        <x:v>46223.38869212963</x:v>
      </x:c>
      <x:c r="C765" s="1" t="str">
        <x:v>주간</x:v>
      </x:c>
      <x:c r="D765" s="1" t="str">
        <x:v>L1</x:v>
      </x:c>
      <x:c r="E765" s="1" t="str">
        <x:v>P1</x:v>
      </x:c>
      <x:c r="F765" s="1" t="str">
        <x:v>M03</x:v>
      </x:c>
      <x:c r="G765" s="1" t="str">
        <x:v>G02</x:v>
      </x:c>
      <x:c r="H765" s="5" t="n">
        <x:v>28.52</x:v>
      </x:c>
      <x:c r="I765" s="5" t="n">
        <x:v>5.74</x:v>
      </x:c>
      <x:c r="J765" s="5" t="n">
        <x:v>56.4</x:v>
      </x:c>
      <x:c r="K765" s="5" t="n">
        <x:v>41.2</x:v>
      </x:c>
      <x:c r="L765" s="5" t="n">
        <x:v>2.49</x:v>
      </x:c>
      <x:c r="M765" s="1" t="n">
        <x:v>1</x:v>
      </x:c>
      <x:c r="N765" s="6" t="n">
        <x:v>0.933</x:v>
      </x:c>
      <x:c r="O765" s="1" t="str">
        <x:v>합격</x:v>
      </x:c>
      <x:c r="P765" s="1"/>
      <x:c r="Q765" s="1" t="n">
        <x:v>44</x:v>
      </x:c>
      <x:c r="R765" s="1" t="str">
        <x:v>N</x:v>
      </x:c>
      <x:c r="S765" s="1" t="n">
        <x:v>0</x:v>
      </x:c>
      <x:c r="T765" s="1" t="str">
        <x:v>합격</x:v>
      </x:c>
    </x:row>
    <x:row r="766" ht="22" customHeight="1">
      <x:c r="A766" s="1" t="str">
        <x:v>R00765</x:v>
      </x:c>
      <x:c r="B766" s="4" t="n">
        <x:v>46224.02269675926</x:v>
      </x:c>
      <x:c r="C766" s="1" t="str">
        <x:v>야간</x:v>
      </x:c>
      <x:c r="D766" s="1" t="str">
        <x:v>L2</x:v>
      </x:c>
      <x:c r="E766" s="1" t="str">
        <x:v>P2</x:v>
      </x:c>
      <x:c r="F766" s="1" t="str">
        <x:v>M02</x:v>
      </x:c>
      <x:c r="G766" s="1" t="str">
        <x:v>G03</x:v>
      </x:c>
      <x:c r="H766" s="5" t="n">
        <x:v>27.9</x:v>
      </x:c>
      <x:c r="I766" s="5" t="n">
        <x:v>5.71</x:v>
      </x:c>
      <x:c r="J766" s="5" t="n">
        <x:v>54.1</x:v>
      </x:c>
      <x:c r="K766" s="5" t="n">
        <x:v>39.9</x:v>
      </x:c>
      <x:c r="L766" s="5" t="n">
        <x:v>2.33</x:v>
      </x:c>
      <x:c r="M766" s="1" t="n">
        <x:v>1</x:v>
      </x:c>
      <x:c r="N766" s="6" t="n">
        <x:v>0.991</x:v>
      </x:c>
      <x:c r="O766" s="1" t="str">
        <x:v>합격</x:v>
      </x:c>
      <x:c r="P766" s="1"/>
      <x:c r="Q766" s="1" t="n">
        <x:v>45</x:v>
      </x:c>
      <x:c r="R766" s="1" t="str">
        <x:v>N</x:v>
      </x:c>
      <x:c r="S766" s="1" t="n">
        <x:v>0</x:v>
      </x:c>
      <x:c r="T766" s="1" t="str">
        <x:v>합격</x:v>
      </x:c>
    </x:row>
    <x:row r="767" ht="22" customHeight="1">
      <x:c r="A767" s="1" t="str">
        <x:v>R00766</x:v>
      </x:c>
      <x:c r="B767" s="4" t="n">
        <x:v>46225.37949074074</x:v>
      </x:c>
      <x:c r="C767" s="1" t="str">
        <x:v>주간</x:v>
      </x:c>
      <x:c r="D767" s="1" t="str">
        <x:v>L1</x:v>
      </x:c>
      <x:c r="E767" s="1" t="str">
        <x:v>P1</x:v>
      </x:c>
      <x:c r="F767" s="1" t="str">
        <x:v>M01</x:v>
      </x:c>
      <x:c r="G767" s="1" t="str">
        <x:v>G04</x:v>
      </x:c>
      <x:c r="H767" s="5" t="n">
        <x:v>29.14</x:v>
      </x:c>
      <x:c r="I767" s="5" t="n">
        <x:v>5.9</x:v>
      </x:c>
      <x:c r="J767" s="5" t="n">
        <x:v>47.8</x:v>
      </x:c>
      <x:c r="K767" s="5" t="n">
        <x:v>38.9</x:v>
      </x:c>
      <x:c r="L767" s="5" t="n">
        <x:v>2.47</x:v>
      </x:c>
      <x:c r="M767" s="1" t="n">
        <x:v>0</x:v>
      </x:c>
      <x:c r="N767" s="6" t="n">
        <x:v>1.035</x:v>
      </x:c>
      <x:c r="O767" s="1" t="str">
        <x:v>합격</x:v>
      </x:c>
      <x:c r="P767" s="1"/>
      <x:c r="Q767" s="1" t="n">
        <x:v>41</x:v>
      </x:c>
      <x:c r="R767" s="1" t="str">
        <x:v>N</x:v>
      </x:c>
      <x:c r="S767" s="1" t="n">
        <x:v>0</x:v>
      </x:c>
      <x:c r="T767" s="1" t="str">
        <x:v>합격</x:v>
      </x:c>
    </x:row>
    <x:row r="768" ht="22" customHeight="1">
      <x:c r="A768" s="1" t="str">
        <x:v>R00767</x:v>
      </x:c>
      <x:c r="B768" s="4" t="n">
        <x:v>46226.644467592596</x:v>
      </x:c>
      <x:c r="C768" s="1" t="str">
        <x:v>주간</x:v>
      </x:c>
      <x:c r="D768" s="1" t="str">
        <x:v>L1</x:v>
      </x:c>
      <x:c r="E768" s="1" t="str">
        <x:v>P1</x:v>
      </x:c>
      <x:c r="F768" s="1" t="str">
        <x:v>M01</x:v>
      </x:c>
      <x:c r="G768" s="1" t="str">
        <x:v>G05</x:v>
      </x:c>
      <x:c r="H768" s="5" t="n">
        <x:v>28.5</x:v>
      </x:c>
      <x:c r="I768" s="5" t="n">
        <x:v>5.67</x:v>
      </x:c>
      <x:c r="J768" s="5" t="n">
        <x:v>49.4</x:v>
      </x:c>
      <x:c r="K768" s="5" t="n">
        <x:v>38.1</x:v>
      </x:c>
      <x:c r="L768" s="5" t="n">
        <x:v>1.43</x:v>
      </x:c>
      <x:c r="M768" s="1" t="n">
        <x:v>1</x:v>
      </x:c>
      <x:c r="N768" s="6" t="n">
        <x:v>0.99</x:v>
      </x:c>
      <x:c r="O768" s="1" t="str">
        <x:v>합격</x:v>
      </x:c>
      <x:c r="P768" s="1"/>
      <x:c r="Q768" s="1" t="n">
        <x:v>40</x:v>
      </x:c>
      <x:c r="R768" s="1" t="str">
        <x:v>N</x:v>
      </x:c>
      <x:c r="S768" s="1" t="n">
        <x:v>0</x:v>
      </x:c>
      <x:c r="T768" s="1" t="str">
        <x:v>합격</x:v>
      </x:c>
    </x:row>
    <x:row r="769" ht="22" customHeight="1">
      <x:c r="A769" s="1" t="str">
        <x:v>R00768</x:v>
      </x:c>
      <x:c r="B769" s="4" t="n">
        <x:v>46227.05939814815</x:v>
      </x:c>
      <x:c r="C769" s="1" t="str">
        <x:v>야간</x:v>
      </x:c>
      <x:c r="D769" s="1" t="str">
        <x:v>L1</x:v>
      </x:c>
      <x:c r="E769" s="1" t="str">
        <x:v>P1</x:v>
      </x:c>
      <x:c r="F769" s="1" t="str">
        <x:v>M04</x:v>
      </x:c>
      <x:c r="G769" s="1" t="str">
        <x:v>G06</x:v>
      </x:c>
      <x:c r="H769" s="5" t="n">
        <x:v>32.12</x:v>
      </x:c>
      <x:c r="I769" s="5" t="n">
        <x:v>5.94</x:v>
      </x:c>
      <x:c r="J769" s="5" t="n">
        <x:v>54.6</x:v>
      </x:c>
      <x:c r="K769" s="5" t="n">
        <x:v>38.3</x:v>
      </x:c>
      <x:c r="L769" s="5" t="n">
        <x:v>1.33</x:v>
      </x:c>
      <x:c r="M769" s="1" t="n">
        <x:v>0</x:v>
      </x:c>
      <x:c r="N769" s="6" t="n">
        <x:v>0.937</x:v>
      </x:c>
      <x:c r="O769" s="1" t="str">
        <x:v>합격</x:v>
      </x:c>
      <x:c r="P769" s="1"/>
      <x:c r="Q769" s="1" t="n">
        <x:v>40</x:v>
      </x:c>
      <x:c r="R769" s="1" t="str">
        <x:v>N</x:v>
      </x:c>
      <x:c r="S769" s="1" t="n">
        <x:v>0</x:v>
      </x:c>
      <x:c r="T769" s="1" t="str">
        <x:v>합격</x:v>
      </x:c>
    </x:row>
    <x:row r="770" ht="22" customHeight="1">
      <x:c r="A770" s="1" t="str">
        <x:v>R00769</x:v>
      </x:c>
      <x:c r="B770" s="4" t="n">
        <x:v>46228.49424768519</x:v>
      </x:c>
      <x:c r="C770" s="1" t="str">
        <x:v>주간</x:v>
      </x:c>
      <x:c r="D770" s="1" t="str">
        <x:v>L2</x:v>
      </x:c>
      <x:c r="E770" s="1" t="str">
        <x:v>P2</x:v>
      </x:c>
      <x:c r="F770" s="1" t="str">
        <x:v>M02</x:v>
      </x:c>
      <x:c r="G770" s="1" t="str">
        <x:v>G01</x:v>
      </x:c>
      <x:c r="H770" s="5" t="n">
        <x:v>28.86</x:v>
      </x:c>
      <x:c r="I770" s="5" t="n">
        <x:v>5.95</x:v>
      </x:c>
      <x:c r="J770" s="5" t="n">
        <x:v>54</x:v>
      </x:c>
      <x:c r="K770" s="5" t="n">
        <x:v>37.7</x:v>
      </x:c>
      <x:c r="L770" s="5" t="n">
        <x:v>2.58</x:v>
      </x:c>
      <x:c r="M770" s="1" t="n">
        <x:v>1</x:v>
      </x:c>
      <x:c r="N770" s="6" t="n">
        <x:v>0.942</x:v>
      </x:c>
      <x:c r="O770" s="1" t="str">
        <x:v>합격</x:v>
      </x:c>
      <x:c r="P770" s="1"/>
      <x:c r="Q770" s="1" t="n">
        <x:v>49</x:v>
      </x:c>
      <x:c r="R770" s="1" t="str">
        <x:v>N</x:v>
      </x:c>
      <x:c r="S770" s="1" t="n">
        <x:v>0</x:v>
      </x:c>
      <x:c r="T770" s="1" t="str">
        <x:v>합격</x:v>
      </x:c>
    </x:row>
    <x:row r="771" ht="22" customHeight="1">
      <x:c r="A771" s="1" t="str">
        <x:v>R00770</x:v>
      </x:c>
      <x:c r="B771" s="4" t="n">
        <x:v>46229.01490740741</x:v>
      </x:c>
      <x:c r="C771" s="1" t="str">
        <x:v>야간</x:v>
      </x:c>
      <x:c r="D771" s="1" t="str">
        <x:v>L1</x:v>
      </x:c>
      <x:c r="E771" s="1" t="str">
        <x:v>P1</x:v>
      </x:c>
      <x:c r="F771" s="1" t="str">
        <x:v>M03</x:v>
      </x:c>
      <x:c r="G771" s="1" t="str">
        <x:v>G02</x:v>
      </x:c>
      <x:c r="H771" s="5" t="n">
        <x:v>27.81</x:v>
      </x:c>
      <x:c r="I771" s="5" t="n">
        <x:v>5.61</x:v>
      </x:c>
      <x:c r="J771" s="5" t="n">
        <x:v>53.5</x:v>
      </x:c>
      <x:c r="K771" s="5" t="n">
        <x:v>38.1</x:v>
      </x:c>
      <x:c r="L771" s="5" t="n">
        <x:v>1.85</x:v>
      </x:c>
      <x:c r="M771" s="1" t="n">
        <x:v>0</x:v>
      </x:c>
      <x:c r="N771" s="6" t="n">
        <x:v>0.986</x:v>
      </x:c>
      <x:c r="O771" s="1" t="str">
        <x:v>합격</x:v>
      </x:c>
      <x:c r="P771" s="1"/>
      <x:c r="Q771" s="1" t="n">
        <x:v>44</x:v>
      </x:c>
      <x:c r="R771" s="1" t="str">
        <x:v>N</x:v>
      </x:c>
      <x:c r="S771" s="1" t="n">
        <x:v>0</x:v>
      </x:c>
      <x:c r="T771" s="1" t="str">
        <x:v>합격</x:v>
      </x:c>
    </x:row>
    <x:row r="772" ht="22" customHeight="1">
      <x:c r="A772" s="1" t="str">
        <x:v>R00771</x:v>
      </x:c>
      <x:c r="B772" s="4" t="n">
        <x:v>46230.448125</x:v>
      </x:c>
      <x:c r="C772" s="1" t="str">
        <x:v>주간</x:v>
      </x:c>
      <x:c r="D772" s="1" t="str">
        <x:v>L2</x:v>
      </x:c>
      <x:c r="E772" s="1" t="str">
        <x:v>P2</x:v>
      </x:c>
      <x:c r="F772" s="1" t="str">
        <x:v>M04</x:v>
      </x:c>
      <x:c r="G772" s="1" t="str">
        <x:v>G03</x:v>
      </x:c>
      <x:c r="H772" s="5" t="n">
        <x:v>29.52</x:v>
      </x:c>
      <x:c r="I772" s="5" t="n">
        <x:v>5.77</x:v>
      </x:c>
      <x:c r="J772" s="5" t="n">
        <x:v>55.9</x:v>
      </x:c>
      <x:c r="K772" s="5" t="n">
        <x:v>40.6</x:v>
      </x:c>
      <x:c r="L772" s="5" t="n">
        <x:v>2.2</x:v>
      </x:c>
      <x:c r="M772" s="1" t="n">
        <x:v>0</x:v>
      </x:c>
      <x:c r="N772" s="6" t="n">
        <x:v>1</x:v>
      </x:c>
      <x:c r="O772" s="1" t="str">
        <x:v>합격</x:v>
      </x:c>
      <x:c r="P772" s="1"/>
      <x:c r="Q772" s="1" t="n">
        <x:v>43</x:v>
      </x:c>
      <x:c r="R772" s="1" t="str">
        <x:v>N</x:v>
      </x:c>
      <x:c r="S772" s="1" t="n">
        <x:v>0</x:v>
      </x:c>
      <x:c r="T772" s="1" t="str">
        <x:v>합격</x:v>
      </x:c>
    </x:row>
    <x:row r="773" ht="22" customHeight="1">
      <x:c r="A773" s="1" t="str">
        <x:v>R00772</x:v>
      </x:c>
      <x:c r="B773" s="4" t="n">
        <x:v>46231.35184027778</x:v>
      </x:c>
      <x:c r="C773" s="1" t="str">
        <x:v>주간</x:v>
      </x:c>
      <x:c r="D773" s="1" t="str">
        <x:v>L2</x:v>
      </x:c>
      <x:c r="E773" s="1" t="str">
        <x:v>P2</x:v>
      </x:c>
      <x:c r="F773" s="1" t="str">
        <x:v>M02</x:v>
      </x:c>
      <x:c r="G773" s="1" t="str">
        <x:v>G04</x:v>
      </x:c>
      <x:c r="H773" s="5" t="n">
        <x:v>30.33</x:v>
      </x:c>
      <x:c r="I773" s="5" t="n">
        <x:v>5.97</x:v>
      </x:c>
      <x:c r="J773" s="5" t="n">
        <x:v>51.7</x:v>
      </x:c>
      <x:c r="K773" s="5" t="n">
        <x:v>39.1</x:v>
      </x:c>
      <x:c r="L773" s="5" t="n">
        <x:v>1.89</x:v>
      </x:c>
      <x:c r="M773" s="1" t="n">
        <x:v>0</x:v>
      </x:c>
      <x:c r="N773" s="6" t="n">
        <x:v>0.891</x:v>
      </x:c>
      <x:c r="O773" s="1" t="str">
        <x:v>합격</x:v>
      </x:c>
      <x:c r="P773" s="1"/>
      <x:c r="Q773" s="1" t="n">
        <x:v>40</x:v>
      </x:c>
      <x:c r="R773" s="1" t="str">
        <x:v>N</x:v>
      </x:c>
      <x:c r="S773" s="1" t="n">
        <x:v>0</x:v>
      </x:c>
      <x:c r="T773" s="1" t="str">
        <x:v>합격</x:v>
      </x:c>
    </x:row>
    <x:row r="774" ht="22" customHeight="1">
      <x:c r="A774" s="1" t="str">
        <x:v>R00773</x:v>
      </x:c>
      <x:c r="B774" s="4" t="n">
        <x:v>46232.07796296296</x:v>
      </x:c>
      <x:c r="C774" s="1" t="str">
        <x:v>야간</x:v>
      </x:c>
      <x:c r="D774" s="1" t="str">
        <x:v>L1</x:v>
      </x:c>
      <x:c r="E774" s="1" t="str">
        <x:v>P1</x:v>
      </x:c>
      <x:c r="F774" s="1" t="str">
        <x:v>M03</x:v>
      </x:c>
      <x:c r="G774" s="1" t="str">
        <x:v>G05</x:v>
      </x:c>
      <x:c r="H774" s="5" t="n">
        <x:v>33.92</x:v>
      </x:c>
      <x:c r="I774" s="5" t="n">
        <x:v>5.92</x:v>
      </x:c>
      <x:c r="J774" s="5" t="n">
        <x:v>58.8</x:v>
      </x:c>
      <x:c r="K774" s="5" t="n">
        <x:v>39.2</x:v>
      </x:c>
      <x:c r="L774" s="5" t="n">
        <x:v>1.49</x:v>
      </x:c>
      <x:c r="M774" s="1" t="n">
        <x:v>0</x:v>
      </x:c>
      <x:c r="N774" s="6" t="n">
        <x:v>0.949</x:v>
      </x:c>
      <x:c r="O774" s="1" t="str">
        <x:v>합격</x:v>
      </x:c>
      <x:c r="P774" s="1"/>
      <x:c r="Q774" s="1" t="n">
        <x:v>38</x:v>
      </x:c>
      <x:c r="R774" s="1" t="str">
        <x:v>N</x:v>
      </x:c>
      <x:c r="S774" s="1" t="n">
        <x:v>0</x:v>
      </x:c>
      <x:c r="T774" s="1" t="str">
        <x:v>합격</x:v>
      </x:c>
    </x:row>
    <x:row r="775" ht="22" customHeight="1">
      <x:c r="A775" s="1" t="str">
        <x:v>R00774</x:v>
      </x:c>
      <x:c r="B775" s="4" t="n">
        <x:v>46233.887604166666</x:v>
      </x:c>
      <x:c r="C775" s="1" t="str">
        <x:v>야간</x:v>
      </x:c>
      <x:c r="D775" s="1" t="str">
        <x:v>L2</x:v>
      </x:c>
      <x:c r="E775" s="1" t="str">
        <x:v>P2</x:v>
      </x:c>
      <x:c r="F775" s="1" t="str">
        <x:v>M02</x:v>
      </x:c>
      <x:c r="G775" s="1" t="str">
        <x:v>G06</x:v>
      </x:c>
      <x:c r="H775" s="5" t="n">
        <x:v>32.05</x:v>
      </x:c>
      <x:c r="I775" s="5" t="n">
        <x:v>5.96</x:v>
      </x:c>
      <x:c r="J775" s="5" t="n">
        <x:v>58.8</x:v>
      </x:c>
      <x:c r="K775" s="5" t="n">
        <x:v>38.3</x:v>
      </x:c>
      <x:c r="L775" s="5" t="n">
        <x:v>1.82</x:v>
      </x:c>
      <x:c r="M775" s="1" t="n">
        <x:v>1</x:v>
      </x:c>
      <x:c r="N775" s="6" t="n">
        <x:v>1.037</x:v>
      </x:c>
      <x:c r="O775" s="1" t="str">
        <x:v>합격</x:v>
      </x:c>
      <x:c r="P775" s="1"/>
      <x:c r="Q775" s="1" t="n">
        <x:v>43</x:v>
      </x:c>
      <x:c r="R775" s="1" t="str">
        <x:v>N</x:v>
      </x:c>
      <x:c r="S775" s="1" t="n">
        <x:v>0</x:v>
      </x:c>
      <x:c r="T775" s="1" t="str">
        <x:v>합격</x:v>
      </x:c>
    </x:row>
    <x:row r="776" ht="22" customHeight="1">
      <x:c r="A776" s="1" t="str">
        <x:v>R00775</x:v>
      </x:c>
      <x:c r="B776" s="4" t="n">
        <x:v>46234.63673611111</x:v>
      </x:c>
      <x:c r="C776" s="1" t="str">
        <x:v>주간</x:v>
      </x:c>
      <x:c r="D776" s="1" t="str">
        <x:v>L2</x:v>
      </x:c>
      <x:c r="E776" s="1" t="str">
        <x:v>P2</x:v>
      </x:c>
      <x:c r="F776" s="1" t="str">
        <x:v>M02</x:v>
      </x:c>
      <x:c r="G776" s="1" t="str">
        <x:v>G01</x:v>
      </x:c>
      <x:c r="H776" s="5" t="n">
        <x:v>29.86</x:v>
      </x:c>
      <x:c r="I776" s="5" t="n">
        <x:v>5.63</x:v>
      </x:c>
      <x:c r="J776" s="5" t="n">
        <x:v>47.6</x:v>
      </x:c>
      <x:c r="K776" s="5" t="n">
        <x:v>37.6</x:v>
      </x:c>
      <x:c r="L776" s="5" t="n">
        <x:v>2.14</x:v>
      </x:c>
      <x:c r="M776" s="1" t="n">
        <x:v>0</x:v>
      </x:c>
      <x:c r="N776" s="6" t="n">
        <x:v>0.911</x:v>
      </x:c>
      <x:c r="O776" s="1" t="str">
        <x:v>합격</x:v>
      </x:c>
      <x:c r="P776" s="1"/>
      <x:c r="Q776" s="1" t="n">
        <x:v>36</x:v>
      </x:c>
      <x:c r="R776" s="1" t="str">
        <x:v>N</x:v>
      </x:c>
      <x:c r="S776" s="1" t="n">
        <x:v>0</x:v>
      </x:c>
      <x:c r="T776" s="1" t="str">
        <x:v>합격</x:v>
      </x:c>
    </x:row>
    <x:row r="777" ht="22" customHeight="1">
      <x:c r="A777" s="1" t="str">
        <x:v>R00776</x:v>
      </x:c>
      <x:c r="B777" s="4" t="n">
        <x:v>46204.53357638889</x:v>
      </x:c>
      <x:c r="C777" s="1" t="str">
        <x:v>주간</x:v>
      </x:c>
      <x:c r="D777" s="1" t="str">
        <x:v>L2</x:v>
      </x:c>
      <x:c r="E777" s="1" t="str">
        <x:v>P2</x:v>
      </x:c>
      <x:c r="F777" s="1" t="str">
        <x:v>M02</x:v>
      </x:c>
      <x:c r="G777" s="1" t="str">
        <x:v>G02</x:v>
      </x:c>
      <x:c r="H777" s="5" t="n">
        <x:v>30.46</x:v>
      </x:c>
      <x:c r="I777" s="5" t="n">
        <x:v>5.66</x:v>
      </x:c>
      <x:c r="J777" s="5" t="n">
        <x:v>57.2</x:v>
      </x:c>
      <x:c r="K777" s="5" t="n">
        <x:v>36.9</x:v>
      </x:c>
      <x:c r="L777" s="5" t="n">
        <x:v>2.4</x:v>
      </x:c>
      <x:c r="M777" s="1" t="n">
        <x:v>0</x:v>
      </x:c>
      <x:c r="N777" s="6" t="n">
        <x:v>0.935</x:v>
      </x:c>
      <x:c r="O777" s="1" t="str">
        <x:v>합격</x:v>
      </x:c>
      <x:c r="P777" s="1"/>
      <x:c r="Q777" s="1" t="n">
        <x:v>42</x:v>
      </x:c>
      <x:c r="R777" s="1" t="str">
        <x:v>N</x:v>
      </x:c>
      <x:c r="S777" s="1" t="n">
        <x:v>0</x:v>
      </x:c>
      <x:c r="T777" s="1" t="str">
        <x:v>합격</x:v>
      </x:c>
    </x:row>
    <x:row r="778" ht="22" customHeight="1">
      <x:c r="A778" s="1" t="str">
        <x:v>R00777</x:v>
      </x:c>
      <x:c r="B778" s="4" t="n">
        <x:v>46205.60927083333</x:v>
      </x:c>
      <x:c r="C778" s="1" t="str">
        <x:v>주간</x:v>
      </x:c>
      <x:c r="D778" s="1" t="str">
        <x:v>L1</x:v>
      </x:c>
      <x:c r="E778" s="1" t="str">
        <x:v>P1</x:v>
      </x:c>
      <x:c r="F778" s="1" t="str">
        <x:v>M03</x:v>
      </x:c>
      <x:c r="G778" s="1" t="str">
        <x:v>G03</x:v>
      </x:c>
      <x:c r="H778" s="5" t="n">
        <x:v>28.43</x:v>
      </x:c>
      <x:c r="I778" s="5" t="n">
        <x:v>5.71</x:v>
      </x:c>
      <x:c r="J778" s="5" t="n">
        <x:v>54.9</x:v>
      </x:c>
      <x:c r="K778" s="5" t="n">
        <x:v>35.6</x:v>
      </x:c>
      <x:c r="L778" s="5" t="n">
        <x:v>1.91</x:v>
      </x:c>
      <x:c r="M778" s="1" t="n">
        <x:v>1</x:v>
      </x:c>
      <x:c r="N778" s="6" t="n">
        <x:v>0.945</x:v>
      </x:c>
      <x:c r="O778" s="1" t="str">
        <x:v>합격</x:v>
      </x:c>
      <x:c r="P778" s="1"/>
      <x:c r="Q778" s="1" t="n">
        <x:v>37</x:v>
      </x:c>
      <x:c r="R778" s="1" t="str">
        <x:v>N</x:v>
      </x:c>
      <x:c r="S778" s="1" t="n">
        <x:v>0</x:v>
      </x:c>
      <x:c r="T778" s="1" t="str">
        <x:v>합격</x:v>
      </x:c>
    </x:row>
    <x:row r="779" ht="22" customHeight="1">
      <x:c r="A779" s="1" t="str">
        <x:v>R00778</x:v>
      </x:c>
      <x:c r="B779" s="4" t="n">
        <x:v>46206.00357638889</x:v>
      </x:c>
      <x:c r="C779" s="1" t="str">
        <x:v>야간</x:v>
      </x:c>
      <x:c r="D779" s="1" t="str">
        <x:v>L1</x:v>
      </x:c>
      <x:c r="E779" s="1" t="str">
        <x:v>P1</x:v>
      </x:c>
      <x:c r="F779" s="1" t="str">
        <x:v>M03</x:v>
      </x:c>
      <x:c r="G779" s="1" t="str">
        <x:v>G04</x:v>
      </x:c>
      <x:c r="H779" s="5" t="n">
        <x:v>26.27</x:v>
      </x:c>
      <x:c r="I779" s="5" t="n">
        <x:v>5.88</x:v>
      </x:c>
      <x:c r="J779" s="5" t="n">
        <x:v>57</x:v>
      </x:c>
      <x:c r="K779" s="5" t="n">
        <x:v>41.8</x:v>
      </x:c>
      <x:c r="L779" s="5" t="n">
        <x:v>2.44</x:v>
      </x:c>
      <x:c r="M779" s="1" t="n">
        <x:v>1</x:v>
      </x:c>
      <x:c r="N779" s="6" t="n">
        <x:v>0.927</x:v>
      </x:c>
      <x:c r="O779" s="1" t="str">
        <x:v>합격</x:v>
      </x:c>
      <x:c r="P779" s="1"/>
      <x:c r="Q779" s="1" t="n">
        <x:v>42</x:v>
      </x:c>
      <x:c r="R779" s="1" t="str">
        <x:v>N</x:v>
      </x:c>
      <x:c r="S779" s="1" t="n">
        <x:v>0</x:v>
      </x:c>
      <x:c r="T779" s="1" t="str">
        <x:v>합격</x:v>
      </x:c>
    </x:row>
    <x:row r="780" ht="22" customHeight="1">
      <x:c r="A780" s="1" t="str">
        <x:v>R00779</x:v>
      </x:c>
      <x:c r="B780" s="4" t="n">
        <x:v>46207.6571412037</x:v>
      </x:c>
      <x:c r="C780" s="1" t="str">
        <x:v>주간</x:v>
      </x:c>
      <x:c r="D780" s="1" t="str">
        <x:v>L1</x:v>
      </x:c>
      <x:c r="E780" s="1" t="str">
        <x:v>P1</x:v>
      </x:c>
      <x:c r="F780" s="1" t="str">
        <x:v>M01</x:v>
      </x:c>
      <x:c r="G780" s="1" t="str">
        <x:v>G05</x:v>
      </x:c>
      <x:c r="H780" s="5" t="n">
        <x:v>32.36</x:v>
      </x:c>
      <x:c r="I780" s="5" t="n">
        <x:v>5.71</x:v>
      </x:c>
      <x:c r="J780" s="5" t="n">
        <x:v>53.7</x:v>
      </x:c>
      <x:c r="K780" s="5" t="n">
        <x:v>40.3</x:v>
      </x:c>
      <x:c r="L780" s="5" t="n">
        <x:v>2.27</x:v>
      </x:c>
      <x:c r="M780" s="1" t="n">
        <x:v>0</x:v>
      </x:c>
      <x:c r="N780" s="6" t="n">
        <x:v>0.973</x:v>
      </x:c>
      <x:c r="O780" s="1" t="str">
        <x:v>합격</x:v>
      </x:c>
      <x:c r="P780" s="1"/>
      <x:c r="Q780" s="1" t="n">
        <x:v>44</x:v>
      </x:c>
      <x:c r="R780" s="1" t="str">
        <x:v>N</x:v>
      </x:c>
      <x:c r="S780" s="1" t="n">
        <x:v>0</x:v>
      </x:c>
      <x:c r="T780" s="1" t="str">
        <x:v>합격</x:v>
      </x:c>
    </x:row>
    <x:row r="781" ht="22" customHeight="1">
      <x:c r="A781" s="1" t="str">
        <x:v>R00780</x:v>
      </x:c>
      <x:c r="B781" s="4" t="n">
        <x:v>46208.36792824074</x:v>
      </x:c>
      <x:c r="C781" s="1" t="str">
        <x:v>주간</x:v>
      </x:c>
      <x:c r="D781" s="1" t="str">
        <x:v>L1</x:v>
      </x:c>
      <x:c r="E781" s="1" t="str">
        <x:v>P1</x:v>
      </x:c>
      <x:c r="F781" s="1" t="str">
        <x:v>M03</x:v>
      </x:c>
      <x:c r="G781" s="1" t="str">
        <x:v>G06</x:v>
      </x:c>
      <x:c r="H781" s="5" t="n">
        <x:v>31.82</x:v>
      </x:c>
      <x:c r="I781" s="5" t="n">
        <x:v>5.7</x:v>
      </x:c>
      <x:c r="J781" s="5" t="n">
        <x:v>55.8</x:v>
      </x:c>
      <x:c r="K781" s="5" t="n">
        <x:v>35.7</x:v>
      </x:c>
      <x:c r="L781" s="5" t="n">
        <x:v>2.69</x:v>
      </x:c>
      <x:c r="M781" s="1" t="n">
        <x:v>1</x:v>
      </x:c>
      <x:c r="N781" s="6" t="n">
        <x:v>0.897</x:v>
      </x:c>
      <x:c r="O781" s="1" t="str">
        <x:v>합격</x:v>
      </x:c>
      <x:c r="P781" s="1"/>
      <x:c r="Q781" s="1" t="n">
        <x:v>35</x:v>
      </x:c>
      <x:c r="R781" s="1" t="str">
        <x:v>N</x:v>
      </x:c>
      <x:c r="S781" s="1" t="n">
        <x:v>0</x:v>
      </x:c>
      <x:c r="T781" s="1" t="str">
        <x:v>합격</x:v>
      </x:c>
    </x:row>
    <x:row r="782" ht="22" customHeight="1">
      <x:c r="A782" s="1" t="str">
        <x:v>R00781</x:v>
      </x:c>
      <x:c r="B782" s="4" t="n">
        <x:v>46209.08645833333</x:v>
      </x:c>
      <x:c r="C782" s="1" t="str">
        <x:v>야간</x:v>
      </x:c>
      <x:c r="D782" s="1" t="str">
        <x:v>L2</x:v>
      </x:c>
      <x:c r="E782" s="1" t="str">
        <x:v>P2</x:v>
      </x:c>
      <x:c r="F782" s="1" t="str">
        <x:v>M02</x:v>
      </x:c>
      <x:c r="G782" s="1" t="str">
        <x:v>G01</x:v>
      </x:c>
      <x:c r="H782" s="5" t="n">
        <x:v>28.81</x:v>
      </x:c>
      <x:c r="I782" s="5" t="n">
        <x:v>5.89</x:v>
      </x:c>
      <x:c r="J782" s="5" t="n">
        <x:v>54.6</x:v>
      </x:c>
      <x:c r="K782" s="5" t="n">
        <x:v>41.2</x:v>
      </x:c>
      <x:c r="L782" s="5" t="n">
        <x:v>1.9</x:v>
      </x:c>
      <x:c r="M782" s="1" t="n">
        <x:v>0</x:v>
      </x:c>
      <x:c r="N782" s="6" t="n">
        <x:v>0.958</x:v>
      </x:c>
      <x:c r="O782" s="1" t="str">
        <x:v>합격</x:v>
      </x:c>
      <x:c r="P782" s="1"/>
      <x:c r="Q782" s="1" t="n">
        <x:v>39</x:v>
      </x:c>
      <x:c r="R782" s="1" t="str">
        <x:v>N</x:v>
      </x:c>
      <x:c r="S782" s="1" t="n">
        <x:v>0</x:v>
      </x:c>
      <x:c r="T782" s="1" t="str">
        <x:v>합격</x:v>
      </x:c>
    </x:row>
    <x:row r="783" ht="22" customHeight="1">
      <x:c r="A783" s="1" t="str">
        <x:v>R00782</x:v>
      </x:c>
      <x:c r="B783" s="4" t="n">
        <x:v>46210.856620370374</x:v>
      </x:c>
      <x:c r="C783" s="1" t="str">
        <x:v>야간</x:v>
      </x:c>
      <x:c r="D783" s="1" t="str">
        <x:v>L2</x:v>
      </x:c>
      <x:c r="E783" s="1" t="str">
        <x:v>P2</x:v>
      </x:c>
      <x:c r="F783" s="1" t="str">
        <x:v>M01</x:v>
      </x:c>
      <x:c r="G783" s="1" t="str">
        <x:v>G02</x:v>
      </x:c>
      <x:c r="H783" s="5" t="n">
        <x:v>29.7</x:v>
      </x:c>
      <x:c r="I783" s="5" t="n">
        <x:v>5.74</x:v>
      </x:c>
      <x:c r="J783" s="5" t="n">
        <x:v>58.6</x:v>
      </x:c>
      <x:c r="K783" s="5" t="n">
        <x:v>35.1</x:v>
      </x:c>
      <x:c r="L783" s="5" t="n">
        <x:v>1.89</x:v>
      </x:c>
      <x:c r="M783" s="1" t="n">
        <x:v>0</x:v>
      </x:c>
      <x:c r="N783" s="6" t="n">
        <x:v>1.002</x:v>
      </x:c>
      <x:c r="O783" s="1" t="str">
        <x:v>합격</x:v>
      </x:c>
      <x:c r="P783" s="1"/>
      <x:c r="Q783" s="1" t="n">
        <x:v>42</x:v>
      </x:c>
      <x:c r="R783" s="1" t="str">
        <x:v>N</x:v>
      </x:c>
      <x:c r="S783" s="1" t="n">
        <x:v>0</x:v>
      </x:c>
      <x:c r="T783" s="1" t="str">
        <x:v>합격</x:v>
      </x:c>
    </x:row>
    <x:row r="784" ht="22" customHeight="1">
      <x:c r="A784" s="1" t="str">
        <x:v>R00783</x:v>
      </x:c>
      <x:c r="B784" s="4" t="n">
        <x:v>46211.46607638889</x:v>
      </x:c>
      <x:c r="C784" s="1" t="str">
        <x:v>주간</x:v>
      </x:c>
      <x:c r="D784" s="1" t="str">
        <x:v>L2</x:v>
      </x:c>
      <x:c r="E784" s="1" t="str">
        <x:v>P2</x:v>
      </x:c>
      <x:c r="F784" s="1" t="str">
        <x:v>M02</x:v>
      </x:c>
      <x:c r="G784" s="1" t="str">
        <x:v>G03</x:v>
      </x:c>
      <x:c r="H784" s="5" t="n">
        <x:v>31.91</x:v>
      </x:c>
      <x:c r="I784" s="5" t="n">
        <x:v>5.92</x:v>
      </x:c>
      <x:c r="J784" s="5" t="n">
        <x:v>53.9</x:v>
      </x:c>
      <x:c r="K784" s="5" t="n">
        <x:v>36.3</x:v>
      </x:c>
      <x:c r="L784" s="5" t="n">
        <x:v>2.53</x:v>
      </x:c>
      <x:c r="M784" s="1" t="n">
        <x:v>1</x:v>
      </x:c>
      <x:c r="N784" s="6" t="n">
        <x:v>0.928</x:v>
      </x:c>
      <x:c r="O784" s="1" t="str">
        <x:v>합격</x:v>
      </x:c>
      <x:c r="P784" s="1"/>
      <x:c r="Q784" s="1" t="n">
        <x:v>49</x:v>
      </x:c>
      <x:c r="R784" s="1" t="str">
        <x:v>N</x:v>
      </x:c>
      <x:c r="S784" s="1" t="n">
        <x:v>0</x:v>
      </x:c>
      <x:c r="T784" s="1" t="str">
        <x:v>합격</x:v>
      </x:c>
    </x:row>
    <x:row r="785" ht="22" customHeight="1">
      <x:c r="A785" s="1" t="str">
        <x:v>R00784</x:v>
      </x:c>
      <x:c r="B785" s="4" t="n">
        <x:v>46212.51756944445</x:v>
      </x:c>
      <x:c r="C785" s="1" t="str">
        <x:v>주간</x:v>
      </x:c>
      <x:c r="D785" s="1" t="str">
        <x:v>L1</x:v>
      </x:c>
      <x:c r="E785" s="1" t="str">
        <x:v>P1</x:v>
      </x:c>
      <x:c r="F785" s="1" t="str">
        <x:v>M01</x:v>
      </x:c>
      <x:c r="G785" s="1" t="str">
        <x:v>G04</x:v>
      </x:c>
      <x:c r="H785" s="5" t="n">
        <x:v>27.42</x:v>
      </x:c>
      <x:c r="I785" s="5" t="n">
        <x:v>5.62</x:v>
      </x:c>
      <x:c r="J785" s="5" t="n">
        <x:v>50</x:v>
      </x:c>
      <x:c r="K785" s="5" t="n">
        <x:v>37.4</x:v>
      </x:c>
      <x:c r="L785" s="5" t="n">
        <x:v>1.67</x:v>
      </x:c>
      <x:c r="M785" s="1" t="n">
        <x:v>0</x:v>
      </x:c>
      <x:c r="N785" s="6" t="n">
        <x:v>1.022</x:v>
      </x:c>
      <x:c r="O785" s="1" t="str">
        <x:v>합격</x:v>
      </x:c>
      <x:c r="P785" s="1"/>
      <x:c r="Q785" s="1" t="n">
        <x:v>35</x:v>
      </x:c>
      <x:c r="R785" s="1" t="str">
        <x:v>N</x:v>
      </x:c>
      <x:c r="S785" s="1" t="n">
        <x:v>0</x:v>
      </x:c>
      <x:c r="T785" s="1" t="str">
        <x:v>합격</x:v>
      </x:c>
    </x:row>
    <x:row r="786" ht="22" customHeight="1">
      <x:c r="A786" s="1" t="str">
        <x:v>R00785</x:v>
      </x:c>
      <x:c r="B786" s="4" t="n">
        <x:v>46213.057488425926</x:v>
      </x:c>
      <x:c r="C786" s="1" t="str">
        <x:v>야간</x:v>
      </x:c>
      <x:c r="D786" s="1" t="str">
        <x:v>L1</x:v>
      </x:c>
      <x:c r="E786" s="1" t="str">
        <x:v>P1</x:v>
      </x:c>
      <x:c r="F786" s="1" t="str">
        <x:v>M03</x:v>
      </x:c>
      <x:c r="G786" s="1" t="str">
        <x:v>G05</x:v>
      </x:c>
      <x:c r="H786" s="5" t="n">
        <x:v>34.09</x:v>
      </x:c>
      <x:c r="I786" s="5" t="n">
        <x:v>5.82</x:v>
      </x:c>
      <x:c r="J786" s="5" t="n">
        <x:v>49.7</x:v>
      </x:c>
      <x:c r="K786" s="5" t="n">
        <x:v>41.8</x:v>
      </x:c>
      <x:c r="L786" s="5" t="n">
        <x:v>2.33</x:v>
      </x:c>
      <x:c r="M786" s="1" t="n">
        <x:v>1</x:v>
      </x:c>
      <x:c r="N786" s="6" t="n">
        <x:v>0.873</x:v>
      </x:c>
      <x:c r="O786" s="1" t="str">
        <x:v>합격</x:v>
      </x:c>
      <x:c r="P786" s="1"/>
      <x:c r="Q786" s="1" t="n">
        <x:v>46</x:v>
      </x:c>
      <x:c r="R786" s="1" t="str">
        <x:v>N</x:v>
      </x:c>
      <x:c r="S786" s="1" t="n">
        <x:v>0</x:v>
      </x:c>
      <x:c r="T786" s="1" t="str">
        <x:v>합격</x:v>
      </x:c>
    </x:row>
    <x:row r="787" ht="22" customHeight="1">
      <x:c r="A787" s="1" t="str">
        <x:v>R00786</x:v>
      </x:c>
      <x:c r="B787" s="4" t="n">
        <x:v>46214.39392361111</x:v>
      </x:c>
      <x:c r="C787" s="1" t="str">
        <x:v>주간</x:v>
      </x:c>
      <x:c r="D787" s="1" t="str">
        <x:v>L1</x:v>
      </x:c>
      <x:c r="E787" s="1" t="str">
        <x:v>P1</x:v>
      </x:c>
      <x:c r="F787" s="1" t="str">
        <x:v>M01</x:v>
      </x:c>
      <x:c r="G787" s="1" t="str">
        <x:v>G06</x:v>
      </x:c>
      <x:c r="H787" s="5" t="n">
        <x:v>31.03</x:v>
      </x:c>
      <x:c r="I787" s="5" t="n">
        <x:v>5.64</x:v>
      </x:c>
      <x:c r="J787" s="5" t="n">
        <x:v>58.9</x:v>
      </x:c>
      <x:c r="K787" s="5" t="n">
        <x:v>37.1</x:v>
      </x:c>
      <x:c r="L787" s="5" t="n">
        <x:v>2.01</x:v>
      </x:c>
      <x:c r="M787" s="1" t="n">
        <x:v>1</x:v>
      </x:c>
      <x:c r="N787" s="6" t="n">
        <x:v>0.909</x:v>
      </x:c>
      <x:c r="O787" s="1" t="str">
        <x:v>합격</x:v>
      </x:c>
      <x:c r="P787" s="1"/>
      <x:c r="Q787" s="1" t="n">
        <x:v>38</x:v>
      </x:c>
      <x:c r="R787" s="1" t="str">
        <x:v>N</x:v>
      </x:c>
      <x:c r="S787" s="1" t="n">
        <x:v>0</x:v>
      </x:c>
      <x:c r="T787" s="1" t="str">
        <x:v>합격</x:v>
      </x:c>
    </x:row>
    <x:row r="788" ht="22" customHeight="1">
      <x:c r="A788" s="1" t="str">
        <x:v>R00787</x:v>
      </x:c>
      <x:c r="B788" s="4" t="n">
        <x:v>46215.632210648146</x:v>
      </x:c>
      <x:c r="C788" s="1" t="str">
        <x:v>주간</x:v>
      </x:c>
      <x:c r="D788" s="1" t="str">
        <x:v>L2</x:v>
      </x:c>
      <x:c r="E788" s="1" t="str">
        <x:v>P2</x:v>
      </x:c>
      <x:c r="F788" s="1" t="str">
        <x:v>M04</x:v>
      </x:c>
      <x:c r="G788" s="1" t="str">
        <x:v>G01</x:v>
      </x:c>
      <x:c r="H788" s="5" t="n">
        <x:v>32.07</x:v>
      </x:c>
      <x:c r="I788" s="5" t="n">
        <x:v>5.83</x:v>
      </x:c>
      <x:c r="J788" s="5" t="n">
        <x:v>55.9</x:v>
      </x:c>
      <x:c r="K788" s="5" t="n">
        <x:v>38.3</x:v>
      </x:c>
      <x:c r="L788" s="5" t="n">
        <x:v>1.73</x:v>
      </x:c>
      <x:c r="M788" s="1" t="n">
        <x:v>0</x:v>
      </x:c>
      <x:c r="N788" s="6" t="n">
        <x:v>0.857</x:v>
      </x:c>
      <x:c r="O788" s="1" t="str">
        <x:v>합격</x:v>
      </x:c>
      <x:c r="P788" s="1"/>
      <x:c r="Q788" s="1" t="n">
        <x:v>47</x:v>
      </x:c>
      <x:c r="R788" s="1" t="str">
        <x:v>N</x:v>
      </x:c>
      <x:c r="S788" s="1" t="n">
        <x:v>0</x:v>
      </x:c>
      <x:c r="T788" s="1" t="str">
        <x:v>합격</x:v>
      </x:c>
    </x:row>
    <x:row r="789" ht="22" customHeight="1">
      <x:c r="A789" s="1" t="str">
        <x:v>R00788</x:v>
      </x:c>
      <x:c r="B789" s="4" t="n">
        <x:v>46216.92017361111</x:v>
      </x:c>
      <x:c r="C789" s="1" t="str">
        <x:v>야간</x:v>
      </x:c>
      <x:c r="D789" s="1" t="str">
        <x:v>L1</x:v>
      </x:c>
      <x:c r="E789" s="1" t="str">
        <x:v>P1</x:v>
      </x:c>
      <x:c r="F789" s="1" t="str">
        <x:v>M04</x:v>
      </x:c>
      <x:c r="G789" s="1" t="str">
        <x:v>G02</x:v>
      </x:c>
      <x:c r="H789" s="5" t="n">
        <x:v>31.22</x:v>
      </x:c>
      <x:c r="I789" s="5" t="n">
        <x:v>5.89</x:v>
      </x:c>
      <x:c r="J789" s="5" t="n">
        <x:v>50.2</x:v>
      </x:c>
      <x:c r="K789" s="5" t="n">
        <x:v>36.3</x:v>
      </x:c>
      <x:c r="L789" s="5" t="n">
        <x:v>1.54</x:v>
      </x:c>
      <x:c r="M789" s="1" t="n">
        <x:v>0</x:v>
      </x:c>
      <x:c r="N789" s="6" t="n">
        <x:v>0.93</x:v>
      </x:c>
      <x:c r="O789" s="1" t="str">
        <x:v>합격</x:v>
      </x:c>
      <x:c r="P789" s="1"/>
      <x:c r="Q789" s="1" t="n">
        <x:v>45</x:v>
      </x:c>
      <x:c r="R789" s="1" t="str">
        <x:v>N</x:v>
      </x:c>
      <x:c r="S789" s="1" t="n">
        <x:v>0</x:v>
      </x:c>
      <x:c r="T789" s="1" t="str">
        <x:v>합격</x:v>
      </x:c>
    </x:row>
    <x:row r="790" ht="22" customHeight="1">
      <x:c r="A790" s="1" t="str">
        <x:v>R00789</x:v>
      </x:c>
      <x:c r="B790" s="4" t="n">
        <x:v>46217.55427083333</x:v>
      </x:c>
      <x:c r="C790" s="1" t="str">
        <x:v>주간</x:v>
      </x:c>
      <x:c r="D790" s="1" t="str">
        <x:v>L2</x:v>
      </x:c>
      <x:c r="E790" s="1" t="str">
        <x:v>P2</x:v>
      </x:c>
      <x:c r="F790" s="1" t="str">
        <x:v>M04</x:v>
      </x:c>
      <x:c r="G790" s="1" t="str">
        <x:v>G03</x:v>
      </x:c>
      <x:c r="H790" s="5" t="n">
        <x:v>30.25</x:v>
      </x:c>
      <x:c r="I790" s="5" t="n">
        <x:v>5.88</x:v>
      </x:c>
      <x:c r="J790" s="5" t="n">
        <x:v>50.4</x:v>
      </x:c>
      <x:c r="K790" s="5" t="n">
        <x:v>41.4</x:v>
      </x:c>
      <x:c r="L790" s="5" t="n">
        <x:v>1.33</x:v>
      </x:c>
      <x:c r="M790" s="1" t="n">
        <x:v>0</x:v>
      </x:c>
      <x:c r="N790" s="6" t="n">
        <x:v>0.98</x:v>
      </x:c>
      <x:c r="O790" s="1" t="str">
        <x:v>합격</x:v>
      </x:c>
      <x:c r="P790" s="1"/>
      <x:c r="Q790" s="1" t="n">
        <x:v>40</x:v>
      </x:c>
      <x:c r="R790" s="1" t="str">
        <x:v>N</x:v>
      </x:c>
      <x:c r="S790" s="1" t="n">
        <x:v>0</x:v>
      </x:c>
      <x:c r="T790" s="1" t="str">
        <x:v>합격</x:v>
      </x:c>
    </x:row>
    <x:row r="791" ht="22" customHeight="1">
      <x:c r="A791" s="1" t="str">
        <x:v>R00790</x:v>
      </x:c>
      <x:c r="B791" s="4" t="n">
        <x:v>46218.006574074076</x:v>
      </x:c>
      <x:c r="C791" s="1" t="str">
        <x:v>야간</x:v>
      </x:c>
      <x:c r="D791" s="1" t="str">
        <x:v>L2</x:v>
      </x:c>
      <x:c r="E791" s="1" t="str">
        <x:v>P2</x:v>
      </x:c>
      <x:c r="F791" s="1" t="str">
        <x:v>M02</x:v>
      </x:c>
      <x:c r="G791" s="1" t="str">
        <x:v>G04</x:v>
      </x:c>
      <x:c r="H791" s="5" t="n">
        <x:v>27.47</x:v>
      </x:c>
      <x:c r="I791" s="5" t="n">
        <x:v>5.81</x:v>
      </x:c>
      <x:c r="J791" s="5" t="n">
        <x:v>53</x:v>
      </x:c>
      <x:c r="K791" s="5" t="n">
        <x:v>38.3</x:v>
      </x:c>
      <x:c r="L791" s="5" t="n">
        <x:v>1.34</x:v>
      </x:c>
      <x:c r="M791" s="1" t="n">
        <x:v>1</x:v>
      </x:c>
      <x:c r="N791" s="6" t="n">
        <x:v>0.919</x:v>
      </x:c>
      <x:c r="O791" s="1" t="str">
        <x:v>합격</x:v>
      </x:c>
      <x:c r="P791" s="1"/>
      <x:c r="Q791" s="1" t="n">
        <x:v>39</x:v>
      </x:c>
      <x:c r="R791" s="1" t="str">
        <x:v>N</x:v>
      </x:c>
      <x:c r="S791" s="1" t="n">
        <x:v>0</x:v>
      </x:c>
      <x:c r="T791" s="1" t="str">
        <x:v>합격</x:v>
      </x:c>
    </x:row>
    <x:row r="792" ht="22" customHeight="1">
      <x:c r="A792" s="1" t="str">
        <x:v>R00791</x:v>
      </x:c>
      <x:c r="B792" s="4" t="n">
        <x:v>46219.651979166665</x:v>
      </x:c>
      <x:c r="C792" s="1" t="str">
        <x:v>주간</x:v>
      </x:c>
      <x:c r="D792" s="1" t="str">
        <x:v>L2</x:v>
      </x:c>
      <x:c r="E792" s="1" t="str">
        <x:v>P2</x:v>
      </x:c>
      <x:c r="F792" s="1" t="str">
        <x:v>M04</x:v>
      </x:c>
      <x:c r="G792" s="1" t="str">
        <x:v>G05</x:v>
      </x:c>
      <x:c r="H792" s="5" t="n">
        <x:v>30.06</x:v>
      </x:c>
      <x:c r="I792" s="5" t="n">
        <x:v>5.78</x:v>
      </x:c>
      <x:c r="J792" s="5" t="n">
        <x:v>53.1</x:v>
      </x:c>
      <x:c r="K792" s="5" t="n">
        <x:v>39</x:v>
      </x:c>
      <x:c r="L792" s="5" t="n">
        <x:v>2.57</x:v>
      </x:c>
      <x:c r="M792" s="1" t="n">
        <x:v>1</x:v>
      </x:c>
      <x:c r="N792" s="6" t="n">
        <x:v>1.037</x:v>
      </x:c>
      <x:c r="O792" s="1" t="str">
        <x:v>합격</x:v>
      </x:c>
      <x:c r="P792" s="1"/>
      <x:c r="Q792" s="1" t="n">
        <x:v>38</x:v>
      </x:c>
      <x:c r="R792" s="1" t="str">
        <x:v>N</x:v>
      </x:c>
      <x:c r="S792" s="1" t="n">
        <x:v>0</x:v>
      </x:c>
      <x:c r="T792" s="1" t="str">
        <x:v>합격</x:v>
      </x:c>
    </x:row>
    <x:row r="793" ht="22" customHeight="1">
      <x:c r="A793" s="1" t="str">
        <x:v>R00792</x:v>
      </x:c>
      <x:c r="B793" s="4" t="n">
        <x:v>46220.9921875</x:v>
      </x:c>
      <x:c r="C793" s="1" t="str">
        <x:v>야간</x:v>
      </x:c>
      <x:c r="D793" s="1" t="str">
        <x:v>L2</x:v>
      </x:c>
      <x:c r="E793" s="1" t="str">
        <x:v>P2</x:v>
      </x:c>
      <x:c r="F793" s="1" t="str">
        <x:v>M02</x:v>
      </x:c>
      <x:c r="G793" s="1" t="str">
        <x:v>G06</x:v>
      </x:c>
      <x:c r="H793" s="5" t="n">
        <x:v>29.21</x:v>
      </x:c>
      <x:c r="I793" s="5" t="n">
        <x:v>5.9</x:v>
      </x:c>
      <x:c r="J793" s="5" t="n">
        <x:v>50.5</x:v>
      </x:c>
      <x:c r="K793" s="5" t="n">
        <x:v>39.7</x:v>
      </x:c>
      <x:c r="L793" s="5" t="n">
        <x:v>2</x:v>
      </x:c>
      <x:c r="M793" s="1" t="n">
        <x:v>0</x:v>
      </x:c>
      <x:c r="N793" s="6" t="n">
        <x:v>0.92</x:v>
      </x:c>
      <x:c r="O793" s="1" t="str">
        <x:v>합격</x:v>
      </x:c>
      <x:c r="P793" s="1"/>
      <x:c r="Q793" s="1" t="n">
        <x:v>41</x:v>
      </x:c>
      <x:c r="R793" s="1" t="str">
        <x:v>N</x:v>
      </x:c>
      <x:c r="S793" s="1" t="n">
        <x:v>0</x:v>
      </x:c>
      <x:c r="T793" s="1" t="str">
        <x:v>합격</x:v>
      </x:c>
    </x:row>
    <x:row r="794" ht="22" customHeight="1">
      <x:c r="A794" s="1" t="str">
        <x:v>R00793</x:v>
      </x:c>
      <x:c r="B794" s="4" t="n">
        <x:v>46221.03828703704</x:v>
      </x:c>
      <x:c r="C794" s="1" t="str">
        <x:v>야간</x:v>
      </x:c>
      <x:c r="D794" s="1" t="str">
        <x:v>L2</x:v>
      </x:c>
      <x:c r="E794" s="1" t="str">
        <x:v>P2</x:v>
      </x:c>
      <x:c r="F794" s="1" t="str">
        <x:v>M02</x:v>
      </x:c>
      <x:c r="G794" s="1" t="str">
        <x:v>G01</x:v>
      </x:c>
      <x:c r="H794" s="5" t="n">
        <x:v>30.21</x:v>
      </x:c>
      <x:c r="I794" s="5" t="n">
        <x:v>5.65</x:v>
      </x:c>
      <x:c r="J794" s="5" t="n">
        <x:v>48.1</x:v>
      </x:c>
      <x:c r="K794" s="5" t="n">
        <x:v>35.8</x:v>
      </x:c>
      <x:c r="L794" s="5" t="n">
        <x:v>1.57</x:v>
      </x:c>
      <x:c r="M794" s="1" t="n">
        <x:v>1</x:v>
      </x:c>
      <x:c r="N794" s="6" t="n">
        <x:v>0.966</x:v>
      </x:c>
      <x:c r="O794" s="1" t="str">
        <x:v>합격</x:v>
      </x:c>
      <x:c r="P794" s="1"/>
      <x:c r="Q794" s="1" t="n">
        <x:v>44</x:v>
      </x:c>
      <x:c r="R794" s="1" t="str">
        <x:v>N</x:v>
      </x:c>
      <x:c r="S794" s="1" t="n">
        <x:v>0</x:v>
      </x:c>
      <x:c r="T794" s="1" t="str">
        <x:v>합격</x:v>
      </x:c>
    </x:row>
    <x:row r="795" ht="22" customHeight="1">
      <x:c r="A795" s="1" t="str">
        <x:v>R00794</x:v>
      </x:c>
      <x:c r="B795" s="4" t="n">
        <x:v>46222.12825231482</x:v>
      </x:c>
      <x:c r="C795" s="1" t="str">
        <x:v>야간</x:v>
      </x:c>
      <x:c r="D795" s="1" t="str">
        <x:v>L1</x:v>
      </x:c>
      <x:c r="E795" s="1" t="str">
        <x:v>P1</x:v>
      </x:c>
      <x:c r="F795" s="1" t="str">
        <x:v>M04</x:v>
      </x:c>
      <x:c r="G795" s="1" t="str">
        <x:v>G02</x:v>
      </x:c>
      <x:c r="H795" s="5" t="n">
        <x:v>27.8</x:v>
      </x:c>
      <x:c r="I795" s="5" t="n">
        <x:v>6</x:v>
      </x:c>
      <x:c r="J795" s="5" t="n">
        <x:v>52</x:v>
      </x:c>
      <x:c r="K795" s="5" t="n">
        <x:v>36.3</x:v>
      </x:c>
      <x:c r="L795" s="5" t="n">
        <x:v>1.39</x:v>
      </x:c>
      <x:c r="M795" s="1" t="n">
        <x:v>1</x:v>
      </x:c>
      <x:c r="N795" s="6" t="n">
        <x:v>0.998</x:v>
      </x:c>
      <x:c r="O795" s="1" t="str">
        <x:v>합격</x:v>
      </x:c>
      <x:c r="P795" s="1"/>
      <x:c r="Q795" s="1" t="n">
        <x:v>47</x:v>
      </x:c>
      <x:c r="R795" s="1" t="str">
        <x:v>N</x:v>
      </x:c>
      <x:c r="S795" s="1" t="n">
        <x:v>0</x:v>
      </x:c>
      <x:c r="T795" s="1" t="str">
        <x:v>합격</x:v>
      </x:c>
    </x:row>
    <x:row r="796" ht="22" customHeight="1">
      <x:c r="A796" s="1" t="str">
        <x:v>R00795</x:v>
      </x:c>
      <x:c r="B796" s="4" t="n">
        <x:v>46223.93429398148</x:v>
      </x:c>
      <x:c r="C796" s="1" t="str">
        <x:v>야간</x:v>
      </x:c>
      <x:c r="D796" s="1" t="str">
        <x:v>L1</x:v>
      </x:c>
      <x:c r="E796" s="1" t="str">
        <x:v>P1</x:v>
      </x:c>
      <x:c r="F796" s="1" t="str">
        <x:v>M03</x:v>
      </x:c>
      <x:c r="G796" s="1" t="str">
        <x:v>G03</x:v>
      </x:c>
      <x:c r="H796" s="5" t="n">
        <x:v>34.15</x:v>
      </x:c>
      <x:c r="I796" s="5" t="n">
        <x:v>5.99</x:v>
      </x:c>
      <x:c r="J796" s="5" t="n">
        <x:v>58.9</x:v>
      </x:c>
      <x:c r="K796" s="5" t="n">
        <x:v>35.9</x:v>
      </x:c>
      <x:c r="L796" s="5" t="n">
        <x:v>1.81</x:v>
      </x:c>
      <x:c r="M796" s="1" t="n">
        <x:v>1</x:v>
      </x:c>
      <x:c r="N796" s="6" t="n">
        <x:v>0.992</x:v>
      </x:c>
      <x:c r="O796" s="1" t="str">
        <x:v>합격</x:v>
      </x:c>
      <x:c r="P796" s="1"/>
      <x:c r="Q796" s="1" t="n">
        <x:v>46</x:v>
      </x:c>
      <x:c r="R796" s="1" t="str">
        <x:v>N</x:v>
      </x:c>
      <x:c r="S796" s="1" t="n">
        <x:v>0</x:v>
      </x:c>
      <x:c r="T796" s="1" t="str">
        <x:v>합격</x:v>
      </x:c>
    </x:row>
    <x:row r="797" ht="22" customHeight="1">
      <x:c r="A797" s="1" t="str">
        <x:v>R00796</x:v>
      </x:c>
      <x:c r="B797" s="4" t="n">
        <x:v>46224.63768518518</x:v>
      </x:c>
      <x:c r="C797" s="1" t="str">
        <x:v>주간</x:v>
      </x:c>
      <x:c r="D797" s="1" t="str">
        <x:v>L2</x:v>
      </x:c>
      <x:c r="E797" s="1" t="str">
        <x:v>P2</x:v>
      </x:c>
      <x:c r="F797" s="1" t="str">
        <x:v>M02</x:v>
      </x:c>
      <x:c r="G797" s="1" t="str">
        <x:v>G04</x:v>
      </x:c>
      <x:c r="H797" s="5" t="n">
        <x:v>27.98</x:v>
      </x:c>
      <x:c r="I797" s="5" t="n">
        <x:v>5.75</x:v>
      </x:c>
      <x:c r="J797" s="5" t="n">
        <x:v>56.6</x:v>
      </x:c>
      <x:c r="K797" s="5" t="n">
        <x:v>41.5</x:v>
      </x:c>
      <x:c r="L797" s="5" t="n">
        <x:v>2.54</x:v>
      </x:c>
      <x:c r="M797" s="1" t="n">
        <x:v>0</x:v>
      </x:c>
      <x:c r="N797" s="6" t="n">
        <x:v>1.034</x:v>
      </x:c>
      <x:c r="O797" s="1" t="str">
        <x:v>합격</x:v>
      </x:c>
      <x:c r="P797" s="1"/>
      <x:c r="Q797" s="1" t="n">
        <x:v>41</x:v>
      </x:c>
      <x:c r="R797" s="1" t="str">
        <x:v>N</x:v>
      </x:c>
      <x:c r="S797" s="1" t="n">
        <x:v>0</x:v>
      </x:c>
      <x:c r="T797" s="1" t="str">
        <x:v>합격</x:v>
      </x:c>
    </x:row>
    <x:row r="798" ht="22" customHeight="1">
      <x:c r="A798" s="1" t="str">
        <x:v>R00797</x:v>
      </x:c>
      <x:c r="B798" s="4" t="n">
        <x:v>46225.98181712963</x:v>
      </x:c>
      <x:c r="C798" s="1" t="str">
        <x:v>야간</x:v>
      </x:c>
      <x:c r="D798" s="1" t="str">
        <x:v>L1</x:v>
      </x:c>
      <x:c r="E798" s="1" t="str">
        <x:v>P1</x:v>
      </x:c>
      <x:c r="F798" s="1" t="str">
        <x:v>M03</x:v>
      </x:c>
      <x:c r="G798" s="1" t="str">
        <x:v>G05</x:v>
      </x:c>
      <x:c r="H798" s="5" t="n">
        <x:v>32.53</x:v>
      </x:c>
      <x:c r="I798" s="5" t="n">
        <x:v>5.78</x:v>
      </x:c>
      <x:c r="J798" s="5" t="n">
        <x:v>51.5</x:v>
      </x:c>
      <x:c r="K798" s="5" t="n">
        <x:v>36.8</x:v>
      </x:c>
      <x:c r="L798" s="5" t="n">
        <x:v>1.98</x:v>
      </x:c>
      <x:c r="M798" s="1" t="n">
        <x:v>1</x:v>
      </x:c>
      <x:c r="N798" s="6" t="n">
        <x:v>0.886</x:v>
      </x:c>
      <x:c r="O798" s="1" t="str">
        <x:v>합격</x:v>
      </x:c>
      <x:c r="P798" s="1"/>
      <x:c r="Q798" s="1" t="n">
        <x:v>43</x:v>
      </x:c>
      <x:c r="R798" s="1" t="str">
        <x:v>N</x:v>
      </x:c>
      <x:c r="S798" s="1" t="n">
        <x:v>0</x:v>
      </x:c>
      <x:c r="T798" s="1" t="str">
        <x:v>합격</x:v>
      </x:c>
    </x:row>
    <x:row r="799" ht="22" customHeight="1">
      <x:c r="A799" s="1" t="str">
        <x:v>R00798</x:v>
      </x:c>
      <x:c r="B799" s="4" t="n">
        <x:v>46226.54670138889</x:v>
      </x:c>
      <x:c r="C799" s="1" t="str">
        <x:v>주간</x:v>
      </x:c>
      <x:c r="D799" s="1" t="str">
        <x:v>L2</x:v>
      </x:c>
      <x:c r="E799" s="1" t="str">
        <x:v>P2</x:v>
      </x:c>
      <x:c r="F799" s="1" t="str">
        <x:v>M04</x:v>
      </x:c>
      <x:c r="G799" s="1" t="str">
        <x:v>G06</x:v>
      </x:c>
      <x:c r="H799" s="5" t="n">
        <x:v>28.59</x:v>
      </x:c>
      <x:c r="I799" s="5" t="n">
        <x:v>5.6</x:v>
      </x:c>
      <x:c r="J799" s="5" t="n">
        <x:v>51.8</x:v>
      </x:c>
      <x:c r="K799" s="5" t="n">
        <x:v>39.3</x:v>
      </x:c>
      <x:c r="L799" s="5" t="n">
        <x:v>2.21</x:v>
      </x:c>
      <x:c r="M799" s="1" t="n">
        <x:v>0</x:v>
      </x:c>
      <x:c r="N799" s="6" t="n">
        <x:v>0.862</x:v>
      </x:c>
      <x:c r="O799" s="1" t="str">
        <x:v>합격</x:v>
      </x:c>
      <x:c r="P799" s="1"/>
      <x:c r="Q799" s="1" t="n">
        <x:v>35</x:v>
      </x:c>
      <x:c r="R799" s="1" t="str">
        <x:v>N</x:v>
      </x:c>
      <x:c r="S799" s="1" t="n">
        <x:v>0</x:v>
      </x:c>
      <x:c r="T799" s="1" t="str">
        <x:v>합격</x:v>
      </x:c>
    </x:row>
    <x:row r="800" ht="22" customHeight="1">
      <x:c r="A800" s="1" t="str">
        <x:v>R00799</x:v>
      </x:c>
      <x:c r="B800" s="4" t="n">
        <x:v>46227.524722222224</x:v>
      </x:c>
      <x:c r="C800" s="1" t="str">
        <x:v>주간</x:v>
      </x:c>
      <x:c r="D800" s="1" t="str">
        <x:v>L2</x:v>
      </x:c>
      <x:c r="E800" s="1" t="str">
        <x:v>P2</x:v>
      </x:c>
      <x:c r="F800" s="1" t="str">
        <x:v>M04</x:v>
      </x:c>
      <x:c r="G800" s="1" t="str">
        <x:v>G01</x:v>
      </x:c>
      <x:c r="H800" s="5" t="n">
        <x:v>28.99</x:v>
      </x:c>
      <x:c r="I800" s="5" t="n">
        <x:v>5.86</x:v>
      </x:c>
      <x:c r="J800" s="5" t="n">
        <x:v>56.3</x:v>
      </x:c>
      <x:c r="K800" s="5" t="n">
        <x:v>36.7</x:v>
      </x:c>
      <x:c r="L800" s="5" t="n">
        <x:v>1.89</x:v>
      </x:c>
      <x:c r="M800" s="1" t="n">
        <x:v>0</x:v>
      </x:c>
      <x:c r="N800" s="6" t="n">
        <x:v>1.025</x:v>
      </x:c>
      <x:c r="O800" s="1" t="str">
        <x:v>합격</x:v>
      </x:c>
      <x:c r="P800" s="1"/>
      <x:c r="Q800" s="1" t="n">
        <x:v>35</x:v>
      </x:c>
      <x:c r="R800" s="1" t="str">
        <x:v>N</x:v>
      </x:c>
      <x:c r="S800" s="1" t="n">
        <x:v>0</x:v>
      </x:c>
      <x:c r="T800" s="1" t="str">
        <x:v>합격</x:v>
      </x:c>
    </x:row>
    <x:row r="801" ht="22" customHeight="1">
      <x:c r="A801" s="1" t="str">
        <x:v>R00800</x:v>
      </x:c>
      <x:c r="B801" s="4" t="n">
        <x:v>46228.662766203706</x:v>
      </x:c>
      <x:c r="C801" s="1" t="str">
        <x:v>주간</x:v>
      </x:c>
      <x:c r="D801" s="1" t="str">
        <x:v>L2</x:v>
      </x:c>
      <x:c r="E801" s="1" t="str">
        <x:v>P2</x:v>
      </x:c>
      <x:c r="F801" s="1" t="str">
        <x:v>M04</x:v>
      </x:c>
      <x:c r="G801" s="1" t="str">
        <x:v>G02</x:v>
      </x:c>
      <x:c r="H801" s="5" t="n">
        <x:v>27.45</x:v>
      </x:c>
      <x:c r="I801" s="5" t="n">
        <x:v>5.7</x:v>
      </x:c>
      <x:c r="J801" s="5" t="n">
        <x:v>53.3</x:v>
      </x:c>
      <x:c r="K801" s="5" t="n">
        <x:v>39.6</x:v>
      </x:c>
      <x:c r="L801" s="5" t="n">
        <x:v>2.38</x:v>
      </x:c>
      <x:c r="M801" s="1" t="n">
        <x:v>1</x:v>
      </x:c>
      <x:c r="N801" s="6" t="n">
        <x:v>0.923</x:v>
      </x:c>
      <x:c r="O801" s="1" t="str">
        <x:v>합격</x:v>
      </x:c>
      <x:c r="P801" s="1"/>
      <x:c r="Q801" s="1" t="n">
        <x:v>44</x:v>
      </x:c>
      <x:c r="R801" s="1" t="str">
        <x:v>N</x:v>
      </x:c>
      <x:c r="S801" s="1" t="n">
        <x:v>0</x:v>
      </x:c>
      <x:c r="T801" s="1" t="str">
        <x:v>합격</x:v>
      </x:c>
    </x:row>
    <x:row r="802" ht="22" customHeight="1">
      <x:c r="A802" s="1" t="str">
        <x:v>R00801</x:v>
      </x:c>
      <x:c r="B802" s="4" t="n">
        <x:v>46229.969872685186</x:v>
      </x:c>
      <x:c r="C802" s="1" t="str">
        <x:v>야간</x:v>
      </x:c>
      <x:c r="D802" s="1" t="str">
        <x:v>L1</x:v>
      </x:c>
      <x:c r="E802" s="1" t="str">
        <x:v>P1</x:v>
      </x:c>
      <x:c r="F802" s="1" t="str">
        <x:v>M03</x:v>
      </x:c>
      <x:c r="G802" s="1" t="str">
        <x:v>G03</x:v>
      </x:c>
      <x:c r="H802" s="5" t="n">
        <x:v>33.52</x:v>
      </x:c>
      <x:c r="I802" s="5" t="n">
        <x:v>5.79</x:v>
      </x:c>
      <x:c r="J802" s="5" t="n">
        <x:v>47</x:v>
      </x:c>
      <x:c r="K802" s="5" t="n">
        <x:v>35.4</x:v>
      </x:c>
      <x:c r="L802" s="5" t="n">
        <x:v>1.76</x:v>
      </x:c>
      <x:c r="M802" s="1" t="n">
        <x:v>1</x:v>
      </x:c>
      <x:c r="N802" s="6" t="n">
        <x:v>0.907</x:v>
      </x:c>
      <x:c r="O802" s="1" t="str">
        <x:v>합격</x:v>
      </x:c>
      <x:c r="P802" s="1"/>
      <x:c r="Q802" s="1" t="n">
        <x:v>45</x:v>
      </x:c>
      <x:c r="R802" s="1" t="str">
        <x:v>N</x:v>
      </x:c>
      <x:c r="S802" s="1" t="n">
        <x:v>0</x:v>
      </x:c>
      <x:c r="T802" s="1" t="str">
        <x:v>합격</x:v>
      </x:c>
    </x:row>
    <x:row r="803" ht="22" customHeight="1">
      <x:c r="A803" s="1" t="str">
        <x:v>R00802</x:v>
      </x:c>
      <x:c r="B803" s="4" t="n">
        <x:v>46230.36162037037</x:v>
      </x:c>
      <x:c r="C803" s="1" t="str">
        <x:v>주간</x:v>
      </x:c>
      <x:c r="D803" s="1" t="str">
        <x:v>L2</x:v>
      </x:c>
      <x:c r="E803" s="1" t="str">
        <x:v>P2</x:v>
      </x:c>
      <x:c r="F803" s="1" t="str">
        <x:v>M04</x:v>
      </x:c>
      <x:c r="G803" s="1" t="str">
        <x:v>G04</x:v>
      </x:c>
      <x:c r="H803" s="5" t="n">
        <x:v>28.04</x:v>
      </x:c>
      <x:c r="I803" s="5" t="n">
        <x:v>5.84</x:v>
      </x:c>
      <x:c r="J803" s="5" t="n">
        <x:v>54.5</x:v>
      </x:c>
      <x:c r="K803" s="5" t="n">
        <x:v>35.8</x:v>
      </x:c>
      <x:c r="L803" s="5" t="n">
        <x:v>2.34</x:v>
      </x:c>
      <x:c r="M803" s="1" t="n">
        <x:v>1</x:v>
      </x:c>
      <x:c r="N803" s="6" t="n">
        <x:v>0.965</x:v>
      </x:c>
      <x:c r="O803" s="1" t="str">
        <x:v>합격</x:v>
      </x:c>
      <x:c r="P803" s="1"/>
      <x:c r="Q803" s="1" t="n">
        <x:v>49</x:v>
      </x:c>
      <x:c r="R803" s="1" t="str">
        <x:v>N</x:v>
      </x:c>
      <x:c r="S803" s="1" t="n">
        <x:v>0</x:v>
      </x:c>
      <x:c r="T803" s="1" t="str">
        <x:v>합격</x:v>
      </x:c>
    </x:row>
    <x:row r="804" ht="22" customHeight="1">
      <x:c r="A804" s="1" t="str">
        <x:v>R00803</x:v>
      </x:c>
      <x:c r="B804" s="4" t="n">
        <x:v>46231.42967592592</x:v>
      </x:c>
      <x:c r="C804" s="1" t="str">
        <x:v>주간</x:v>
      </x:c>
      <x:c r="D804" s="1" t="str">
        <x:v>L1</x:v>
      </x:c>
      <x:c r="E804" s="1" t="str">
        <x:v>P1</x:v>
      </x:c>
      <x:c r="F804" s="1" t="str">
        <x:v>M03</x:v>
      </x:c>
      <x:c r="G804" s="1" t="str">
        <x:v>G05</x:v>
      </x:c>
      <x:c r="H804" s="5" t="n">
        <x:v>28.34</x:v>
      </x:c>
      <x:c r="I804" s="5" t="n">
        <x:v>5.72</x:v>
      </x:c>
      <x:c r="J804" s="5" t="n">
        <x:v>52</x:v>
      </x:c>
      <x:c r="K804" s="5" t="n">
        <x:v>35.2</x:v>
      </x:c>
      <x:c r="L804" s="5" t="n">
        <x:v>2.4</x:v>
      </x:c>
      <x:c r="M804" s="1" t="n">
        <x:v>0</x:v>
      </x:c>
      <x:c r="N804" s="6" t="n">
        <x:v>0.955</x:v>
      </x:c>
      <x:c r="O804" s="1" t="str">
        <x:v>합격</x:v>
      </x:c>
      <x:c r="P804" s="1"/>
      <x:c r="Q804" s="1" t="n">
        <x:v>45</x:v>
      </x:c>
      <x:c r="R804" s="1" t="str">
        <x:v>N</x:v>
      </x:c>
      <x:c r="S804" s="1" t="n">
        <x:v>0</x:v>
      </x:c>
      <x:c r="T804" s="1" t="str">
        <x:v>합격</x:v>
      </x:c>
    </x:row>
    <x:row r="805" ht="22" customHeight="1">
      <x:c r="A805" s="1" t="str">
        <x:v>R00804</x:v>
      </x:c>
      <x:c r="B805" s="4" t="n">
        <x:v>46232.53947916667</x:v>
      </x:c>
      <x:c r="C805" s="1" t="str">
        <x:v>주간</x:v>
      </x:c>
      <x:c r="D805" s="1" t="str">
        <x:v>L1</x:v>
      </x:c>
      <x:c r="E805" s="1" t="str">
        <x:v>P1</x:v>
      </x:c>
      <x:c r="F805" s="1" t="str">
        <x:v>M03</x:v>
      </x:c>
      <x:c r="G805" s="1" t="str">
        <x:v>G06</x:v>
      </x:c>
      <x:c r="H805" s="5" t="n">
        <x:v>29.32</x:v>
      </x:c>
      <x:c r="I805" s="5" t="n">
        <x:v>5.81</x:v>
      </x:c>
      <x:c r="J805" s="5" t="n">
        <x:v>56.7</x:v>
      </x:c>
      <x:c r="K805" s="5" t="n">
        <x:v>39.2</x:v>
      </x:c>
      <x:c r="L805" s="5" t="n">
        <x:v>1.62</x:v>
      </x:c>
      <x:c r="M805" s="1" t="n">
        <x:v>1</x:v>
      </x:c>
      <x:c r="N805" s="6" t="n">
        <x:v>0.971</x:v>
      </x:c>
      <x:c r="O805" s="1" t="str">
        <x:v>합격</x:v>
      </x:c>
      <x:c r="P805" s="1"/>
      <x:c r="Q805" s="1" t="n">
        <x:v>49</x:v>
      </x:c>
      <x:c r="R805" s="1" t="str">
        <x:v>N</x:v>
      </x:c>
      <x:c r="S805" s="1" t="n">
        <x:v>0</x:v>
      </x:c>
      <x:c r="T805" s="1" t="str">
        <x:v>합격</x:v>
      </x:c>
    </x:row>
    <x:row r="806" ht="22" customHeight="1">
      <x:c r="A806" s="1" t="str">
        <x:v>R00805</x:v>
      </x:c>
      <x:c r="B806" s="4" t="n">
        <x:v>46233.35736111111</x:v>
      </x:c>
      <x:c r="C806" s="1" t="str">
        <x:v>주간</x:v>
      </x:c>
      <x:c r="D806" s="1" t="str">
        <x:v>L2</x:v>
      </x:c>
      <x:c r="E806" s="1" t="str">
        <x:v>P2</x:v>
      </x:c>
      <x:c r="F806" s="1" t="str">
        <x:v>M04</x:v>
      </x:c>
      <x:c r="G806" s="1" t="str">
        <x:v>G01</x:v>
      </x:c>
      <x:c r="H806" s="5" t="n">
        <x:v>30.37</x:v>
      </x:c>
      <x:c r="I806" s="5" t="n">
        <x:v>5.73</x:v>
      </x:c>
      <x:c r="J806" s="5" t="n">
        <x:v>49</x:v>
      </x:c>
      <x:c r="K806" s="5" t="n">
        <x:v>40.7</x:v>
      </x:c>
      <x:c r="L806" s="5" t="n">
        <x:v>1.71</x:v>
      </x:c>
      <x:c r="M806" s="1" t="n">
        <x:v>1</x:v>
      </x:c>
      <x:c r="N806" s="6" t="n">
        <x:v>0.863</x:v>
      </x:c>
      <x:c r="O806" s="1" t="str">
        <x:v>합격</x:v>
      </x:c>
      <x:c r="P806" s="1"/>
      <x:c r="Q806" s="1" t="n">
        <x:v>44</x:v>
      </x:c>
      <x:c r="R806" s="1" t="str">
        <x:v>N</x:v>
      </x:c>
      <x:c r="S806" s="1" t="n">
        <x:v>0</x:v>
      </x:c>
      <x:c r="T806" s="1" t="str">
        <x:v>합격</x:v>
      </x:c>
    </x:row>
    <x:row r="807" ht="22" customHeight="1">
      <x:c r="A807" s="1" t="str">
        <x:v>R00806</x:v>
      </x:c>
      <x:c r="B807" s="4" t="n">
        <x:v>46234.06344907408</x:v>
      </x:c>
      <x:c r="C807" s="1" t="str">
        <x:v>야간</x:v>
      </x:c>
      <x:c r="D807" s="1" t="str">
        <x:v>L1</x:v>
      </x:c>
      <x:c r="E807" s="1" t="str">
        <x:v>P1</x:v>
      </x:c>
      <x:c r="F807" s="1" t="str">
        <x:v>M03</x:v>
      </x:c>
      <x:c r="G807" s="1" t="str">
        <x:v>G02</x:v>
      </x:c>
      <x:c r="H807" s="5" t="n">
        <x:v>29.76</x:v>
      </x:c>
      <x:c r="I807" s="5" t="n">
        <x:v>5.67</x:v>
      </x:c>
      <x:c r="J807" s="5" t="n">
        <x:v>49.4</x:v>
      </x:c>
      <x:c r="K807" s="5" t="n">
        <x:v>41.8</x:v>
      </x:c>
      <x:c r="L807" s="5" t="n">
        <x:v>2.59</x:v>
      </x:c>
      <x:c r="M807" s="1" t="n">
        <x:v>1</x:v>
      </x:c>
      <x:c r="N807" s="6" t="n">
        <x:v>0.866</x:v>
      </x:c>
      <x:c r="O807" s="1" t="str">
        <x:v>불합격</x:v>
      </x:c>
      <x:c r="P807" s="1" t="str">
        <x:v>외관불량</x:v>
      </x:c>
      <x:c r="Q807" s="1" t="n">
        <x:v>38</x:v>
      </x:c>
      <x:c r="R807" s="1" t="str">
        <x:v>Y</x:v>
      </x:c>
      <x:c r="S807" s="1" t="n">
        <x:v>7</x:v>
      </x:c>
      <x:c r="T807" s="1" t="str">
        <x:v>재작업후합격</x:v>
      </x:c>
    </x:row>
    <x:row r="808" ht="22" customHeight="1">
      <x:c r="A808" s="1" t="str">
        <x:v>R00807</x:v>
      </x:c>
      <x:c r="B808" s="4" t="n">
        <x:v>46204.068553240744</x:v>
      </x:c>
      <x:c r="C808" s="1" t="str">
        <x:v>야간</x:v>
      </x:c>
      <x:c r="D808" s="1" t="str">
        <x:v>L2</x:v>
      </x:c>
      <x:c r="E808" s="1" t="str">
        <x:v>P2</x:v>
      </x:c>
      <x:c r="F808" s="1" t="str">
        <x:v>M01</x:v>
      </x:c>
      <x:c r="G808" s="1" t="str">
        <x:v>G03</x:v>
      </x:c>
      <x:c r="H808" s="5" t="n">
        <x:v>30.85</x:v>
      </x:c>
      <x:c r="I808" s="5" t="n">
        <x:v>5.65</x:v>
      </x:c>
      <x:c r="J808" s="5" t="n">
        <x:v>58.9</x:v>
      </x:c>
      <x:c r="K808" s="5" t="n">
        <x:v>36.2</x:v>
      </x:c>
      <x:c r="L808" s="5" t="n">
        <x:v>1.87</x:v>
      </x:c>
      <x:c r="M808" s="1" t="n">
        <x:v>0</x:v>
      </x:c>
      <x:c r="N808" s="6" t="n">
        <x:v>1.008</x:v>
      </x:c>
      <x:c r="O808" s="1" t="str">
        <x:v>합격</x:v>
      </x:c>
      <x:c r="P808" s="1"/>
      <x:c r="Q808" s="1" t="n">
        <x:v>47</x:v>
      </x:c>
      <x:c r="R808" s="1" t="str">
        <x:v>N</x:v>
      </x:c>
      <x:c r="S808" s="1" t="n">
        <x:v>0</x:v>
      </x:c>
      <x:c r="T808" s="1" t="str">
        <x:v>합격</x:v>
      </x:c>
    </x:row>
    <x:row r="809" ht="22" customHeight="1">
      <x:c r="A809" s="1" t="str">
        <x:v>R00808</x:v>
      </x:c>
      <x:c r="B809" s="4" t="n">
        <x:v>46205.620474537034</x:v>
      </x:c>
      <x:c r="C809" s="1" t="str">
        <x:v>주간</x:v>
      </x:c>
      <x:c r="D809" s="1" t="str">
        <x:v>L1</x:v>
      </x:c>
      <x:c r="E809" s="1" t="str">
        <x:v>P1</x:v>
      </x:c>
      <x:c r="F809" s="1" t="str">
        <x:v>M03</x:v>
      </x:c>
      <x:c r="G809" s="1" t="str">
        <x:v>G04</x:v>
      </x:c>
      <x:c r="H809" s="5" t="n">
        <x:v>27.36</x:v>
      </x:c>
      <x:c r="I809" s="5" t="n">
        <x:v>5.89</x:v>
      </x:c>
      <x:c r="J809" s="5" t="n">
        <x:v>55.7</x:v>
      </x:c>
      <x:c r="K809" s="5" t="n">
        <x:v>37.4</x:v>
      </x:c>
      <x:c r="L809" s="5" t="n">
        <x:v>2.33</x:v>
      </x:c>
      <x:c r="M809" s="1" t="n">
        <x:v>0</x:v>
      </x:c>
      <x:c r="N809" s="6" t="n">
        <x:v>0.99</x:v>
      </x:c>
      <x:c r="O809" s="1" t="str">
        <x:v>합격</x:v>
      </x:c>
      <x:c r="P809" s="1"/>
      <x:c r="Q809" s="1" t="n">
        <x:v>36</x:v>
      </x:c>
      <x:c r="R809" s="1" t="str">
        <x:v>N</x:v>
      </x:c>
      <x:c r="S809" s="1" t="n">
        <x:v>0</x:v>
      </x:c>
      <x:c r="T809" s="1" t="str">
        <x:v>합격</x:v>
      </x:c>
    </x:row>
    <x:row r="810" ht="22" customHeight="1">
      <x:c r="A810" s="1" t="str">
        <x:v>R00809</x:v>
      </x:c>
      <x:c r="B810" s="4" t="n">
        <x:v>46206.49606481481</x:v>
      </x:c>
      <x:c r="C810" s="1" t="str">
        <x:v>주간</x:v>
      </x:c>
      <x:c r="D810" s="1" t="str">
        <x:v>L1</x:v>
      </x:c>
      <x:c r="E810" s="1" t="str">
        <x:v>P1</x:v>
      </x:c>
      <x:c r="F810" s="1" t="str">
        <x:v>M03</x:v>
      </x:c>
      <x:c r="G810" s="1" t="str">
        <x:v>G05</x:v>
      </x:c>
      <x:c r="H810" s="5" t="n">
        <x:v>30.02</x:v>
      </x:c>
      <x:c r="I810" s="5" t="n">
        <x:v>5.73</x:v>
      </x:c>
      <x:c r="J810" s="5" t="n">
        <x:v>58.6</x:v>
      </x:c>
      <x:c r="K810" s="5" t="n">
        <x:v>37.2</x:v>
      </x:c>
      <x:c r="L810" s="5" t="n">
        <x:v>2.34</x:v>
      </x:c>
      <x:c r="M810" s="1" t="n">
        <x:v>0</x:v>
      </x:c>
      <x:c r="N810" s="6" t="n">
        <x:v>0.956</x:v>
      </x:c>
      <x:c r="O810" s="1" t="str">
        <x:v>합격</x:v>
      </x:c>
      <x:c r="P810" s="1"/>
      <x:c r="Q810" s="1" t="n">
        <x:v>41</x:v>
      </x:c>
      <x:c r="R810" s="1" t="str">
        <x:v>N</x:v>
      </x:c>
      <x:c r="S810" s="1" t="n">
        <x:v>0</x:v>
      </x:c>
      <x:c r="T810" s="1" t="str">
        <x:v>합격</x:v>
      </x:c>
    </x:row>
    <x:row r="811" ht="22" customHeight="1">
      <x:c r="A811" s="1" t="str">
        <x:v>R00810</x:v>
      </x:c>
      <x:c r="B811" s="4" t="n">
        <x:v>46207.588842592595</x:v>
      </x:c>
      <x:c r="C811" s="1" t="str">
        <x:v>주간</x:v>
      </x:c>
      <x:c r="D811" s="1" t="str">
        <x:v>L2</x:v>
      </x:c>
      <x:c r="E811" s="1" t="str">
        <x:v>P2</x:v>
      </x:c>
      <x:c r="F811" s="1" t="str">
        <x:v>M04</x:v>
      </x:c>
      <x:c r="G811" s="1" t="str">
        <x:v>G06</x:v>
      </x:c>
      <x:c r="H811" s="5" t="n">
        <x:v>30.06</x:v>
      </x:c>
      <x:c r="I811" s="5" t="n">
        <x:v>5.7</x:v>
      </x:c>
      <x:c r="J811" s="5" t="n">
        <x:v>50.9</x:v>
      </x:c>
      <x:c r="K811" s="5" t="n">
        <x:v>36.2</x:v>
      </x:c>
      <x:c r="L811" s="5" t="n">
        <x:v>1.34</x:v>
      </x:c>
      <x:c r="M811" s="1" t="n">
        <x:v>0</x:v>
      </x:c>
      <x:c r="N811" s="6" t="n">
        <x:v>1.001</x:v>
      </x:c>
      <x:c r="O811" s="1" t="str">
        <x:v>합격</x:v>
      </x:c>
      <x:c r="P811" s="1"/>
      <x:c r="Q811" s="1" t="n">
        <x:v>47</x:v>
      </x:c>
      <x:c r="R811" s="1" t="str">
        <x:v>N</x:v>
      </x:c>
      <x:c r="S811" s="1" t="n">
        <x:v>0</x:v>
      </x:c>
      <x:c r="T811" s="1" t="str">
        <x:v>합격</x:v>
      </x:c>
    </x:row>
    <x:row r="812" ht="22" customHeight="1">
      <x:c r="A812" s="1" t="str">
        <x:v>R00811</x:v>
      </x:c>
      <x:c r="B812" s="4" t="n">
        <x:v>46208.07622685185</x:v>
      </x:c>
      <x:c r="C812" s="1" t="str">
        <x:v>야간</x:v>
      </x:c>
      <x:c r="D812" s="1" t="str">
        <x:v>L2</x:v>
      </x:c>
      <x:c r="E812" s="1" t="str">
        <x:v>P2</x:v>
      </x:c>
      <x:c r="F812" s="1" t="str">
        <x:v>M01</x:v>
      </x:c>
      <x:c r="G812" s="1" t="str">
        <x:v>G01</x:v>
      </x:c>
      <x:c r="H812" s="5" t="n">
        <x:v>32.26</x:v>
      </x:c>
      <x:c r="I812" s="5" t="n">
        <x:v>5.64</x:v>
      </x:c>
      <x:c r="J812" s="5" t="n">
        <x:v>55.6</x:v>
      </x:c>
      <x:c r="K812" s="5" t="n">
        <x:v>40.5</x:v>
      </x:c>
      <x:c r="L812" s="5" t="n">
        <x:v>1.33</x:v>
      </x:c>
      <x:c r="M812" s="1" t="n">
        <x:v>0</x:v>
      </x:c>
      <x:c r="N812" s="6" t="n">
        <x:v>0.922</x:v>
      </x:c>
      <x:c r="O812" s="1" t="str">
        <x:v>합격</x:v>
      </x:c>
      <x:c r="P812" s="1"/>
      <x:c r="Q812" s="1" t="n">
        <x:v>48</x:v>
      </x:c>
      <x:c r="R812" s="1" t="str">
        <x:v>N</x:v>
      </x:c>
      <x:c r="S812" s="1" t="n">
        <x:v>0</x:v>
      </x:c>
      <x:c r="T812" s="1" t="str">
        <x:v>합격</x:v>
      </x:c>
    </x:row>
    <x:row r="813" ht="22" customHeight="1">
      <x:c r="A813" s="1" t="str">
        <x:v>R00812</x:v>
      </x:c>
      <x:c r="B813" s="4" t="n">
        <x:v>46209.13657407407</x:v>
      </x:c>
      <x:c r="C813" s="1" t="str">
        <x:v>야간</x:v>
      </x:c>
      <x:c r="D813" s="1" t="str">
        <x:v>L1</x:v>
      </x:c>
      <x:c r="E813" s="1" t="str">
        <x:v>P1</x:v>
      </x:c>
      <x:c r="F813" s="1" t="str">
        <x:v>M03</x:v>
      </x:c>
      <x:c r="G813" s="1" t="str">
        <x:v>G02</x:v>
      </x:c>
      <x:c r="H813" s="5" t="n">
        <x:v>29.91</x:v>
      </x:c>
      <x:c r="I813" s="5" t="n">
        <x:v>5.69</x:v>
      </x:c>
      <x:c r="J813" s="5" t="n">
        <x:v>51.1</x:v>
      </x:c>
      <x:c r="K813" s="5" t="n">
        <x:v>40.2</x:v>
      </x:c>
      <x:c r="L813" s="5" t="n">
        <x:v>2.32</x:v>
      </x:c>
      <x:c r="M813" s="1" t="n">
        <x:v>1</x:v>
      </x:c>
      <x:c r="N813" s="6" t="n">
        <x:v>1.046</x:v>
      </x:c>
      <x:c r="O813" s="1" t="str">
        <x:v>합격</x:v>
      </x:c>
      <x:c r="P813" s="1"/>
      <x:c r="Q813" s="1" t="n">
        <x:v>38</x:v>
      </x:c>
      <x:c r="R813" s="1" t="str">
        <x:v>N</x:v>
      </x:c>
      <x:c r="S813" s="1" t="n">
        <x:v>0</x:v>
      </x:c>
      <x:c r="T813" s="1" t="str">
        <x:v>합격</x:v>
      </x:c>
    </x:row>
    <x:row r="814" ht="22" customHeight="1">
      <x:c r="A814" s="1" t="str">
        <x:v>R00813</x:v>
      </x:c>
      <x:c r="B814" s="4" t="n">
        <x:v>46210.41695601852</x:v>
      </x:c>
      <x:c r="C814" s="1" t="str">
        <x:v>주간</x:v>
      </x:c>
      <x:c r="D814" s="1" t="str">
        <x:v>L2</x:v>
      </x:c>
      <x:c r="E814" s="1" t="str">
        <x:v>P2</x:v>
      </x:c>
      <x:c r="F814" s="1" t="str">
        <x:v>M02</x:v>
      </x:c>
      <x:c r="G814" s="1" t="str">
        <x:v>G03</x:v>
      </x:c>
      <x:c r="H814" s="5" t="n">
        <x:v>31.04</x:v>
      </x:c>
      <x:c r="I814" s="5" t="n">
        <x:v>5.83</x:v>
      </x:c>
      <x:c r="J814" s="5" t="n">
        <x:v>57.1</x:v>
      </x:c>
      <x:c r="K814" s="5" t="n">
        <x:v>41.6</x:v>
      </x:c>
      <x:c r="L814" s="5" t="n">
        <x:v>2.42</x:v>
      </x:c>
      <x:c r="M814" s="1" t="n">
        <x:v>1</x:v>
      </x:c>
      <x:c r="N814" s="6" t="n">
        <x:v>1.048</x:v>
      </x:c>
      <x:c r="O814" s="1" t="str">
        <x:v>불합격</x:v>
      </x:c>
      <x:c r="P814" s="1" t="str">
        <x:v>작동불량</x:v>
      </x:c>
      <x:c r="Q814" s="1" t="n">
        <x:v>44</x:v>
      </x:c>
      <x:c r="R814" s="1" t="str">
        <x:v>Y</x:v>
      </x:c>
      <x:c r="S814" s="1" t="n">
        <x:v>9</x:v>
      </x:c>
      <x:c r="T814" s="1" t="str">
        <x:v>재작업후합격</x:v>
      </x:c>
    </x:row>
    <x:row r="815" ht="22" customHeight="1">
      <x:c r="A815" s="1" t="str">
        <x:v>R00814</x:v>
      </x:c>
      <x:c r="B815" s="4" t="n">
        <x:v>46211.61344907407</x:v>
      </x:c>
      <x:c r="C815" s="1" t="str">
        <x:v>주간</x:v>
      </x:c>
      <x:c r="D815" s="1" t="str">
        <x:v>L2</x:v>
      </x:c>
      <x:c r="E815" s="1" t="str">
        <x:v>P2</x:v>
      </x:c>
      <x:c r="F815" s="1" t="str">
        <x:v>M02</x:v>
      </x:c>
      <x:c r="G815" s="1" t="str">
        <x:v>G04</x:v>
      </x:c>
      <x:c r="H815" s="5" t="n">
        <x:v>31.59</x:v>
      </x:c>
      <x:c r="I815" s="5" t="n">
        <x:v>5.78</x:v>
      </x:c>
      <x:c r="J815" s="5" t="n">
        <x:v>49.2</x:v>
      </x:c>
      <x:c r="K815" s="5" t="n">
        <x:v>38.7</x:v>
      </x:c>
      <x:c r="L815" s="5" t="n">
        <x:v>2.43</x:v>
      </x:c>
      <x:c r="M815" s="1" t="n">
        <x:v>1</x:v>
      </x:c>
      <x:c r="N815" s="6" t="n">
        <x:v>0.963</x:v>
      </x:c>
      <x:c r="O815" s="1" t="str">
        <x:v>합격</x:v>
      </x:c>
      <x:c r="P815" s="1"/>
      <x:c r="Q815" s="1" t="n">
        <x:v>42</x:v>
      </x:c>
      <x:c r="R815" s="1" t="str">
        <x:v>N</x:v>
      </x:c>
      <x:c r="S815" s="1" t="n">
        <x:v>0</x:v>
      </x:c>
      <x:c r="T815" s="1" t="str">
        <x:v>합격</x:v>
      </x:c>
    </x:row>
    <x:row r="816" ht="22" customHeight="1">
      <x:c r="A816" s="1" t="str">
        <x:v>R00815</x:v>
      </x:c>
      <x:c r="B816" s="4" t="n">
        <x:v>46212.38070601852</x:v>
      </x:c>
      <x:c r="C816" s="1" t="str">
        <x:v>주간</x:v>
      </x:c>
      <x:c r="D816" s="1" t="str">
        <x:v>L1</x:v>
      </x:c>
      <x:c r="E816" s="1" t="str">
        <x:v>P1</x:v>
      </x:c>
      <x:c r="F816" s="1" t="str">
        <x:v>M01</x:v>
      </x:c>
      <x:c r="G816" s="1" t="str">
        <x:v>G05</x:v>
      </x:c>
      <x:c r="H816" s="5" t="n">
        <x:v>29.9</x:v>
      </x:c>
      <x:c r="I816" s="5" t="n">
        <x:v>5.91</x:v>
      </x:c>
      <x:c r="J816" s="5" t="n">
        <x:v>48.1</x:v>
      </x:c>
      <x:c r="K816" s="5" t="n">
        <x:v>41.4</x:v>
      </x:c>
      <x:c r="L816" s="5" t="n">
        <x:v>1.99</x:v>
      </x:c>
      <x:c r="M816" s="1" t="n">
        <x:v>0</x:v>
      </x:c>
      <x:c r="N816" s="6" t="n">
        <x:v>0.921</x:v>
      </x:c>
      <x:c r="O816" s="1" t="str">
        <x:v>합격</x:v>
      </x:c>
      <x:c r="P816" s="1"/>
      <x:c r="Q816" s="1" t="n">
        <x:v>38</x:v>
      </x:c>
      <x:c r="R816" s="1" t="str">
        <x:v>N</x:v>
      </x:c>
      <x:c r="S816" s="1" t="n">
        <x:v>0</x:v>
      </x:c>
      <x:c r="T816" s="1" t="str">
        <x:v>합격</x:v>
      </x:c>
    </x:row>
    <x:row r="817" ht="22" customHeight="1">
      <x:c r="A817" s="1" t="str">
        <x:v>R00816</x:v>
      </x:c>
      <x:c r="B817" s="4" t="n">
        <x:v>46213.39826388889</x:v>
      </x:c>
      <x:c r="C817" s="1" t="str">
        <x:v>주간</x:v>
      </x:c>
      <x:c r="D817" s="1" t="str">
        <x:v>L1</x:v>
      </x:c>
      <x:c r="E817" s="1" t="str">
        <x:v>P1</x:v>
      </x:c>
      <x:c r="F817" s="1" t="str">
        <x:v>M03</x:v>
      </x:c>
      <x:c r="G817" s="1" t="str">
        <x:v>G06</x:v>
      </x:c>
      <x:c r="H817" s="5" t="n">
        <x:v>29.55</x:v>
      </x:c>
      <x:c r="I817" s="5" t="n">
        <x:v>5.93</x:v>
      </x:c>
      <x:c r="J817" s="5" t="n">
        <x:v>53.8</x:v>
      </x:c>
      <x:c r="K817" s="5" t="n">
        <x:v>39.5</x:v>
      </x:c>
      <x:c r="L817" s="5" t="n">
        <x:v>1.89</x:v>
      </x:c>
      <x:c r="M817" s="1" t="n">
        <x:v>1</x:v>
      </x:c>
      <x:c r="N817" s="6" t="n">
        <x:v>1.018</x:v>
      </x:c>
      <x:c r="O817" s="1" t="str">
        <x:v>합격</x:v>
      </x:c>
      <x:c r="P817" s="1"/>
      <x:c r="Q817" s="1" t="n">
        <x:v>44</x:v>
      </x:c>
      <x:c r="R817" s="1" t="str">
        <x:v>N</x:v>
      </x:c>
      <x:c r="S817" s="1" t="n">
        <x:v>0</x:v>
      </x:c>
      <x:c r="T817" s="1" t="str">
        <x:v>합격</x:v>
      </x:c>
    </x:row>
    <x:row r="818" ht="22" customHeight="1">
      <x:c r="A818" s="1" t="str">
        <x:v>R00817</x:v>
      </x:c>
      <x:c r="B818" s="4" t="n">
        <x:v>46214.90085648148</x:v>
      </x:c>
      <x:c r="C818" s="1" t="str">
        <x:v>야간</x:v>
      </x:c>
      <x:c r="D818" s="1" t="str">
        <x:v>L2</x:v>
      </x:c>
      <x:c r="E818" s="1" t="str">
        <x:v>P2</x:v>
      </x:c>
      <x:c r="F818" s="1" t="str">
        <x:v>M02</x:v>
      </x:c>
      <x:c r="G818" s="1" t="str">
        <x:v>G01</x:v>
      </x:c>
      <x:c r="H818" s="5" t="n">
        <x:v>29.46</x:v>
      </x:c>
      <x:c r="I818" s="5" t="n">
        <x:v>5.88</x:v>
      </x:c>
      <x:c r="J818" s="5" t="n">
        <x:v>58.4</x:v>
      </x:c>
      <x:c r="K818" s="5" t="n">
        <x:v>38.3</x:v>
      </x:c>
      <x:c r="L818" s="5" t="n">
        <x:v>1.79</x:v>
      </x:c>
      <x:c r="M818" s="1" t="n">
        <x:v>0</x:v>
      </x:c>
      <x:c r="N818" s="6" t="n">
        <x:v>0.964</x:v>
      </x:c>
      <x:c r="O818" s="1" t="str">
        <x:v>합격</x:v>
      </x:c>
      <x:c r="P818" s="1"/>
      <x:c r="Q818" s="1" t="n">
        <x:v>38</x:v>
      </x:c>
      <x:c r="R818" s="1" t="str">
        <x:v>N</x:v>
      </x:c>
      <x:c r="S818" s="1" t="n">
        <x:v>0</x:v>
      </x:c>
      <x:c r="T818" s="1" t="str">
        <x:v>합격</x:v>
      </x:c>
    </x:row>
    <x:row r="819" ht="22" customHeight="1">
      <x:c r="A819" s="1" t="str">
        <x:v>R00818</x:v>
      </x:c>
      <x:c r="B819" s="4" t="n">
        <x:v>46215.43173611111</x:v>
      </x:c>
      <x:c r="C819" s="1" t="str">
        <x:v>주간</x:v>
      </x:c>
      <x:c r="D819" s="1" t="str">
        <x:v>L1</x:v>
      </x:c>
      <x:c r="E819" s="1" t="str">
        <x:v>P1</x:v>
      </x:c>
      <x:c r="F819" s="1" t="str">
        <x:v>M01</x:v>
      </x:c>
      <x:c r="G819" s="1" t="str">
        <x:v>G02</x:v>
      </x:c>
      <x:c r="H819" s="5" t="n">
        <x:v>30.15</x:v>
      </x:c>
      <x:c r="I819" s="5" t="n">
        <x:v>5.85</x:v>
      </x:c>
      <x:c r="J819" s="5" t="n">
        <x:v>50.8</x:v>
      </x:c>
      <x:c r="K819" s="5" t="n">
        <x:v>38.3</x:v>
      </x:c>
      <x:c r="L819" s="5" t="n">
        <x:v>1.43</x:v>
      </x:c>
      <x:c r="M819" s="1" t="n">
        <x:v>0</x:v>
      </x:c>
      <x:c r="N819" s="6" t="n">
        <x:v>0.866</x:v>
      </x:c>
      <x:c r="O819" s="1" t="str">
        <x:v>합격</x:v>
      </x:c>
      <x:c r="P819" s="1"/>
      <x:c r="Q819" s="1" t="n">
        <x:v>37</x:v>
      </x:c>
      <x:c r="R819" s="1" t="str">
        <x:v>N</x:v>
      </x:c>
      <x:c r="S819" s="1" t="n">
        <x:v>0</x:v>
      </x:c>
      <x:c r="T819" s="1" t="str">
        <x:v>합격</x:v>
      </x:c>
    </x:row>
    <x:row r="820" ht="22" customHeight="1">
      <x:c r="A820" s="1" t="str">
        <x:v>R00819</x:v>
      </x:c>
      <x:c r="B820" s="4" t="n">
        <x:v>46216.10204861111</x:v>
      </x:c>
      <x:c r="C820" s="1" t="str">
        <x:v>야간</x:v>
      </x:c>
      <x:c r="D820" s="1" t="str">
        <x:v>L1</x:v>
      </x:c>
      <x:c r="E820" s="1" t="str">
        <x:v>P1</x:v>
      </x:c>
      <x:c r="F820" s="1" t="str">
        <x:v>M03</x:v>
      </x:c>
      <x:c r="G820" s="1" t="str">
        <x:v>G03</x:v>
      </x:c>
      <x:c r="H820" s="5" t="n">
        <x:v>32.25</x:v>
      </x:c>
      <x:c r="I820" s="5" t="n">
        <x:v>6</x:v>
      </x:c>
      <x:c r="J820" s="5" t="n">
        <x:v>56.9</x:v>
      </x:c>
      <x:c r="K820" s="5" t="n">
        <x:v>35.2</x:v>
      </x:c>
      <x:c r="L820" s="5" t="n">
        <x:v>2.42</x:v>
      </x:c>
      <x:c r="M820" s="1" t="n">
        <x:v>1</x:v>
      </x:c>
      <x:c r="N820" s="6" t="n">
        <x:v>0.851</x:v>
      </x:c>
      <x:c r="O820" s="1" t="str">
        <x:v>합격</x:v>
      </x:c>
      <x:c r="P820" s="1"/>
      <x:c r="Q820" s="1" t="n">
        <x:v>44</x:v>
      </x:c>
      <x:c r="R820" s="1" t="str">
        <x:v>N</x:v>
      </x:c>
      <x:c r="S820" s="1" t="n">
        <x:v>0</x:v>
      </x:c>
      <x:c r="T820" s="1" t="str">
        <x:v>합격</x:v>
      </x:c>
    </x:row>
    <x:row r="821" ht="22" customHeight="1">
      <x:c r="A821" s="1" t="str">
        <x:v>R00820</x:v>
      </x:c>
      <x:c r="B821" s="4" t="n">
        <x:v>46217.959444444445</x:v>
      </x:c>
      <x:c r="C821" s="1" t="str">
        <x:v>야간</x:v>
      </x:c>
      <x:c r="D821" s="1" t="str">
        <x:v>L2</x:v>
      </x:c>
      <x:c r="E821" s="1" t="str">
        <x:v>P2</x:v>
      </x:c>
      <x:c r="F821" s="1" t="str">
        <x:v>M01</x:v>
      </x:c>
      <x:c r="G821" s="1" t="str">
        <x:v>G04</x:v>
      </x:c>
      <x:c r="H821" s="5" t="n">
        <x:v>30.97</x:v>
      </x:c>
      <x:c r="I821" s="5" t="n">
        <x:v>5.96</x:v>
      </x:c>
      <x:c r="J821" s="5" t="n">
        <x:v>54.8</x:v>
      </x:c>
      <x:c r="K821" s="5" t="n">
        <x:v>37.2</x:v>
      </x:c>
      <x:c r="L821" s="5" t="n">
        <x:v>2.49</x:v>
      </x:c>
      <x:c r="M821" s="1" t="n">
        <x:v>0</x:v>
      </x:c>
      <x:c r="N821" s="6" t="n">
        <x:v>0.941</x:v>
      </x:c>
      <x:c r="O821" s="1" t="str">
        <x:v>합격</x:v>
      </x:c>
      <x:c r="P821" s="1"/>
      <x:c r="Q821" s="1" t="n">
        <x:v>39</x:v>
      </x:c>
      <x:c r="R821" s="1" t="str">
        <x:v>N</x:v>
      </x:c>
      <x:c r="S821" s="1" t="n">
        <x:v>0</x:v>
      </x:c>
      <x:c r="T821" s="1" t="str">
        <x:v>합격</x:v>
      </x:c>
    </x:row>
    <x:row r="822" ht="22" customHeight="1">
      <x:c r="A822" s="1" t="str">
        <x:v>R00821</x:v>
      </x:c>
      <x:c r="B822" s="4" t="n">
        <x:v>46218.08998842593</x:v>
      </x:c>
      <x:c r="C822" s="1" t="str">
        <x:v>야간</x:v>
      </x:c>
      <x:c r="D822" s="1" t="str">
        <x:v>L2</x:v>
      </x:c>
      <x:c r="E822" s="1" t="str">
        <x:v>P2</x:v>
      </x:c>
      <x:c r="F822" s="1" t="str">
        <x:v>M01</x:v>
      </x:c>
      <x:c r="G822" s="1" t="str">
        <x:v>G05</x:v>
      </x:c>
      <x:c r="H822" s="5" t="n">
        <x:v>27.49</x:v>
      </x:c>
      <x:c r="I822" s="5" t="n">
        <x:v>5.65</x:v>
      </x:c>
      <x:c r="J822" s="5" t="n">
        <x:v>54.7</x:v>
      </x:c>
      <x:c r="K822" s="5" t="n">
        <x:v>40.6</x:v>
      </x:c>
      <x:c r="L822" s="5" t="n">
        <x:v>1.53</x:v>
      </x:c>
      <x:c r="M822" s="1" t="n">
        <x:v>1</x:v>
      </x:c>
      <x:c r="N822" s="6" t="n">
        <x:v>1.004</x:v>
      </x:c>
      <x:c r="O822" s="1" t="str">
        <x:v>합격</x:v>
      </x:c>
      <x:c r="P822" s="1"/>
      <x:c r="Q822" s="1" t="n">
        <x:v>43</x:v>
      </x:c>
      <x:c r="R822" s="1" t="str">
        <x:v>N</x:v>
      </x:c>
      <x:c r="S822" s="1" t="n">
        <x:v>0</x:v>
      </x:c>
      <x:c r="T822" s="1" t="str">
        <x:v>합격</x:v>
      </x:c>
    </x:row>
    <x:row r="823" ht="22" customHeight="1">
      <x:c r="A823" s="1" t="str">
        <x:v>R00822</x:v>
      </x:c>
      <x:c r="B823" s="4" t="n">
        <x:v>46219.446539351855</x:v>
      </x:c>
      <x:c r="C823" s="1" t="str">
        <x:v>주간</x:v>
      </x:c>
      <x:c r="D823" s="1" t="str">
        <x:v>L1</x:v>
      </x:c>
      <x:c r="E823" s="1" t="str">
        <x:v>P1</x:v>
      </x:c>
      <x:c r="F823" s="1" t="str">
        <x:v>M01</x:v>
      </x:c>
      <x:c r="G823" s="1" t="str">
        <x:v>G06</x:v>
      </x:c>
      <x:c r="H823" s="5" t="n">
        <x:v>29.24</x:v>
      </x:c>
      <x:c r="I823" s="5" t="n">
        <x:v>5.84</x:v>
      </x:c>
      <x:c r="J823" s="5" t="n">
        <x:v>58.7</x:v>
      </x:c>
      <x:c r="K823" s="5" t="n">
        <x:v>38.3</x:v>
      </x:c>
      <x:c r="L823" s="5" t="n">
        <x:v>1.63</x:v>
      </x:c>
      <x:c r="M823" s="1" t="n">
        <x:v>1</x:v>
      </x:c>
      <x:c r="N823" s="6" t="n">
        <x:v>0.86</x:v>
      </x:c>
      <x:c r="O823" s="1" t="str">
        <x:v>합격</x:v>
      </x:c>
      <x:c r="P823" s="1"/>
      <x:c r="Q823" s="1" t="n">
        <x:v>37</x:v>
      </x:c>
      <x:c r="R823" s="1" t="str">
        <x:v>N</x:v>
      </x:c>
      <x:c r="S823" s="1" t="n">
        <x:v>0</x:v>
      </x:c>
      <x:c r="T823" s="1" t="str">
        <x:v>합격</x:v>
      </x:c>
    </x:row>
    <x:row r="824" ht="22" customHeight="1">
      <x:c r="A824" s="1" t="str">
        <x:v>R00823</x:v>
      </x:c>
      <x:c r="B824" s="4" t="n">
        <x:v>46220.65431712963</x:v>
      </x:c>
      <x:c r="C824" s="1" t="str">
        <x:v>주간</x:v>
      </x:c>
      <x:c r="D824" s="1" t="str">
        <x:v>L1</x:v>
      </x:c>
      <x:c r="E824" s="1" t="str">
        <x:v>P1</x:v>
      </x:c>
      <x:c r="F824" s="1" t="str">
        <x:v>M01</x:v>
      </x:c>
      <x:c r="G824" s="1" t="str">
        <x:v>G01</x:v>
      </x:c>
      <x:c r="H824" s="5" t="n">
        <x:v>31.65</x:v>
      </x:c>
      <x:c r="I824" s="5" t="n">
        <x:v>5.62</x:v>
      </x:c>
      <x:c r="J824" s="5" t="n">
        <x:v>47.9</x:v>
      </x:c>
      <x:c r="K824" s="5" t="n">
        <x:v>37.4</x:v>
      </x:c>
      <x:c r="L824" s="5" t="n">
        <x:v>1.62</x:v>
      </x:c>
      <x:c r="M824" s="1" t="n">
        <x:v>0</x:v>
      </x:c>
      <x:c r="N824" s="6" t="n">
        <x:v>0.924</x:v>
      </x:c>
      <x:c r="O824" s="1" t="str">
        <x:v>합격</x:v>
      </x:c>
      <x:c r="P824" s="1"/>
      <x:c r="Q824" s="1" t="n">
        <x:v>48</x:v>
      </x:c>
      <x:c r="R824" s="1" t="str">
        <x:v>N</x:v>
      </x:c>
      <x:c r="S824" s="1" t="n">
        <x:v>0</x:v>
      </x:c>
      <x:c r="T824" s="1" t="str">
        <x:v>합격</x:v>
      </x:c>
    </x:row>
    <x:row r="825" ht="22" customHeight="1">
      <x:c r="A825" s="1" t="str">
        <x:v>R00824</x:v>
      </x:c>
      <x:c r="B825" s="4" t="n">
        <x:v>46221.42996527778</x:v>
      </x:c>
      <x:c r="C825" s="1" t="str">
        <x:v>주간</x:v>
      </x:c>
      <x:c r="D825" s="1" t="str">
        <x:v>L1</x:v>
      </x:c>
      <x:c r="E825" s="1" t="str">
        <x:v>P1</x:v>
      </x:c>
      <x:c r="F825" s="1" t="str">
        <x:v>M01</x:v>
      </x:c>
      <x:c r="G825" s="1" t="str">
        <x:v>G02</x:v>
      </x:c>
      <x:c r="H825" s="5" t="n">
        <x:v>30.29</x:v>
      </x:c>
      <x:c r="I825" s="5" t="n">
        <x:v>5.94</x:v>
      </x:c>
      <x:c r="J825" s="5" t="n">
        <x:v>49.2</x:v>
      </x:c>
      <x:c r="K825" s="5" t="n">
        <x:v>39.2</x:v>
      </x:c>
      <x:c r="L825" s="5" t="n">
        <x:v>1.35</x:v>
      </x:c>
      <x:c r="M825" s="1" t="n">
        <x:v>0</x:v>
      </x:c>
      <x:c r="N825" s="6" t="n">
        <x:v>0.99</x:v>
      </x:c>
      <x:c r="O825" s="1" t="str">
        <x:v>합격</x:v>
      </x:c>
      <x:c r="P825" s="1"/>
      <x:c r="Q825" s="1" t="n">
        <x:v>39</x:v>
      </x:c>
      <x:c r="R825" s="1" t="str">
        <x:v>N</x:v>
      </x:c>
      <x:c r="S825" s="1" t="n">
        <x:v>0</x:v>
      </x:c>
      <x:c r="T825" s="1" t="str">
        <x:v>합격</x:v>
      </x:c>
    </x:row>
    <x:row r="826" ht="22" customHeight="1">
      <x:c r="A826" s="1" t="str">
        <x:v>R00825</x:v>
      </x:c>
      <x:c r="B826" s="4" t="n">
        <x:v>46222.341099537036</x:v>
      </x:c>
      <x:c r="C826" s="1" t="str">
        <x:v>주간</x:v>
      </x:c>
      <x:c r="D826" s="1" t="str">
        <x:v>L1</x:v>
      </x:c>
      <x:c r="E826" s="1" t="str">
        <x:v>P1</x:v>
      </x:c>
      <x:c r="F826" s="1" t="str">
        <x:v>M01</x:v>
      </x:c>
      <x:c r="G826" s="1" t="str">
        <x:v>G03</x:v>
      </x:c>
      <x:c r="H826" s="5" t="n">
        <x:v>29.14</x:v>
      </x:c>
      <x:c r="I826" s="5" t="n">
        <x:v>5.89</x:v>
      </x:c>
      <x:c r="J826" s="5" t="n">
        <x:v>48.4</x:v>
      </x:c>
      <x:c r="K826" s="5" t="n">
        <x:v>37.5</x:v>
      </x:c>
      <x:c r="L826" s="5" t="n">
        <x:v>1.55</x:v>
      </x:c>
      <x:c r="M826" s="1" t="n">
        <x:v>1</x:v>
      </x:c>
      <x:c r="N826" s="6" t="n">
        <x:v>1.025</x:v>
      </x:c>
      <x:c r="O826" s="1" t="str">
        <x:v>합격</x:v>
      </x:c>
      <x:c r="P826" s="1"/>
      <x:c r="Q826" s="1" t="n">
        <x:v>37</x:v>
      </x:c>
      <x:c r="R826" s="1" t="str">
        <x:v>N</x:v>
      </x:c>
      <x:c r="S826" s="1" t="n">
        <x:v>0</x:v>
      </x:c>
      <x:c r="T826" s="1" t="str">
        <x:v>합격</x:v>
      </x:c>
    </x:row>
    <x:row r="827" ht="22" customHeight="1">
      <x:c r="A827" s="1" t="str">
        <x:v>R00826</x:v>
      </x:c>
      <x:c r="B827" s="4" t="n">
        <x:v>46223.49623842593</x:v>
      </x:c>
      <x:c r="C827" s="1" t="str">
        <x:v>주간</x:v>
      </x:c>
      <x:c r="D827" s="1" t="str">
        <x:v>L2</x:v>
      </x:c>
      <x:c r="E827" s="1" t="str">
        <x:v>P2</x:v>
      </x:c>
      <x:c r="F827" s="1" t="str">
        <x:v>M02</x:v>
      </x:c>
      <x:c r="G827" s="1" t="str">
        <x:v>G04</x:v>
      </x:c>
      <x:c r="H827" s="5" t="n">
        <x:v>27.21</x:v>
      </x:c>
      <x:c r="I827" s="5" t="n">
        <x:v>5.72</x:v>
      </x:c>
      <x:c r="J827" s="5" t="n">
        <x:v>58.9</x:v>
      </x:c>
      <x:c r="K827" s="5" t="n">
        <x:v>41.2</x:v>
      </x:c>
      <x:c r="L827" s="5" t="n">
        <x:v>1.31</x:v>
      </x:c>
      <x:c r="M827" s="1" t="n">
        <x:v>1</x:v>
      </x:c>
      <x:c r="N827" s="6" t="n">
        <x:v>1.015</x:v>
      </x:c>
      <x:c r="O827" s="1" t="str">
        <x:v>합격</x:v>
      </x:c>
      <x:c r="P827" s="1"/>
      <x:c r="Q827" s="1" t="n">
        <x:v>39</x:v>
      </x:c>
      <x:c r="R827" s="1" t="str">
        <x:v>N</x:v>
      </x:c>
      <x:c r="S827" s="1" t="n">
        <x:v>0</x:v>
      </x:c>
      <x:c r="T827" s="1" t="str">
        <x:v>합격</x:v>
      </x:c>
    </x:row>
    <x:row r="828" ht="22" customHeight="1">
      <x:c r="A828" s="1" t="str">
        <x:v>R00827</x:v>
      </x:c>
      <x:c r="B828" s="4" t="n">
        <x:v>46224.99334490741</x:v>
      </x:c>
      <x:c r="C828" s="1" t="str">
        <x:v>야간</x:v>
      </x:c>
      <x:c r="D828" s="1" t="str">
        <x:v>L1</x:v>
      </x:c>
      <x:c r="E828" s="1" t="str">
        <x:v>P1</x:v>
      </x:c>
      <x:c r="F828" s="1" t="str">
        <x:v>M04</x:v>
      </x:c>
      <x:c r="G828" s="1" t="str">
        <x:v>G05</x:v>
      </x:c>
      <x:c r="H828" s="5" t="n">
        <x:v>28.66</x:v>
      </x:c>
      <x:c r="I828" s="5" t="n">
        <x:v>5.86</x:v>
      </x:c>
      <x:c r="J828" s="5" t="n">
        <x:v>50.7</x:v>
      </x:c>
      <x:c r="K828" s="5" t="n">
        <x:v>36.5</x:v>
      </x:c>
      <x:c r="L828" s="5" t="n">
        <x:v>2.53</x:v>
      </x:c>
      <x:c r="M828" s="1" t="n">
        <x:v>0</x:v>
      </x:c>
      <x:c r="N828" s="6" t="n">
        <x:v>0.949</x:v>
      </x:c>
      <x:c r="O828" s="1" t="str">
        <x:v>합격</x:v>
      </x:c>
      <x:c r="P828" s="1"/>
      <x:c r="Q828" s="1" t="n">
        <x:v>45</x:v>
      </x:c>
      <x:c r="R828" s="1" t="str">
        <x:v>N</x:v>
      </x:c>
      <x:c r="S828" s="1" t="n">
        <x:v>0</x:v>
      </x:c>
      <x:c r="T828" s="1" t="str">
        <x:v>합격</x:v>
      </x:c>
    </x:row>
    <x:row r="829" ht="22" customHeight="1">
      <x:c r="A829" s="1" t="str">
        <x:v>R00828</x:v>
      </x:c>
      <x:c r="B829" s="4" t="n">
        <x:v>46225.939837962964</x:v>
      </x:c>
      <x:c r="C829" s="1" t="str">
        <x:v>야간</x:v>
      </x:c>
      <x:c r="D829" s="1" t="str">
        <x:v>L1</x:v>
      </x:c>
      <x:c r="E829" s="1" t="str">
        <x:v>P1</x:v>
      </x:c>
      <x:c r="F829" s="1" t="str">
        <x:v>M04</x:v>
      </x:c>
      <x:c r="G829" s="1" t="str">
        <x:v>G06</x:v>
      </x:c>
      <x:c r="H829" s="5" t="n">
        <x:v>30.91</x:v>
      </x:c>
      <x:c r="I829" s="5" t="n">
        <x:v>5.81</x:v>
      </x:c>
      <x:c r="J829" s="5" t="n">
        <x:v>49.1</x:v>
      </x:c>
      <x:c r="K829" s="5" t="n">
        <x:v>40.2</x:v>
      </x:c>
      <x:c r="L829" s="5" t="n">
        <x:v>1.9</x:v>
      </x:c>
      <x:c r="M829" s="1" t="n">
        <x:v>1</x:v>
      </x:c>
      <x:c r="N829" s="6" t="n">
        <x:v>0.869</x:v>
      </x:c>
      <x:c r="O829" s="1" t="str">
        <x:v>합격</x:v>
      </x:c>
      <x:c r="P829" s="1"/>
      <x:c r="Q829" s="1" t="n">
        <x:v>38</x:v>
      </x:c>
      <x:c r="R829" s="1" t="str">
        <x:v>N</x:v>
      </x:c>
      <x:c r="S829" s="1" t="n">
        <x:v>0</x:v>
      </x:c>
      <x:c r="T829" s="1" t="str">
        <x:v>합격</x:v>
      </x:c>
    </x:row>
    <x:row r="830" ht="22" customHeight="1">
      <x:c r="A830" s="1" t="str">
        <x:v>R00829</x:v>
      </x:c>
      <x:c r="B830" s="4" t="n">
        <x:v>46226.1662037037</x:v>
      </x:c>
      <x:c r="C830" s="1" t="str">
        <x:v>야간</x:v>
      </x:c>
      <x:c r="D830" s="1" t="str">
        <x:v>L1</x:v>
      </x:c>
      <x:c r="E830" s="1" t="str">
        <x:v>P1</x:v>
      </x:c>
      <x:c r="F830" s="1" t="str">
        <x:v>M04</x:v>
      </x:c>
      <x:c r="G830" s="1" t="str">
        <x:v>G01</x:v>
      </x:c>
      <x:c r="H830" s="5" t="n">
        <x:v>31.18</x:v>
      </x:c>
      <x:c r="I830" s="5" t="n">
        <x:v>5.96</x:v>
      </x:c>
      <x:c r="J830" s="5" t="n">
        <x:v>52.1</x:v>
      </x:c>
      <x:c r="K830" s="5" t="n">
        <x:v>35.2</x:v>
      </x:c>
      <x:c r="L830" s="5" t="n">
        <x:v>2.64</x:v>
      </x:c>
      <x:c r="M830" s="1" t="n">
        <x:v>1</x:v>
      </x:c>
      <x:c r="N830" s="6" t="n">
        <x:v>0.921</x:v>
      </x:c>
      <x:c r="O830" s="1" t="str">
        <x:v>합격</x:v>
      </x:c>
      <x:c r="P830" s="1"/>
      <x:c r="Q830" s="1" t="n">
        <x:v>39</x:v>
      </x:c>
      <x:c r="R830" s="1" t="str">
        <x:v>N</x:v>
      </x:c>
      <x:c r="S830" s="1" t="n">
        <x:v>0</x:v>
      </x:c>
      <x:c r="T830" s="1" t="str">
        <x:v>합격</x:v>
      </x:c>
    </x:row>
    <x:row r="831" ht="22" customHeight="1">
      <x:c r="A831" s="1" t="str">
        <x:v>R00830</x:v>
      </x:c>
      <x:c r="B831" s="4" t="n">
        <x:v>46227.3878587963</x:v>
      </x:c>
      <x:c r="C831" s="1" t="str">
        <x:v>주간</x:v>
      </x:c>
      <x:c r="D831" s="1" t="str">
        <x:v>L1</x:v>
      </x:c>
      <x:c r="E831" s="1" t="str">
        <x:v>P1</x:v>
      </x:c>
      <x:c r="F831" s="1" t="str">
        <x:v>M03</x:v>
      </x:c>
      <x:c r="G831" s="1" t="str">
        <x:v>G02</x:v>
      </x:c>
      <x:c r="H831" s="5" t="n">
        <x:v>32.36</x:v>
      </x:c>
      <x:c r="I831" s="5" t="n">
        <x:v>5.97</x:v>
      </x:c>
      <x:c r="J831" s="5" t="n">
        <x:v>56.6</x:v>
      </x:c>
      <x:c r="K831" s="5" t="n">
        <x:v>35.1</x:v>
      </x:c>
      <x:c r="L831" s="5" t="n">
        <x:v>1.6</x:v>
      </x:c>
      <x:c r="M831" s="1" t="n">
        <x:v>1</x:v>
      </x:c>
      <x:c r="N831" s="6" t="n">
        <x:v>0.972</x:v>
      </x:c>
      <x:c r="O831" s="1" t="str">
        <x:v>합격</x:v>
      </x:c>
      <x:c r="P831" s="1"/>
      <x:c r="Q831" s="1" t="n">
        <x:v>39</x:v>
      </x:c>
      <x:c r="R831" s="1" t="str">
        <x:v>N</x:v>
      </x:c>
      <x:c r="S831" s="1" t="n">
        <x:v>0</x:v>
      </x:c>
      <x:c r="T831" s="1" t="str">
        <x:v>합격</x:v>
      </x:c>
    </x:row>
    <x:row r="832" ht="22" customHeight="1">
      <x:c r="A832" s="1" t="str">
        <x:v>R00831</x:v>
      </x:c>
      <x:c r="B832" s="4" t="n">
        <x:v>46228.645104166666</x:v>
      </x:c>
      <x:c r="C832" s="1" t="str">
        <x:v>주간</x:v>
      </x:c>
      <x:c r="D832" s="1" t="str">
        <x:v>L2</x:v>
      </x:c>
      <x:c r="E832" s="1" t="str">
        <x:v>P2</x:v>
      </x:c>
      <x:c r="F832" s="1" t="str">
        <x:v>M04</x:v>
      </x:c>
      <x:c r="G832" s="1" t="str">
        <x:v>G03</x:v>
      </x:c>
      <x:c r="H832" s="5" t="n">
        <x:v>31.3</x:v>
      </x:c>
      <x:c r="I832" s="5" t="n">
        <x:v>5.9</x:v>
      </x:c>
      <x:c r="J832" s="5" t="n">
        <x:v>48</x:v>
      </x:c>
      <x:c r="K832" s="5" t="n">
        <x:v>35.6</x:v>
      </x:c>
      <x:c r="L832" s="5" t="n">
        <x:v>2.14</x:v>
      </x:c>
      <x:c r="M832" s="1" t="n">
        <x:v>0</x:v>
      </x:c>
      <x:c r="N832" s="6" t="n">
        <x:v>1.022</x:v>
      </x:c>
      <x:c r="O832" s="1" t="str">
        <x:v>합격</x:v>
      </x:c>
      <x:c r="P832" s="1"/>
      <x:c r="Q832" s="1" t="n">
        <x:v>40</x:v>
      </x:c>
      <x:c r="R832" s="1" t="str">
        <x:v>N</x:v>
      </x:c>
      <x:c r="S832" s="1" t="n">
        <x:v>0</x:v>
      </x:c>
      <x:c r="T832" s="1" t="str">
        <x:v>합격</x:v>
      </x:c>
    </x:row>
    <x:row r="833" ht="22" customHeight="1">
      <x:c r="A833" s="1" t="str">
        <x:v>R00832</x:v>
      </x:c>
      <x:c r="B833" s="4" t="n">
        <x:v>46229.58460648148</x:v>
      </x:c>
      <x:c r="C833" s="1" t="str">
        <x:v>주간</x:v>
      </x:c>
      <x:c r="D833" s="1" t="str">
        <x:v>L1</x:v>
      </x:c>
      <x:c r="E833" s="1" t="str">
        <x:v>P1</x:v>
      </x:c>
      <x:c r="F833" s="1" t="str">
        <x:v>M01</x:v>
      </x:c>
      <x:c r="G833" s="1" t="str">
        <x:v>G04</x:v>
      </x:c>
      <x:c r="H833" s="5" t="n">
        <x:v>30.27</x:v>
      </x:c>
      <x:c r="I833" s="5" t="n">
        <x:v>5.66</x:v>
      </x:c>
      <x:c r="J833" s="5" t="n">
        <x:v>54.5</x:v>
      </x:c>
      <x:c r="K833" s="5" t="n">
        <x:v>35.5</x:v>
      </x:c>
      <x:c r="L833" s="5" t="n">
        <x:v>1.47</x:v>
      </x:c>
      <x:c r="M833" s="1" t="n">
        <x:v>1</x:v>
      </x:c>
      <x:c r="N833" s="6" t="n">
        <x:v>0.944</x:v>
      </x:c>
      <x:c r="O833" s="1" t="str">
        <x:v>합격</x:v>
      </x:c>
      <x:c r="P833" s="1"/>
      <x:c r="Q833" s="1" t="n">
        <x:v>44</x:v>
      </x:c>
      <x:c r="R833" s="1" t="str">
        <x:v>N</x:v>
      </x:c>
      <x:c r="S833" s="1" t="n">
        <x:v>0</x:v>
      </x:c>
      <x:c r="T833" s="1" t="str">
        <x:v>합격</x:v>
      </x:c>
    </x:row>
    <x:row r="834" ht="22" customHeight="1">
      <x:c r="A834" s="1" t="str">
        <x:v>R00833</x:v>
      </x:c>
      <x:c r="B834" s="4" t="n">
        <x:v>46230.9643287037</x:v>
      </x:c>
      <x:c r="C834" s="1" t="str">
        <x:v>야간</x:v>
      </x:c>
      <x:c r="D834" s="1" t="str">
        <x:v>L1</x:v>
      </x:c>
      <x:c r="E834" s="1" t="str">
        <x:v>P1</x:v>
      </x:c>
      <x:c r="F834" s="1" t="str">
        <x:v>M03</x:v>
      </x:c>
      <x:c r="G834" s="1" t="str">
        <x:v>G05</x:v>
      </x:c>
      <x:c r="H834" s="5" t="n">
        <x:v>31.55</x:v>
      </x:c>
      <x:c r="I834" s="5" t="n">
        <x:v>5.78</x:v>
      </x:c>
      <x:c r="J834" s="5" t="n">
        <x:v>56.9</x:v>
      </x:c>
      <x:c r="K834" s="5" t="n">
        <x:v>39.1</x:v>
      </x:c>
      <x:c r="L834" s="5" t="n">
        <x:v>2.13</x:v>
      </x:c>
      <x:c r="M834" s="1" t="n">
        <x:v>1</x:v>
      </x:c>
      <x:c r="N834" s="6" t="n">
        <x:v>0.92</x:v>
      </x:c>
      <x:c r="O834" s="1" t="str">
        <x:v>불합격</x:v>
      </x:c>
      <x:c r="P834" s="1" t="str">
        <x:v>체결불량</x:v>
      </x:c>
      <x:c r="Q834" s="1" t="n">
        <x:v>42</x:v>
      </x:c>
      <x:c r="R834" s="1" t="str">
        <x:v>Y</x:v>
      </x:c>
      <x:c r="S834" s="1" t="n">
        <x:v>7</x:v>
      </x:c>
      <x:c r="T834" s="1" t="str">
        <x:v>재작업후합격</x:v>
      </x:c>
    </x:row>
    <x:row r="835" ht="22" customHeight="1">
      <x:c r="A835" s="1" t="str">
        <x:v>R00834</x:v>
      </x:c>
      <x:c r="B835" s="4" t="n">
        <x:v>46231.500925925924</x:v>
      </x:c>
      <x:c r="C835" s="1" t="str">
        <x:v>주간</x:v>
      </x:c>
      <x:c r="D835" s="1" t="str">
        <x:v>L1</x:v>
      </x:c>
      <x:c r="E835" s="1" t="str">
        <x:v>P1</x:v>
      </x:c>
      <x:c r="F835" s="1" t="str">
        <x:v>M03</x:v>
      </x:c>
      <x:c r="G835" s="1" t="str">
        <x:v>G06</x:v>
      </x:c>
      <x:c r="H835" s="5" t="n">
        <x:v>30.45</x:v>
      </x:c>
      <x:c r="I835" s="5" t="n">
        <x:v>5.84</x:v>
      </x:c>
      <x:c r="J835" s="5" t="n">
        <x:v>58.7</x:v>
      </x:c>
      <x:c r="K835" s="5" t="n">
        <x:v>36.6</x:v>
      </x:c>
      <x:c r="L835" s="5" t="n">
        <x:v>1.93</x:v>
      </x:c>
      <x:c r="M835" s="1" t="n">
        <x:v>1</x:v>
      </x:c>
      <x:c r="N835" s="6" t="n">
        <x:v>0.929</x:v>
      </x:c>
      <x:c r="O835" s="1" t="str">
        <x:v>합격</x:v>
      </x:c>
      <x:c r="P835" s="1"/>
      <x:c r="Q835" s="1" t="n">
        <x:v>36</x:v>
      </x:c>
      <x:c r="R835" s="1" t="str">
        <x:v>N</x:v>
      </x:c>
      <x:c r="S835" s="1" t="n">
        <x:v>0</x:v>
      </x:c>
      <x:c r="T835" s="1" t="str">
        <x:v>합격</x:v>
      </x:c>
    </x:row>
    <x:row r="836" ht="22" customHeight="1">
      <x:c r="A836" s="1" t="str">
        <x:v>R00835</x:v>
      </x:c>
      <x:c r="B836" s="4" t="n">
        <x:v>46232.44405092593</x:v>
      </x:c>
      <x:c r="C836" s="1" t="str">
        <x:v>주간</x:v>
      </x:c>
      <x:c r="D836" s="1" t="str">
        <x:v>L1</x:v>
      </x:c>
      <x:c r="E836" s="1" t="str">
        <x:v>P1</x:v>
      </x:c>
      <x:c r="F836" s="1" t="str">
        <x:v>M03</x:v>
      </x:c>
      <x:c r="G836" s="1" t="str">
        <x:v>G01</x:v>
      </x:c>
      <x:c r="H836" s="5" t="n">
        <x:v>32.12</x:v>
      </x:c>
      <x:c r="I836" s="5" t="n">
        <x:v>5.61</x:v>
      </x:c>
      <x:c r="J836" s="5" t="n">
        <x:v>52.2</x:v>
      </x:c>
      <x:c r="K836" s="5" t="n">
        <x:v>38.1</x:v>
      </x:c>
      <x:c r="L836" s="5" t="n">
        <x:v>2.05</x:v>
      </x:c>
      <x:c r="M836" s="1" t="n">
        <x:v>1</x:v>
      </x:c>
      <x:c r="N836" s="6" t="n">
        <x:v>0.869</x:v>
      </x:c>
      <x:c r="O836" s="1" t="str">
        <x:v>합격</x:v>
      </x:c>
      <x:c r="P836" s="1"/>
      <x:c r="Q836" s="1" t="n">
        <x:v>38</x:v>
      </x:c>
      <x:c r="R836" s="1" t="str">
        <x:v>N</x:v>
      </x:c>
      <x:c r="S836" s="1" t="n">
        <x:v>0</x:v>
      </x:c>
      <x:c r="T836" s="1" t="str">
        <x:v>합격</x:v>
      </x:c>
    </x:row>
    <x:row r="837" ht="22" customHeight="1">
      <x:c r="A837" s="1" t="str">
        <x:v>R00836</x:v>
      </x:c>
      <x:c r="B837" s="4" t="n">
        <x:v>46233.65887731482</x:v>
      </x:c>
      <x:c r="C837" s="1" t="str">
        <x:v>주간</x:v>
      </x:c>
      <x:c r="D837" s="1" t="str">
        <x:v>L2</x:v>
      </x:c>
      <x:c r="E837" s="1" t="str">
        <x:v>P2</x:v>
      </x:c>
      <x:c r="F837" s="1" t="str">
        <x:v>M04</x:v>
      </x:c>
      <x:c r="G837" s="1" t="str">
        <x:v>G02</x:v>
      </x:c>
      <x:c r="H837" s="5" t="n">
        <x:v>28.07</x:v>
      </x:c>
      <x:c r="I837" s="5" t="n">
        <x:v>5.91</x:v>
      </x:c>
      <x:c r="J837" s="5" t="n">
        <x:v>56.4</x:v>
      </x:c>
      <x:c r="K837" s="5" t="n">
        <x:v>41.3</x:v>
      </x:c>
      <x:c r="L837" s="5" t="n">
        <x:v>2.04</x:v>
      </x:c>
      <x:c r="M837" s="1" t="n">
        <x:v>0</x:v>
      </x:c>
      <x:c r="N837" s="6" t="n">
        <x:v>0.997</x:v>
      </x:c>
      <x:c r="O837" s="1" t="str">
        <x:v>합격</x:v>
      </x:c>
      <x:c r="P837" s="1"/>
      <x:c r="Q837" s="1" t="n">
        <x:v>42</x:v>
      </x:c>
      <x:c r="R837" s="1" t="str">
        <x:v>N</x:v>
      </x:c>
      <x:c r="S837" s="1" t="n">
        <x:v>0</x:v>
      </x:c>
      <x:c r="T837" s="1" t="str">
        <x:v>합격</x:v>
      </x:c>
    </x:row>
    <x:row r="838" ht="22" customHeight="1">
      <x:c r="A838" s="1" t="str">
        <x:v>R00837</x:v>
      </x:c>
      <x:c r="B838" s="4" t="n">
        <x:v>46234.51828703703</x:v>
      </x:c>
      <x:c r="C838" s="1" t="str">
        <x:v>주간</x:v>
      </x:c>
      <x:c r="D838" s="1" t="str">
        <x:v>L1</x:v>
      </x:c>
      <x:c r="E838" s="1" t="str">
        <x:v>P1</x:v>
      </x:c>
      <x:c r="F838" s="1" t="str">
        <x:v>M03</x:v>
      </x:c>
      <x:c r="G838" s="1" t="str">
        <x:v>G03</x:v>
      </x:c>
      <x:c r="H838" s="5" t="n">
        <x:v>30.09</x:v>
      </x:c>
      <x:c r="I838" s="5" t="n">
        <x:v>5.63</x:v>
      </x:c>
      <x:c r="J838" s="5" t="n">
        <x:v>47.1</x:v>
      </x:c>
      <x:c r="K838" s="5" t="n">
        <x:v>39.2</x:v>
      </x:c>
      <x:c r="L838" s="5" t="n">
        <x:v>2.36</x:v>
      </x:c>
      <x:c r="M838" s="1" t="n">
        <x:v>0</x:v>
      </x:c>
      <x:c r="N838" s="6" t="n">
        <x:v>1.038</x:v>
      </x:c>
      <x:c r="O838" s="1" t="str">
        <x:v>합격</x:v>
      </x:c>
      <x:c r="P838" s="1"/>
      <x:c r="Q838" s="1" t="n">
        <x:v>40</x:v>
      </x:c>
      <x:c r="R838" s="1" t="str">
        <x:v>N</x:v>
      </x:c>
      <x:c r="S838" s="1" t="n">
        <x:v>0</x:v>
      </x:c>
      <x:c r="T838" s="1" t="str">
        <x:v>합격</x:v>
      </x:c>
    </x:row>
    <x:row r="839" ht="22" customHeight="1">
      <x:c r="A839" s="1" t="str">
        <x:v>R00838</x:v>
      </x:c>
      <x:c r="B839" s="4" t="n">
        <x:v>46204.41483796296</x:v>
      </x:c>
      <x:c r="C839" s="1" t="str">
        <x:v>주간</x:v>
      </x:c>
      <x:c r="D839" s="1" t="str">
        <x:v>L1</x:v>
      </x:c>
      <x:c r="E839" s="1" t="str">
        <x:v>P1</x:v>
      </x:c>
      <x:c r="F839" s="1" t="str">
        <x:v>M01</x:v>
      </x:c>
      <x:c r="G839" s="1" t="str">
        <x:v>G04</x:v>
      </x:c>
      <x:c r="H839" s="5" t="n">
        <x:v>28.47</x:v>
      </x:c>
      <x:c r="I839" s="5" t="n">
        <x:v>5.99</x:v>
      </x:c>
      <x:c r="J839" s="5" t="n">
        <x:v>53.9</x:v>
      </x:c>
      <x:c r="K839" s="5" t="n">
        <x:v>41.1</x:v>
      </x:c>
      <x:c r="L839" s="5" t="n">
        <x:v>1.72</x:v>
      </x:c>
      <x:c r="M839" s="1" t="n">
        <x:v>0</x:v>
      </x:c>
      <x:c r="N839" s="6" t="n">
        <x:v>0.975</x:v>
      </x:c>
      <x:c r="O839" s="1" t="str">
        <x:v>합격</x:v>
      </x:c>
      <x:c r="P839" s="1"/>
      <x:c r="Q839" s="1" t="n">
        <x:v>44</x:v>
      </x:c>
      <x:c r="R839" s="1" t="str">
        <x:v>N</x:v>
      </x:c>
      <x:c r="S839" s="1" t="n">
        <x:v>0</x:v>
      </x:c>
      <x:c r="T839" s="1" t="str">
        <x:v>합격</x:v>
      </x:c>
    </x:row>
    <x:row r="840" ht="22" customHeight="1">
      <x:c r="A840" s="1" t="str">
        <x:v>R00839</x:v>
      </x:c>
      <x:c r="B840" s="4" t="n">
        <x:v>46205.479317129626</x:v>
      </x:c>
      <x:c r="C840" s="1" t="str">
        <x:v>주간</x:v>
      </x:c>
      <x:c r="D840" s="1" t="str">
        <x:v>L1</x:v>
      </x:c>
      <x:c r="E840" s="1" t="str">
        <x:v>P1</x:v>
      </x:c>
      <x:c r="F840" s="1" t="str">
        <x:v>M01</x:v>
      </x:c>
      <x:c r="G840" s="1" t="str">
        <x:v>G05</x:v>
      </x:c>
      <x:c r="H840" s="5" t="n">
        <x:v>30.74</x:v>
      </x:c>
      <x:c r="I840" s="5" t="n">
        <x:v>5.88</x:v>
      </x:c>
      <x:c r="J840" s="5" t="n">
        <x:v>53.9</x:v>
      </x:c>
      <x:c r="K840" s="5" t="n">
        <x:v>36.9</x:v>
      </x:c>
      <x:c r="L840" s="5" t="n">
        <x:v>2.35</x:v>
      </x:c>
      <x:c r="M840" s="1" t="n">
        <x:v>0</x:v>
      </x:c>
      <x:c r="N840" s="6" t="n">
        <x:v>0.915</x:v>
      </x:c>
      <x:c r="O840" s="1" t="str">
        <x:v>합격</x:v>
      </x:c>
      <x:c r="P840" s="1"/>
      <x:c r="Q840" s="1" t="n">
        <x:v>42</x:v>
      </x:c>
      <x:c r="R840" s="1" t="str">
        <x:v>N</x:v>
      </x:c>
      <x:c r="S840" s="1" t="n">
        <x:v>0</x:v>
      </x:c>
      <x:c r="T840" s="1" t="str">
        <x:v>합격</x:v>
      </x:c>
    </x:row>
    <x:row r="841" ht="22" customHeight="1">
      <x:c r="A841" s="1" t="str">
        <x:v>R00840</x:v>
      </x:c>
      <x:c r="B841" s="4" t="n">
        <x:v>46206.50251157407</x:v>
      </x:c>
      <x:c r="C841" s="1" t="str">
        <x:v>주간</x:v>
      </x:c>
      <x:c r="D841" s="1" t="str">
        <x:v>L2</x:v>
      </x:c>
      <x:c r="E841" s="1" t="str">
        <x:v>P2</x:v>
      </x:c>
      <x:c r="F841" s="1" t="str">
        <x:v>M02</x:v>
      </x:c>
      <x:c r="G841" s="1" t="str">
        <x:v>G06</x:v>
      </x:c>
      <x:c r="H841" s="5" t="n">
        <x:v>29.71</x:v>
      </x:c>
      <x:c r="I841" s="5" t="n">
        <x:v>5.81</x:v>
      </x:c>
      <x:c r="J841" s="5" t="n">
        <x:v>53</x:v>
      </x:c>
      <x:c r="K841" s="5" t="n">
        <x:v>36.4</x:v>
      </x:c>
      <x:c r="L841" s="5" t="n">
        <x:v>1.78</x:v>
      </x:c>
      <x:c r="M841" s="1" t="n">
        <x:v>0</x:v>
      </x:c>
      <x:c r="N841" s="6" t="n">
        <x:v>0.967</x:v>
      </x:c>
      <x:c r="O841" s="1" t="str">
        <x:v>합격</x:v>
      </x:c>
      <x:c r="P841" s="1"/>
      <x:c r="Q841" s="1" t="n">
        <x:v>47</x:v>
      </x:c>
      <x:c r="R841" s="1" t="str">
        <x:v>N</x:v>
      </x:c>
      <x:c r="S841" s="1" t="n">
        <x:v>0</x:v>
      </x:c>
      <x:c r="T841" s="1" t="str">
        <x:v>합격</x:v>
      </x:c>
    </x:row>
    <x:row r="842" ht="22" customHeight="1">
      <x:c r="A842" s="1" t="str">
        <x:v>R00841</x:v>
      </x:c>
      <x:c r="B842" s="4" t="n">
        <x:v>46207.525671296295</x:v>
      </x:c>
      <x:c r="C842" s="1" t="str">
        <x:v>주간</x:v>
      </x:c>
      <x:c r="D842" s="1" t="str">
        <x:v>L1</x:v>
      </x:c>
      <x:c r="E842" s="1" t="str">
        <x:v>P1</x:v>
      </x:c>
      <x:c r="F842" s="1" t="str">
        <x:v>M03</x:v>
      </x:c>
      <x:c r="G842" s="1" t="str">
        <x:v>G01</x:v>
      </x:c>
      <x:c r="H842" s="5" t="n">
        <x:v>29.87</x:v>
      </x:c>
      <x:c r="I842" s="5" t="n">
        <x:v>5.74</x:v>
      </x:c>
      <x:c r="J842" s="5" t="n">
        <x:v>57.8</x:v>
      </x:c>
      <x:c r="K842" s="5" t="n">
        <x:v>36.5</x:v>
      </x:c>
      <x:c r="L842" s="5" t="n">
        <x:v>2.29</x:v>
      </x:c>
      <x:c r="M842" s="1" t="n">
        <x:v>0</x:v>
      </x:c>
      <x:c r="N842" s="6" t="n">
        <x:v>0.865</x:v>
      </x:c>
      <x:c r="O842" s="1" t="str">
        <x:v>합격</x:v>
      </x:c>
      <x:c r="P842" s="1"/>
      <x:c r="Q842" s="1" t="n">
        <x:v>36</x:v>
      </x:c>
      <x:c r="R842" s="1" t="str">
        <x:v>N</x:v>
      </x:c>
      <x:c r="S842" s="1" t="n">
        <x:v>0</x:v>
      </x:c>
      <x:c r="T842" s="1" t="str">
        <x:v>합격</x:v>
      </x:c>
    </x:row>
    <x:row r="843" ht="22" customHeight="1">
      <x:c r="A843" s="1" t="str">
        <x:v>R00842</x:v>
      </x:c>
      <x:c r="B843" s="4" t="n">
        <x:v>46208.41946759259</x:v>
      </x:c>
      <x:c r="C843" s="1" t="str">
        <x:v>주간</x:v>
      </x:c>
      <x:c r="D843" s="1" t="str">
        <x:v>L1</x:v>
      </x:c>
      <x:c r="E843" s="1" t="str">
        <x:v>P1</x:v>
      </x:c>
      <x:c r="F843" s="1" t="str">
        <x:v>M03</x:v>
      </x:c>
      <x:c r="G843" s="1" t="str">
        <x:v>G02</x:v>
      </x:c>
      <x:c r="H843" s="5" t="n">
        <x:v>29.08</x:v>
      </x:c>
      <x:c r="I843" s="5" t="n">
        <x:v>5.9</x:v>
      </x:c>
      <x:c r="J843" s="5" t="n">
        <x:v>54.7</x:v>
      </x:c>
      <x:c r="K843" s="5" t="n">
        <x:v>39.7</x:v>
      </x:c>
      <x:c r="L843" s="5" t="n">
        <x:v>1.96</x:v>
      </x:c>
      <x:c r="M843" s="1" t="n">
        <x:v>1</x:v>
      </x:c>
      <x:c r="N843" s="6" t="n">
        <x:v>0.883</x:v>
      </x:c>
      <x:c r="O843" s="1" t="str">
        <x:v>합격</x:v>
      </x:c>
      <x:c r="P843" s="1"/>
      <x:c r="Q843" s="1" t="n">
        <x:v>38</x:v>
      </x:c>
      <x:c r="R843" s="1" t="str">
        <x:v>N</x:v>
      </x:c>
      <x:c r="S843" s="1" t="n">
        <x:v>0</x:v>
      </x:c>
      <x:c r="T843" s="1" t="str">
        <x:v>합격</x:v>
      </x:c>
    </x:row>
    <x:row r="844" ht="22" customHeight="1">
      <x:c r="A844" s="1" t="str">
        <x:v>R00843</x:v>
      </x:c>
      <x:c r="B844" s="4" t="n">
        <x:v>46209.85967592592</x:v>
      </x:c>
      <x:c r="C844" s="1" t="str">
        <x:v>야간</x:v>
      </x:c>
      <x:c r="D844" s="1" t="str">
        <x:v>L2</x:v>
      </x:c>
      <x:c r="E844" s="1" t="str">
        <x:v>P2</x:v>
      </x:c>
      <x:c r="F844" s="1" t="str">
        <x:v>M01</x:v>
      </x:c>
      <x:c r="G844" s="1" t="str">
        <x:v>G03</x:v>
      </x:c>
      <x:c r="H844" s="5" t="n">
        <x:v>31.48</x:v>
      </x:c>
      <x:c r="I844" s="5" t="n">
        <x:v>5.95</x:v>
      </x:c>
      <x:c r="J844" s="5" t="n">
        <x:v>50.2</x:v>
      </x:c>
      <x:c r="K844" s="5" t="n">
        <x:v>40.7</x:v>
      </x:c>
      <x:c r="L844" s="5" t="n">
        <x:v>1.86</x:v>
      </x:c>
      <x:c r="M844" s="1" t="n">
        <x:v>0</x:v>
      </x:c>
      <x:c r="N844" s="6" t="n">
        <x:v>0.947</x:v>
      </x:c>
      <x:c r="O844" s="1" t="str">
        <x:v>합격</x:v>
      </x:c>
      <x:c r="P844" s="1"/>
      <x:c r="Q844" s="1" t="n">
        <x:v>49</x:v>
      </x:c>
      <x:c r="R844" s="1" t="str">
        <x:v>N</x:v>
      </x:c>
      <x:c r="S844" s="1" t="n">
        <x:v>0</x:v>
      </x:c>
      <x:c r="T844" s="1" t="str">
        <x:v>합격</x:v>
      </x:c>
    </x:row>
    <x:row r="845" ht="22" customHeight="1">
      <x:c r="A845" s="1" t="str">
        <x:v>R00844</x:v>
      </x:c>
      <x:c r="B845" s="4" t="n">
        <x:v>46210.47001157407</x:v>
      </x:c>
      <x:c r="C845" s="1" t="str">
        <x:v>주간</x:v>
      </x:c>
      <x:c r="D845" s="1" t="str">
        <x:v>L1</x:v>
      </x:c>
      <x:c r="E845" s="1" t="str">
        <x:v>P1</x:v>
      </x:c>
      <x:c r="F845" s="1" t="str">
        <x:v>M03</x:v>
      </x:c>
      <x:c r="G845" s="1" t="str">
        <x:v>G04</x:v>
      </x:c>
      <x:c r="H845" s="5" t="n">
        <x:v>30.96</x:v>
      </x:c>
      <x:c r="I845" s="5" t="n">
        <x:v>5.93</x:v>
      </x:c>
      <x:c r="J845" s="5" t="n">
        <x:v>48.5</x:v>
      </x:c>
      <x:c r="K845" s="5" t="n">
        <x:v>37.6</x:v>
      </x:c>
      <x:c r="L845" s="5" t="n">
        <x:v>1.95</x:v>
      </x:c>
      <x:c r="M845" s="1" t="n">
        <x:v>0</x:v>
      </x:c>
      <x:c r="N845" s="6" t="n">
        <x:v>1.032</x:v>
      </x:c>
      <x:c r="O845" s="1" t="str">
        <x:v>합격</x:v>
      </x:c>
      <x:c r="P845" s="1"/>
      <x:c r="Q845" s="1" t="n">
        <x:v>49</x:v>
      </x:c>
      <x:c r="R845" s="1" t="str">
        <x:v>N</x:v>
      </x:c>
      <x:c r="S845" s="1" t="n">
        <x:v>0</x:v>
      </x:c>
      <x:c r="T845" s="1" t="str">
        <x:v>합격</x:v>
      </x:c>
    </x:row>
    <x:row r="846" ht="22" customHeight="1">
      <x:c r="A846" s="1" t="str">
        <x:v>R00845</x:v>
      </x:c>
      <x:c r="B846" s="4" t="n">
        <x:v>46211.65122685185</x:v>
      </x:c>
      <x:c r="C846" s="1" t="str">
        <x:v>주간</x:v>
      </x:c>
      <x:c r="D846" s="1" t="str">
        <x:v>L1</x:v>
      </x:c>
      <x:c r="E846" s="1" t="str">
        <x:v>P1</x:v>
      </x:c>
      <x:c r="F846" s="1" t="str">
        <x:v>M01</x:v>
      </x:c>
      <x:c r="G846" s="1" t="str">
        <x:v>G05</x:v>
      </x:c>
      <x:c r="H846" s="5"/>
      <x:c r="I846" s="5" t="n">
        <x:v>5.82</x:v>
      </x:c>
      <x:c r="J846" s="5" t="n">
        <x:v>54.2</x:v>
      </x:c>
      <x:c r="K846" s="5" t="n">
        <x:v>39.4</x:v>
      </x:c>
      <x:c r="L846" s="5" t="n">
        <x:v>1.38</x:v>
      </x:c>
      <x:c r="M846" s="1" t="n">
        <x:v>0</x:v>
      </x:c>
      <x:c r="N846" s="6" t="n">
        <x:v>1.003</x:v>
      </x:c>
      <x:c r="O846" s="1" t="str">
        <x:v>합격</x:v>
      </x:c>
      <x:c r="P846" s="1"/>
      <x:c r="Q846" s="1" t="n">
        <x:v>47</x:v>
      </x:c>
      <x:c r="R846" s="1" t="str">
        <x:v>N</x:v>
      </x:c>
      <x:c r="S846" s="1" t="n">
        <x:v>0</x:v>
      </x:c>
      <x:c r="T846" s="1" t="str">
        <x:v>합격</x:v>
      </x:c>
    </x:row>
    <x:row r="847" ht="22" customHeight="1">
      <x:c r="A847" s="1" t="str">
        <x:v>R00846</x:v>
      </x:c>
      <x:c r="B847" s="4" t="n">
        <x:v>46212.046168981484</x:v>
      </x:c>
      <x:c r="C847" s="1" t="str">
        <x:v>야간</x:v>
      </x:c>
      <x:c r="D847" s="1" t="str">
        <x:v>L1</x:v>
      </x:c>
      <x:c r="E847" s="1" t="str">
        <x:v>P1</x:v>
      </x:c>
      <x:c r="F847" s="1" t="str">
        <x:v>M04</x:v>
      </x:c>
      <x:c r="G847" s="1" t="str">
        <x:v>G06</x:v>
      </x:c>
      <x:c r="H847" s="5" t="n">
        <x:v>29.54</x:v>
      </x:c>
      <x:c r="I847" s="5" t="n">
        <x:v>5.98</x:v>
      </x:c>
      <x:c r="J847" s="5" t="n">
        <x:v>57.5</x:v>
      </x:c>
      <x:c r="K847" s="5" t="n">
        <x:v>35.5</x:v>
      </x:c>
      <x:c r="L847" s="5" t="n">
        <x:v>2.61</x:v>
      </x:c>
      <x:c r="M847" s="1" t="n">
        <x:v>0</x:v>
      </x:c>
      <x:c r="N847" s="6" t="n">
        <x:v>0.858</x:v>
      </x:c>
      <x:c r="O847" s="1" t="str">
        <x:v>합격</x:v>
      </x:c>
      <x:c r="P847" s="1"/>
      <x:c r="Q847" s="1" t="n">
        <x:v>48</x:v>
      </x:c>
      <x:c r="R847" s="1" t="str">
        <x:v>N</x:v>
      </x:c>
      <x:c r="S847" s="1" t="n">
        <x:v>0</x:v>
      </x:c>
      <x:c r="T847" s="1" t="str">
        <x:v>합격</x:v>
      </x:c>
    </x:row>
    <x:row r="848" ht="22" customHeight="1">
      <x:c r="A848" s="1" t="str">
        <x:v>R00847</x:v>
      </x:c>
      <x:c r="B848" s="4" t="n">
        <x:v>46213.448796296296</x:v>
      </x:c>
      <x:c r="C848" s="1" t="str">
        <x:v>주간</x:v>
      </x:c>
      <x:c r="D848" s="1" t="str">
        <x:v>L2</x:v>
      </x:c>
      <x:c r="E848" s="1" t="str">
        <x:v>P2</x:v>
      </x:c>
      <x:c r="F848" s="1" t="str">
        <x:v>M02</x:v>
      </x:c>
      <x:c r="G848" s="1" t="str">
        <x:v>G01</x:v>
      </x:c>
      <x:c r="H848" s="5" t="n">
        <x:v>28.87</x:v>
      </x:c>
      <x:c r="I848" s="5" t="n">
        <x:v>5.96</x:v>
      </x:c>
      <x:c r="J848" s="5" t="n">
        <x:v>56.5</x:v>
      </x:c>
      <x:c r="K848" s="5" t="n">
        <x:v>37.5</x:v>
      </x:c>
      <x:c r="L848" s="5" t="n">
        <x:v>1.42</x:v>
      </x:c>
      <x:c r="M848" s="1" t="n">
        <x:v>1</x:v>
      </x:c>
      <x:c r="N848" s="6" t="n">
        <x:v>0.891</x:v>
      </x:c>
      <x:c r="O848" s="1" t="str">
        <x:v>합격</x:v>
      </x:c>
      <x:c r="P848" s="1"/>
      <x:c r="Q848" s="1" t="n">
        <x:v>42</x:v>
      </x:c>
      <x:c r="R848" s="1" t="str">
        <x:v>N</x:v>
      </x:c>
      <x:c r="S848" s="1" t="n">
        <x:v>0</x:v>
      </x:c>
      <x:c r="T848" s="1" t="str">
        <x:v>합격</x:v>
      </x:c>
    </x:row>
    <x:row r="849" ht="22" customHeight="1">
      <x:c r="A849" s="1" t="str">
        <x:v>R00848</x:v>
      </x:c>
      <x:c r="B849" s="4" t="n">
        <x:v>46214.58920138889</x:v>
      </x:c>
      <x:c r="C849" s="1" t="str">
        <x:v>주간</x:v>
      </x:c>
      <x:c r="D849" s="1" t="str">
        <x:v>L2</x:v>
      </x:c>
      <x:c r="E849" s="1" t="str">
        <x:v>P2</x:v>
      </x:c>
      <x:c r="F849" s="1" t="str">
        <x:v>M02</x:v>
      </x:c>
      <x:c r="G849" s="1" t="str">
        <x:v>G02</x:v>
      </x:c>
      <x:c r="H849" s="5" t="n">
        <x:v>32.11</x:v>
      </x:c>
      <x:c r="I849" s="5" t="n">
        <x:v>5.8</x:v>
      </x:c>
      <x:c r="J849" s="5" t="n">
        <x:v>56.2</x:v>
      </x:c>
      <x:c r="K849" s="5" t="n">
        <x:v>35.4</x:v>
      </x:c>
      <x:c r="L849" s="5" t="n">
        <x:v>1.78</x:v>
      </x:c>
      <x:c r="M849" s="1" t="n">
        <x:v>0</x:v>
      </x:c>
      <x:c r="N849" s="6" t="n">
        <x:v>0.868</x:v>
      </x:c>
      <x:c r="O849" s="1" t="str">
        <x:v>합격</x:v>
      </x:c>
      <x:c r="P849" s="1"/>
      <x:c r="Q849" s="1" t="n">
        <x:v>37</x:v>
      </x:c>
      <x:c r="R849" s="1" t="str">
        <x:v>N</x:v>
      </x:c>
      <x:c r="S849" s="1" t="n">
        <x:v>0</x:v>
      </x:c>
      <x:c r="T849" s="1" t="str">
        <x:v>합격</x:v>
      </x:c>
    </x:row>
    <x:row r="850" ht="22" customHeight="1">
      <x:c r="A850" s="1" t="str">
        <x:v>R00849</x:v>
      </x:c>
      <x:c r="B850" s="4" t="n">
        <x:v>46215.45920138889</x:v>
      </x:c>
      <x:c r="C850" s="1" t="str">
        <x:v>주간</x:v>
      </x:c>
      <x:c r="D850" s="1" t="str">
        <x:v>L2</x:v>
      </x:c>
      <x:c r="E850" s="1" t="str">
        <x:v>P2</x:v>
      </x:c>
      <x:c r="F850" s="1" t="str">
        <x:v>M02</x:v>
      </x:c>
      <x:c r="G850" s="1" t="str">
        <x:v>G03</x:v>
      </x:c>
      <x:c r="H850" s="5" t="n">
        <x:v>28.78</x:v>
      </x:c>
      <x:c r="I850" s="5" t="n">
        <x:v>5.62</x:v>
      </x:c>
      <x:c r="J850" s="5" t="n">
        <x:v>58.2</x:v>
      </x:c>
      <x:c r="K850" s="5" t="n">
        <x:v>37.8</x:v>
      </x:c>
      <x:c r="L850" s="5" t="n">
        <x:v>2.08</x:v>
      </x:c>
      <x:c r="M850" s="1" t="n">
        <x:v>1</x:v>
      </x:c>
      <x:c r="N850" s="6" t="n">
        <x:v>0.896</x:v>
      </x:c>
      <x:c r="O850" s="1" t="str">
        <x:v>합격</x:v>
      </x:c>
      <x:c r="P850" s="1"/>
      <x:c r="Q850" s="1" t="n">
        <x:v>40</x:v>
      </x:c>
      <x:c r="R850" s="1" t="str">
        <x:v>N</x:v>
      </x:c>
      <x:c r="S850" s="1" t="n">
        <x:v>0</x:v>
      </x:c>
      <x:c r="T850" s="1" t="str">
        <x:v>합격</x:v>
      </x:c>
    </x:row>
    <x:row r="851" ht="22" customHeight="1">
      <x:c r="A851" s="1" t="str">
        <x:v>R00850</x:v>
      </x:c>
      <x:c r="B851" s="4" t="n">
        <x:v>46216.476956018516</x:v>
      </x:c>
      <x:c r="C851" s="1" t="str">
        <x:v>주간</x:v>
      </x:c>
      <x:c r="D851" s="1" t="str">
        <x:v>L1</x:v>
      </x:c>
      <x:c r="E851" s="1" t="str">
        <x:v>P1</x:v>
      </x:c>
      <x:c r="F851" s="1" t="str">
        <x:v>M01</x:v>
      </x:c>
      <x:c r="G851" s="1" t="str">
        <x:v>G04</x:v>
      </x:c>
      <x:c r="H851" s="5" t="n">
        <x:v>28.36</x:v>
      </x:c>
      <x:c r="I851" s="5" t="n">
        <x:v>5.93</x:v>
      </x:c>
      <x:c r="J851" s="5" t="n">
        <x:v>57.9</x:v>
      </x:c>
      <x:c r="K851" s="5" t="n">
        <x:v>38.3</x:v>
      </x:c>
      <x:c r="L851" s="5" t="n">
        <x:v>1.65</x:v>
      </x:c>
      <x:c r="M851" s="1" t="n">
        <x:v>1</x:v>
      </x:c>
      <x:c r="N851" s="6" t="n">
        <x:v>0.995</x:v>
      </x:c>
      <x:c r="O851" s="1" t="str">
        <x:v>합격</x:v>
      </x:c>
      <x:c r="P851" s="1"/>
      <x:c r="Q851" s="1" t="n">
        <x:v>46</x:v>
      </x:c>
      <x:c r="R851" s="1" t="str">
        <x:v>N</x:v>
      </x:c>
      <x:c r="S851" s="1" t="n">
        <x:v>0</x:v>
      </x:c>
      <x:c r="T851" s="1" t="str">
        <x:v>합격</x:v>
      </x:c>
    </x:row>
    <x:row r="852" ht="22" customHeight="1">
      <x:c r="A852" s="1" t="str">
        <x:v>R00851</x:v>
      </x:c>
      <x:c r="B852" s="4" t="n">
        <x:v>46217.982152777775</x:v>
      </x:c>
      <x:c r="C852" s="1" t="str">
        <x:v>야간</x:v>
      </x:c>
      <x:c r="D852" s="1" t="str">
        <x:v>L1</x:v>
      </x:c>
      <x:c r="E852" s="1" t="str">
        <x:v>P1</x:v>
      </x:c>
      <x:c r="F852" s="1" t="str">
        <x:v>M04</x:v>
      </x:c>
      <x:c r="G852" s="1" t="str">
        <x:v>G05</x:v>
      </x:c>
      <x:c r="H852" s="5" t="n">
        <x:v>29.86</x:v>
      </x:c>
      <x:c r="I852" s="5" t="n">
        <x:v>5.63</x:v>
      </x:c>
      <x:c r="J852" s="5" t="n">
        <x:v>52.7</x:v>
      </x:c>
      <x:c r="K852" s="5" t="n">
        <x:v>39.9</x:v>
      </x:c>
      <x:c r="L852" s="5" t="n">
        <x:v>1.87</x:v>
      </x:c>
      <x:c r="M852" s="1" t="n">
        <x:v>1</x:v>
      </x:c>
      <x:c r="N852" s="6" t="n">
        <x:v>0.893</x:v>
      </x:c>
      <x:c r="O852" s="1" t="str">
        <x:v>합격</x:v>
      </x:c>
      <x:c r="P852" s="1"/>
      <x:c r="Q852" s="1" t="n">
        <x:v>37</x:v>
      </x:c>
      <x:c r="R852" s="1" t="str">
        <x:v>N</x:v>
      </x:c>
      <x:c r="S852" s="1" t="n">
        <x:v>0</x:v>
      </x:c>
      <x:c r="T852" s="1" t="str">
        <x:v>합격</x:v>
      </x:c>
    </x:row>
    <x:row r="853" ht="22" customHeight="1">
      <x:c r="A853" s="1" t="str">
        <x:v>R00852</x:v>
      </x:c>
      <x:c r="B853" s="4" t="n">
        <x:v>46218.87694444445</x:v>
      </x:c>
      <x:c r="C853" s="1" t="str">
        <x:v>야간</x:v>
      </x:c>
      <x:c r="D853" s="1" t="str">
        <x:v>L2</x:v>
      </x:c>
      <x:c r="E853" s="1" t="str">
        <x:v>P2</x:v>
      </x:c>
      <x:c r="F853" s="1" t="str">
        <x:v>M02</x:v>
      </x:c>
      <x:c r="G853" s="1" t="str">
        <x:v>G06</x:v>
      </x:c>
      <x:c r="H853" s="5" t="n">
        <x:v>28.93</x:v>
      </x:c>
      <x:c r="I853" s="5" t="n">
        <x:v>5.83</x:v>
      </x:c>
      <x:c r="J853" s="5" t="n">
        <x:v>57.5</x:v>
      </x:c>
      <x:c r="K853" s="5" t="n">
        <x:v>35.3</x:v>
      </x:c>
      <x:c r="L853" s="5" t="n">
        <x:v>2.47</x:v>
      </x:c>
      <x:c r="M853" s="1" t="n">
        <x:v>1</x:v>
      </x:c>
      <x:c r="N853" s="6" t="n">
        <x:v>1.029</x:v>
      </x:c>
      <x:c r="O853" s="1" t="str">
        <x:v>합격</x:v>
      </x:c>
      <x:c r="P853" s="1"/>
      <x:c r="Q853" s="1" t="n">
        <x:v>46</x:v>
      </x:c>
      <x:c r="R853" s="1" t="str">
        <x:v>N</x:v>
      </x:c>
      <x:c r="S853" s="1" t="n">
        <x:v>0</x:v>
      </x:c>
      <x:c r="T853" s="1" t="str">
        <x:v>합격</x:v>
      </x:c>
    </x:row>
    <x:row r="854" ht="22" customHeight="1">
      <x:c r="A854" s="1" t="str">
        <x:v>R00853</x:v>
      </x:c>
      <x:c r="B854" s="4" t="n">
        <x:v>46219.12430555555</x:v>
      </x:c>
      <x:c r="C854" s="1" t="str">
        <x:v>야간</x:v>
      </x:c>
      <x:c r="D854" s="1" t="str">
        <x:v>L1</x:v>
      </x:c>
      <x:c r="E854" s="1" t="str">
        <x:v>P1</x:v>
      </x:c>
      <x:c r="F854" s="1" t="str">
        <x:v>M04</x:v>
      </x:c>
      <x:c r="G854" s="1" t="str">
        <x:v>G01</x:v>
      </x:c>
      <x:c r="H854" s="5" t="n">
        <x:v>29.01</x:v>
      </x:c>
      <x:c r="I854" s="5" t="n">
        <x:v>5.75</x:v>
      </x:c>
      <x:c r="J854" s="5" t="n">
        <x:v>54.8</x:v>
      </x:c>
      <x:c r="K854" s="5" t="n">
        <x:v>36.7</x:v>
      </x:c>
      <x:c r="L854" s="5" t="n">
        <x:v>2.3</x:v>
      </x:c>
      <x:c r="M854" s="1" t="n">
        <x:v>0</x:v>
      </x:c>
      <x:c r="N854" s="6" t="n">
        <x:v>0.87</x:v>
      </x:c>
      <x:c r="O854" s="1" t="str">
        <x:v>합격</x:v>
      </x:c>
      <x:c r="P854" s="1"/>
      <x:c r="Q854" s="1" t="n">
        <x:v>42</x:v>
      </x:c>
      <x:c r="R854" s="1" t="str">
        <x:v>N</x:v>
      </x:c>
      <x:c r="S854" s="1" t="n">
        <x:v>0</x:v>
      </x:c>
      <x:c r="T854" s="1" t="str">
        <x:v>합격</x:v>
      </x:c>
    </x:row>
    <x:row r="855" ht="22" customHeight="1">
      <x:c r="A855" s="1" t="str">
        <x:v>R00854</x:v>
      </x:c>
      <x:c r="B855" s="4" t="n">
        <x:v>46220.906273148146</x:v>
      </x:c>
      <x:c r="C855" s="1" t="str">
        <x:v>야간</x:v>
      </x:c>
      <x:c r="D855" s="1" t="str">
        <x:v>L1</x:v>
      </x:c>
      <x:c r="E855" s="1" t="str">
        <x:v>P1</x:v>
      </x:c>
      <x:c r="F855" s="1" t="str">
        <x:v>M03</x:v>
      </x:c>
      <x:c r="G855" s="1" t="str">
        <x:v>G02</x:v>
      </x:c>
      <x:c r="H855" s="5" t="n">
        <x:v>26.47</x:v>
      </x:c>
      <x:c r="I855" s="5" t="n">
        <x:v>5.92</x:v>
      </x:c>
      <x:c r="J855" s="5" t="n">
        <x:v>57.4</x:v>
      </x:c>
      <x:c r="K855" s="5" t="n">
        <x:v>37.6</x:v>
      </x:c>
      <x:c r="L855" s="5" t="n">
        <x:v>2.55</x:v>
      </x:c>
      <x:c r="M855" s="1" t="n">
        <x:v>1</x:v>
      </x:c>
      <x:c r="N855" s="6" t="n">
        <x:v>1.029</x:v>
      </x:c>
      <x:c r="O855" s="1" t="str">
        <x:v>합격</x:v>
      </x:c>
      <x:c r="P855" s="1"/>
      <x:c r="Q855" s="1" t="n">
        <x:v>44</x:v>
      </x:c>
      <x:c r="R855" s="1" t="str">
        <x:v>N</x:v>
      </x:c>
      <x:c r="S855" s="1" t="n">
        <x:v>0</x:v>
      </x:c>
      <x:c r="T855" s="1" t="str">
        <x:v>합격</x:v>
      </x:c>
    </x:row>
    <x:row r="856" ht="22" customHeight="1">
      <x:c r="A856" s="1" t="str">
        <x:v>R00855</x:v>
      </x:c>
      <x:c r="B856" s="4" t="n">
        <x:v>46221.62724537037</x:v>
      </x:c>
      <x:c r="C856" s="1" t="str">
        <x:v>주간</x:v>
      </x:c>
      <x:c r="D856" s="1" t="str">
        <x:v>L2</x:v>
      </x:c>
      <x:c r="E856" s="1" t="str">
        <x:v>P2</x:v>
      </x:c>
      <x:c r="F856" s="1" t="str">
        <x:v>M04</x:v>
      </x:c>
      <x:c r="G856" s="1" t="str">
        <x:v>G03</x:v>
      </x:c>
      <x:c r="H856" s="5" t="n">
        <x:v>32.09</x:v>
      </x:c>
      <x:c r="I856" s="5" t="n">
        <x:v>5.72</x:v>
      </x:c>
      <x:c r="J856" s="5" t="n">
        <x:v>54.4</x:v>
      </x:c>
      <x:c r="K856" s="5" t="n">
        <x:v>40.7</x:v>
      </x:c>
      <x:c r="L856" s="5" t="n">
        <x:v>1.79</x:v>
      </x:c>
      <x:c r="M856" s="1" t="n">
        <x:v>0</x:v>
      </x:c>
      <x:c r="N856" s="6" t="n">
        <x:v>1.001</x:v>
      </x:c>
      <x:c r="O856" s="1" t="str">
        <x:v>합격</x:v>
      </x:c>
      <x:c r="P856" s="1"/>
      <x:c r="Q856" s="1" t="n">
        <x:v>38</x:v>
      </x:c>
      <x:c r="R856" s="1" t="str">
        <x:v>N</x:v>
      </x:c>
      <x:c r="S856" s="1" t="n">
        <x:v>0</x:v>
      </x:c>
      <x:c r="T856" s="1" t="str">
        <x:v>합격</x:v>
      </x:c>
    </x:row>
    <x:row r="857" ht="22" customHeight="1">
      <x:c r="A857" s="1" t="str">
        <x:v>R00856</x:v>
      </x:c>
      <x:c r="B857" s="4" t="n">
        <x:v>46222.58703703704</x:v>
      </x:c>
      <x:c r="C857" s="1" t="str">
        <x:v>주간</x:v>
      </x:c>
      <x:c r="D857" s="1" t="str">
        <x:v>L1</x:v>
      </x:c>
      <x:c r="E857" s="1" t="str">
        <x:v>P1</x:v>
      </x:c>
      <x:c r="F857" s="1" t="str">
        <x:v>M01</x:v>
      </x:c>
      <x:c r="G857" s="1" t="str">
        <x:v>G04</x:v>
      </x:c>
      <x:c r="H857" s="5" t="n">
        <x:v>32.18</x:v>
      </x:c>
      <x:c r="I857" s="5" t="n">
        <x:v>5.79</x:v>
      </x:c>
      <x:c r="J857" s="5" t="n">
        <x:v>47.4</x:v>
      </x:c>
      <x:c r="K857" s="5" t="n">
        <x:v>40.5</x:v>
      </x:c>
      <x:c r="L857" s="5" t="n">
        <x:v>1.42</x:v>
      </x:c>
      <x:c r="M857" s="1" t="n">
        <x:v>0</x:v>
      </x:c>
      <x:c r="N857" s="6" t="n">
        <x:v>0.87</x:v>
      </x:c>
      <x:c r="O857" s="1" t="str">
        <x:v>합격</x:v>
      </x:c>
      <x:c r="P857" s="1"/>
      <x:c r="Q857" s="1" t="n">
        <x:v>47</x:v>
      </x:c>
      <x:c r="R857" s="1" t="str">
        <x:v>N</x:v>
      </x:c>
      <x:c r="S857" s="1" t="n">
        <x:v>0</x:v>
      </x:c>
      <x:c r="T857" s="1" t="str">
        <x:v>합격</x:v>
      </x:c>
    </x:row>
    <x:row r="858" ht="22" customHeight="1">
      <x:c r="A858" s="1" t="str">
        <x:v>R00857</x:v>
      </x:c>
      <x:c r="B858" s="4" t="n">
        <x:v>46223.51991898148</x:v>
      </x:c>
      <x:c r="C858" s="1" t="str">
        <x:v>주간</x:v>
      </x:c>
      <x:c r="D858" s="1" t="str">
        <x:v>L2</x:v>
      </x:c>
      <x:c r="E858" s="1" t="str">
        <x:v>P2</x:v>
      </x:c>
      <x:c r="F858" s="1" t="str">
        <x:v>M02</x:v>
      </x:c>
      <x:c r="G858" s="1" t="str">
        <x:v>G05</x:v>
      </x:c>
      <x:c r="H858" s="5" t="n">
        <x:v>29.68</x:v>
      </x:c>
      <x:c r="I858" s="5" t="n">
        <x:v>5.63</x:v>
      </x:c>
      <x:c r="J858" s="5" t="n">
        <x:v>48.8</x:v>
      </x:c>
      <x:c r="K858" s="5" t="n">
        <x:v>38.5</x:v>
      </x:c>
      <x:c r="L858" s="5" t="n">
        <x:v>2.31</x:v>
      </x:c>
      <x:c r="M858" s="1" t="n">
        <x:v>0</x:v>
      </x:c>
      <x:c r="N858" s="6" t="n">
        <x:v>1.024</x:v>
      </x:c>
      <x:c r="O858" s="1" t="str">
        <x:v>합격</x:v>
      </x:c>
      <x:c r="P858" s="1"/>
      <x:c r="Q858" s="1" t="n">
        <x:v>44</x:v>
      </x:c>
      <x:c r="R858" s="1" t="str">
        <x:v>N</x:v>
      </x:c>
      <x:c r="S858" s="1" t="n">
        <x:v>0</x:v>
      </x:c>
      <x:c r="T858" s="1" t="str">
        <x:v>합격</x:v>
      </x:c>
    </x:row>
    <x:row r="859" ht="22" customHeight="1">
      <x:c r="A859" s="1" t="str">
        <x:v>R00858</x:v>
      </x:c>
      <x:c r="B859" s="4" t="n">
        <x:v>46224.44300925926</x:v>
      </x:c>
      <x:c r="C859" s="1" t="str">
        <x:v>주간</x:v>
      </x:c>
      <x:c r="D859" s="1" t="str">
        <x:v>L1</x:v>
      </x:c>
      <x:c r="E859" s="1" t="str">
        <x:v>P1</x:v>
      </x:c>
      <x:c r="F859" s="1" t="str">
        <x:v>M03</x:v>
      </x:c>
      <x:c r="G859" s="1" t="str">
        <x:v>G06</x:v>
      </x:c>
      <x:c r="H859" s="5" t="n">
        <x:v>32.06</x:v>
      </x:c>
      <x:c r="I859" s="5" t="n">
        <x:v>5.92</x:v>
      </x:c>
      <x:c r="J859" s="5" t="n">
        <x:v>53.9</x:v>
      </x:c>
      <x:c r="K859" s="5" t="n">
        <x:v>37</x:v>
      </x:c>
      <x:c r="L859" s="5" t="n">
        <x:v>1.83</x:v>
      </x:c>
      <x:c r="M859" s="1" t="n">
        <x:v>1</x:v>
      </x:c>
      <x:c r="N859" s="6" t="n">
        <x:v>0.908</x:v>
      </x:c>
      <x:c r="O859" s="1" t="str">
        <x:v>합격</x:v>
      </x:c>
      <x:c r="P859" s="1"/>
      <x:c r="Q859" s="1" t="n">
        <x:v>35</x:v>
      </x:c>
      <x:c r="R859" s="1" t="str">
        <x:v>N</x:v>
      </x:c>
      <x:c r="S859" s="1" t="n">
        <x:v>0</x:v>
      </x:c>
      <x:c r="T859" s="1" t="str">
        <x:v>합격</x:v>
      </x:c>
    </x:row>
    <x:row r="860" ht="22" customHeight="1">
      <x:c r="A860" s="1" t="str">
        <x:v>R00859</x:v>
      </x:c>
      <x:c r="B860" s="4" t="n">
        <x:v>46225.632314814815</x:v>
      </x:c>
      <x:c r="C860" s="1" t="str">
        <x:v>주간</x:v>
      </x:c>
      <x:c r="D860" s="1" t="str">
        <x:v>L2</x:v>
      </x:c>
      <x:c r="E860" s="1" t="str">
        <x:v>P2</x:v>
      </x:c>
      <x:c r="F860" s="1" t="str">
        <x:v>M04</x:v>
      </x:c>
      <x:c r="G860" s="1" t="str">
        <x:v>G01</x:v>
      </x:c>
      <x:c r="H860" s="5" t="n">
        <x:v>27.7</x:v>
      </x:c>
      <x:c r="I860" s="5" t="n">
        <x:v>5.95</x:v>
      </x:c>
      <x:c r="J860" s="5" t="n">
        <x:v>48.8</x:v>
      </x:c>
      <x:c r="K860" s="5" t="n">
        <x:v>36.2</x:v>
      </x:c>
      <x:c r="L860" s="5" t="n">
        <x:v>2.08</x:v>
      </x:c>
      <x:c r="M860" s="1" t="n">
        <x:v>0</x:v>
      </x:c>
      <x:c r="N860" s="6" t="n">
        <x:v>1.045</x:v>
      </x:c>
      <x:c r="O860" s="1" t="str">
        <x:v>합격</x:v>
      </x:c>
      <x:c r="P860" s="1"/>
      <x:c r="Q860" s="1" t="n">
        <x:v>49</x:v>
      </x:c>
      <x:c r="R860" s="1" t="str">
        <x:v>N</x:v>
      </x:c>
      <x:c r="S860" s="1" t="n">
        <x:v>0</x:v>
      </x:c>
      <x:c r="T860" s="1" t="str">
        <x:v>합격</x:v>
      </x:c>
    </x:row>
    <x:row r="861" ht="22" customHeight="1">
      <x:c r="A861" s="1" t="str">
        <x:v>R00860</x:v>
      </x:c>
      <x:c r="B861" s="4" t="n">
        <x:v>46226.83865740741</x:v>
      </x:c>
      <x:c r="C861" s="1" t="str">
        <x:v>야간</x:v>
      </x:c>
      <x:c r="D861" s="1" t="str">
        <x:v>L2</x:v>
      </x:c>
      <x:c r="E861" s="1" t="str">
        <x:v>P2</x:v>
      </x:c>
      <x:c r="F861" s="1" t="str">
        <x:v>M02</x:v>
      </x:c>
      <x:c r="G861" s="1" t="str">
        <x:v>G02</x:v>
      </x:c>
      <x:c r="H861" s="5" t="n">
        <x:v>27.78</x:v>
      </x:c>
      <x:c r="I861" s="5" t="n">
        <x:v>5.89</x:v>
      </x:c>
      <x:c r="J861" s="5" t="n">
        <x:v>55.3</x:v>
      </x:c>
      <x:c r="K861" s="5" t="n">
        <x:v>36</x:v>
      </x:c>
      <x:c r="L861" s="5" t="n">
        <x:v>1.67</x:v>
      </x:c>
      <x:c r="M861" s="1" t="n">
        <x:v>1</x:v>
      </x:c>
      <x:c r="N861" s="6" t="n">
        <x:v>0.905</x:v>
      </x:c>
      <x:c r="O861" s="1" t="str">
        <x:v>합격</x:v>
      </x:c>
      <x:c r="P861" s="1"/>
      <x:c r="Q861" s="1" t="n">
        <x:v>47</x:v>
      </x:c>
      <x:c r="R861" s="1" t="str">
        <x:v>N</x:v>
      </x:c>
      <x:c r="S861" s="1" t="n">
        <x:v>0</x:v>
      </x:c>
      <x:c r="T861" s="1" t="str">
        <x:v>합격</x:v>
      </x:c>
    </x:row>
    <x:row r="862" ht="22" customHeight="1">
      <x:c r="A862" s="1" t="str">
        <x:v>R00861</x:v>
      </x:c>
      <x:c r="B862" s="4" t="n">
        <x:v>46227.38377314815</x:v>
      </x:c>
      <x:c r="C862" s="1" t="str">
        <x:v>주간</x:v>
      </x:c>
      <x:c r="D862" s="1" t="str">
        <x:v>L1</x:v>
      </x:c>
      <x:c r="E862" s="1" t="str">
        <x:v>P1</x:v>
      </x:c>
      <x:c r="F862" s="1" t="str">
        <x:v>M01</x:v>
      </x:c>
      <x:c r="G862" s="1" t="str">
        <x:v>G03</x:v>
      </x:c>
      <x:c r="H862" s="5" t="n">
        <x:v>31.64</x:v>
      </x:c>
      <x:c r="I862" s="5" t="n">
        <x:v>5.67</x:v>
      </x:c>
      <x:c r="J862" s="5" t="n">
        <x:v>49.8</x:v>
      </x:c>
      <x:c r="K862" s="5" t="n">
        <x:v>42</x:v>
      </x:c>
      <x:c r="L862" s="5" t="n">
        <x:v>1.82</x:v>
      </x:c>
      <x:c r="M862" s="1" t="n">
        <x:v>1</x:v>
      </x:c>
      <x:c r="N862" s="6" t="n">
        <x:v>0.911</x:v>
      </x:c>
      <x:c r="O862" s="1" t="str">
        <x:v>합격</x:v>
      </x:c>
      <x:c r="P862" s="1"/>
      <x:c r="Q862" s="1" t="n">
        <x:v>49</x:v>
      </x:c>
      <x:c r="R862" s="1" t="str">
        <x:v>N</x:v>
      </x:c>
      <x:c r="S862" s="1" t="n">
        <x:v>0</x:v>
      </x:c>
      <x:c r="T862" s="1" t="str">
        <x:v>합격</x:v>
      </x:c>
    </x:row>
    <x:row r="863" ht="22" customHeight="1">
      <x:c r="A863" s="1" t="str">
        <x:v>R00862</x:v>
      </x:c>
      <x:c r="B863" s="4" t="n">
        <x:v>46228.96381944444</x:v>
      </x:c>
      <x:c r="C863" s="1" t="str">
        <x:v>야간</x:v>
      </x:c>
      <x:c r="D863" s="1" t="str">
        <x:v>L2</x:v>
      </x:c>
      <x:c r="E863" s="1" t="str">
        <x:v>P2</x:v>
      </x:c>
      <x:c r="F863" s="1" t="str">
        <x:v>M01</x:v>
      </x:c>
      <x:c r="G863" s="1" t="str">
        <x:v>G04</x:v>
      </x:c>
      <x:c r="H863" s="5" t="n">
        <x:v>32.15</x:v>
      </x:c>
      <x:c r="I863" s="5" t="n">
        <x:v>5.96</x:v>
      </x:c>
      <x:c r="J863" s="5" t="n">
        <x:v>52</x:v>
      </x:c>
      <x:c r="K863" s="5" t="n">
        <x:v>41.3</x:v>
      </x:c>
      <x:c r="L863" s="5" t="n">
        <x:v>2.26</x:v>
      </x:c>
      <x:c r="M863" s="1" t="n">
        <x:v>1</x:v>
      </x:c>
      <x:c r="N863" s="6" t="n">
        <x:v>0.9</x:v>
      </x:c>
      <x:c r="O863" s="1" t="str">
        <x:v>합격</x:v>
      </x:c>
      <x:c r="P863" s="1"/>
      <x:c r="Q863" s="1" t="n">
        <x:v>44</x:v>
      </x:c>
      <x:c r="R863" s="1" t="str">
        <x:v>N</x:v>
      </x:c>
      <x:c r="S863" s="1" t="n">
        <x:v>0</x:v>
      </x:c>
      <x:c r="T863" s="1" t="str">
        <x:v>합격</x:v>
      </x:c>
    </x:row>
    <x:row r="864" ht="22" customHeight="1">
      <x:c r="A864" s="1" t="str">
        <x:v>R00863</x:v>
      </x:c>
      <x:c r="B864" s="4" t="n">
        <x:v>46229.09587962963</x:v>
      </x:c>
      <x:c r="C864" s="1" t="str">
        <x:v>야간</x:v>
      </x:c>
      <x:c r="D864" s="1" t="str">
        <x:v>L1</x:v>
      </x:c>
      <x:c r="E864" s="1" t="str">
        <x:v>P1</x:v>
      </x:c>
      <x:c r="F864" s="1" t="str">
        <x:v>M03</x:v>
      </x:c>
      <x:c r="G864" s="1" t="str">
        <x:v>G05</x:v>
      </x:c>
      <x:c r="H864" s="5" t="n">
        <x:v>34.02</x:v>
      </x:c>
      <x:c r="I864" s="5" t="n">
        <x:v>5.74</x:v>
      </x:c>
      <x:c r="J864" s="5" t="n">
        <x:v>53</x:v>
      </x:c>
      <x:c r="K864" s="5" t="n">
        <x:v>41.7</x:v>
      </x:c>
      <x:c r="L864" s="5" t="n">
        <x:v>2.28</x:v>
      </x:c>
      <x:c r="M864" s="1" t="n">
        <x:v>0</x:v>
      </x:c>
      <x:c r="N864" s="6" t="n">
        <x:v>0.946</x:v>
      </x:c>
      <x:c r="O864" s="1" t="str">
        <x:v>합격</x:v>
      </x:c>
      <x:c r="P864" s="1"/>
      <x:c r="Q864" s="1" t="n">
        <x:v>37</x:v>
      </x:c>
      <x:c r="R864" s="1" t="str">
        <x:v>N</x:v>
      </x:c>
      <x:c r="S864" s="1" t="n">
        <x:v>0</x:v>
      </x:c>
      <x:c r="T864" s="1" t="str">
        <x:v>합격</x:v>
      </x:c>
    </x:row>
    <x:row r="865" ht="22" customHeight="1">
      <x:c r="A865" s="1" t="str">
        <x:v>R00864</x:v>
      </x:c>
      <x:c r="B865" s="4" t="n">
        <x:v>46230.97217592593</x:v>
      </x:c>
      <x:c r="C865" s="1" t="str">
        <x:v>야간</x:v>
      </x:c>
      <x:c r="D865" s="1" t="str">
        <x:v>L2</x:v>
      </x:c>
      <x:c r="E865" s="1" t="str">
        <x:v>P2</x:v>
      </x:c>
      <x:c r="F865" s="1" t="str">
        <x:v>M01</x:v>
      </x:c>
      <x:c r="G865" s="1" t="str">
        <x:v>G06</x:v>
      </x:c>
      <x:c r="H865" s="5" t="n">
        <x:v>28.5</x:v>
      </x:c>
      <x:c r="I865" s="5" t="n">
        <x:v>5.71</x:v>
      </x:c>
      <x:c r="J865" s="5" t="n">
        <x:v>57</x:v>
      </x:c>
      <x:c r="K865" s="5" t="n">
        <x:v>36.7</x:v>
      </x:c>
      <x:c r="L865" s="5" t="n">
        <x:v>1.9</x:v>
      </x:c>
      <x:c r="M865" s="1" t="n">
        <x:v>0</x:v>
      </x:c>
      <x:c r="N865" s="6" t="n">
        <x:v>0.899</x:v>
      </x:c>
      <x:c r="O865" s="1" t="str">
        <x:v>합격</x:v>
      </x:c>
      <x:c r="P865" s="1"/>
      <x:c r="Q865" s="1" t="n">
        <x:v>40</x:v>
      </x:c>
      <x:c r="R865" s="1" t="str">
        <x:v>N</x:v>
      </x:c>
      <x:c r="S865" s="1" t="n">
        <x:v>0</x:v>
      </x:c>
      <x:c r="T865" s="1" t="str">
        <x:v>합격</x:v>
      </x:c>
    </x:row>
    <x:row r="866" ht="22" customHeight="1">
      <x:c r="A866" s="1" t="str">
        <x:v>R00865</x:v>
      </x:c>
      <x:c r="B866" s="4" t="n">
        <x:v>46231.14005787037</x:v>
      </x:c>
      <x:c r="C866" s="1" t="str">
        <x:v>야간</x:v>
      </x:c>
      <x:c r="D866" s="1" t="str">
        <x:v>L1</x:v>
      </x:c>
      <x:c r="E866" s="1" t="str">
        <x:v>P1</x:v>
      </x:c>
      <x:c r="F866" s="1" t="str">
        <x:v>M04</x:v>
      </x:c>
      <x:c r="G866" s="1" t="str">
        <x:v>G01</x:v>
      </x:c>
      <x:c r="H866" s="5" t="n">
        <x:v>32.09</x:v>
      </x:c>
      <x:c r="I866" s="5" t="n">
        <x:v>5.67</x:v>
      </x:c>
      <x:c r="J866" s="5" t="n">
        <x:v>52.9</x:v>
      </x:c>
      <x:c r="K866" s="5" t="n">
        <x:v>41.2</x:v>
      </x:c>
      <x:c r="L866" s="5" t="n">
        <x:v>1.75</x:v>
      </x:c>
      <x:c r="M866" s="1" t="n">
        <x:v>0</x:v>
      </x:c>
      <x:c r="N866" s="6" t="n">
        <x:v>1.032</x:v>
      </x:c>
      <x:c r="O866" s="1" t="str">
        <x:v>합격</x:v>
      </x:c>
      <x:c r="P866" s="1"/>
      <x:c r="Q866" s="1" t="n">
        <x:v>45</x:v>
      </x:c>
      <x:c r="R866" s="1" t="str">
        <x:v>N</x:v>
      </x:c>
      <x:c r="S866" s="1" t="n">
        <x:v>0</x:v>
      </x:c>
      <x:c r="T866" s="1" t="str">
        <x:v>합격</x:v>
      </x:c>
    </x:row>
    <x:row r="867" ht="22" customHeight="1">
      <x:c r="A867" s="1" t="str">
        <x:v>R00866</x:v>
      </x:c>
      <x:c r="B867" s="4" t="n">
        <x:v>46232.56532407407</x:v>
      </x:c>
      <x:c r="C867" s="1" t="str">
        <x:v>주간</x:v>
      </x:c>
      <x:c r="D867" s="1" t="str">
        <x:v>L2</x:v>
      </x:c>
      <x:c r="E867" s="1" t="str">
        <x:v>P2</x:v>
      </x:c>
      <x:c r="F867" s="1" t="str">
        <x:v>M02</x:v>
      </x:c>
      <x:c r="G867" s="1" t="str">
        <x:v>G02</x:v>
      </x:c>
      <x:c r="H867" s="5" t="n">
        <x:v>29.06</x:v>
      </x:c>
      <x:c r="I867" s="5" t="n">
        <x:v>5.78</x:v>
      </x:c>
      <x:c r="J867" s="5" t="n">
        <x:v>54.7</x:v>
      </x:c>
      <x:c r="K867" s="5" t="n">
        <x:v>37.3</x:v>
      </x:c>
      <x:c r="L867" s="5" t="n">
        <x:v>1.41</x:v>
      </x:c>
      <x:c r="M867" s="1" t="n">
        <x:v>1</x:v>
      </x:c>
      <x:c r="N867" s="6" t="n">
        <x:v>0.904</x:v>
      </x:c>
      <x:c r="O867" s="1" t="str">
        <x:v>합격</x:v>
      </x:c>
      <x:c r="P867" s="1"/>
      <x:c r="Q867" s="1" t="n">
        <x:v>43</x:v>
      </x:c>
      <x:c r="R867" s="1" t="str">
        <x:v>N</x:v>
      </x:c>
      <x:c r="S867" s="1" t="n">
        <x:v>0</x:v>
      </x:c>
      <x:c r="T867" s="1" t="str">
        <x:v>합격</x:v>
      </x:c>
    </x:row>
    <x:row r="868" ht="22" customHeight="1">
      <x:c r="A868" s="1" t="str">
        <x:v>R00867</x:v>
      </x:c>
      <x:c r="B868" s="4" t="n">
        <x:v>46233.445335648146</x:v>
      </x:c>
      <x:c r="C868" s="1" t="str">
        <x:v>주간</x:v>
      </x:c>
      <x:c r="D868" s="1" t="str">
        <x:v>L1</x:v>
      </x:c>
      <x:c r="E868" s="1" t="str">
        <x:v>P1</x:v>
      </x:c>
      <x:c r="F868" s="1" t="str">
        <x:v>M03</x:v>
      </x:c>
      <x:c r="G868" s="1" t="str">
        <x:v>G03</x:v>
      </x:c>
      <x:c r="H868" s="5" t="n">
        <x:v>32.14</x:v>
      </x:c>
      <x:c r="I868" s="5" t="n">
        <x:v>5.89</x:v>
      </x:c>
      <x:c r="J868" s="5" t="n">
        <x:v>53</x:v>
      </x:c>
      <x:c r="K868" s="5" t="n">
        <x:v>40.5</x:v>
      </x:c>
      <x:c r="L868" s="5" t="n">
        <x:v>2.66</x:v>
      </x:c>
      <x:c r="M868" s="1" t="n">
        <x:v>1</x:v>
      </x:c>
      <x:c r="N868" s="6" t="n">
        <x:v>0.96</x:v>
      </x:c>
      <x:c r="O868" s="1" t="str">
        <x:v>합격</x:v>
      </x:c>
      <x:c r="P868" s="1"/>
      <x:c r="Q868" s="1" t="n">
        <x:v>35</x:v>
      </x:c>
      <x:c r="R868" s="1" t="str">
        <x:v>N</x:v>
      </x:c>
      <x:c r="S868" s="1" t="n">
        <x:v>0</x:v>
      </x:c>
      <x:c r="T868" s="1" t="str">
        <x:v>합격</x:v>
      </x:c>
    </x:row>
    <x:row r="869" ht="22" customHeight="1">
      <x:c r="A869" s="1" t="str">
        <x:v>R00868</x:v>
      </x:c>
      <x:c r="B869" s="4" t="n">
        <x:v>46234.38846064815</x:v>
      </x:c>
      <x:c r="C869" s="1" t="str">
        <x:v>주간</x:v>
      </x:c>
      <x:c r="D869" s="1" t="str">
        <x:v>L2</x:v>
      </x:c>
      <x:c r="E869" s="1" t="str">
        <x:v>P2</x:v>
      </x:c>
      <x:c r="F869" s="1" t="str">
        <x:v>M02</x:v>
      </x:c>
      <x:c r="G869" s="1" t="str">
        <x:v>G04</x:v>
      </x:c>
      <x:c r="H869" s="5" t="n">
        <x:v>31.33</x:v>
      </x:c>
      <x:c r="I869" s="5" t="n">
        <x:v>5.84</x:v>
      </x:c>
      <x:c r="J869" s="5" t="n">
        <x:v>47.8</x:v>
      </x:c>
      <x:c r="K869" s="5" t="n">
        <x:v>38.7</x:v>
      </x:c>
      <x:c r="L869" s="5" t="n">
        <x:v>2.65</x:v>
      </x:c>
      <x:c r="M869" s="1" t="n">
        <x:v>0</x:v>
      </x:c>
      <x:c r="N869" s="6" t="n">
        <x:v>0.855</x:v>
      </x:c>
      <x:c r="O869" s="1" t="str">
        <x:v>합격</x:v>
      </x:c>
      <x:c r="P869" s="1"/>
      <x:c r="Q869" s="1" t="n">
        <x:v>46</x:v>
      </x:c>
      <x:c r="R869" s="1" t="str">
        <x:v>N</x:v>
      </x:c>
      <x:c r="S869" s="1" t="n">
        <x:v>0</x:v>
      </x:c>
      <x:c r="T869" s="1" t="str">
        <x:v>합격</x:v>
      </x:c>
    </x:row>
    <x:row r="870" ht="22" customHeight="1">
      <x:c r="A870" s="1" t="str">
        <x:v>R00869</x:v>
      </x:c>
      <x:c r="B870" s="4" t="n">
        <x:v>46204.03256944445</x:v>
      </x:c>
      <x:c r="C870" s="1" t="str">
        <x:v>야간</x:v>
      </x:c>
      <x:c r="D870" s="1" t="str">
        <x:v>L2</x:v>
      </x:c>
      <x:c r="E870" s="1" t="str">
        <x:v>P2</x:v>
      </x:c>
      <x:c r="F870" s="1" t="str">
        <x:v>M01</x:v>
      </x:c>
      <x:c r="G870" s="1" t="str">
        <x:v>G05</x:v>
      </x:c>
      <x:c r="H870" s="5" t="n">
        <x:v>29.71</x:v>
      </x:c>
      <x:c r="I870" s="5" t="n">
        <x:v>5.93</x:v>
      </x:c>
      <x:c r="J870" s="5" t="n">
        <x:v>52.9</x:v>
      </x:c>
      <x:c r="K870" s="5" t="n">
        <x:v>38.6</x:v>
      </x:c>
      <x:c r="L870" s="5" t="n">
        <x:v>2.3</x:v>
      </x:c>
      <x:c r="M870" s="1" t="n">
        <x:v>0</x:v>
      </x:c>
      <x:c r="N870" s="6" t="n">
        <x:v>0.868</x:v>
      </x:c>
      <x:c r="O870" s="1" t="str">
        <x:v>합격</x:v>
      </x:c>
      <x:c r="P870" s="1"/>
      <x:c r="Q870" s="1" t="n">
        <x:v>37</x:v>
      </x:c>
      <x:c r="R870" s="1" t="str">
        <x:v>N</x:v>
      </x:c>
      <x:c r="S870" s="1" t="n">
        <x:v>0</x:v>
      </x:c>
      <x:c r="T870" s="1" t="str">
        <x:v>합격</x:v>
      </x:c>
    </x:row>
    <x:row r="871" ht="22" customHeight="1">
      <x:c r="A871" s="1" t="str">
        <x:v>R00870</x:v>
      </x:c>
      <x:c r="B871" s="4" t="n">
        <x:v>46205.08094907407</x:v>
      </x:c>
      <x:c r="C871" s="1" t="str">
        <x:v>야간</x:v>
      </x:c>
      <x:c r="D871" s="1" t="str">
        <x:v>L2</x:v>
      </x:c>
      <x:c r="E871" s="1" t="str">
        <x:v>P2</x:v>
      </x:c>
      <x:c r="F871" s="1" t="str">
        <x:v>M01</x:v>
      </x:c>
      <x:c r="G871" s="1" t="str">
        <x:v>G06</x:v>
      </x:c>
      <x:c r="H871" s="5" t="n">
        <x:v>32.09</x:v>
      </x:c>
      <x:c r="I871" s="5" t="n">
        <x:v>5.79</x:v>
      </x:c>
      <x:c r="J871" s="5" t="n">
        <x:v>57.5</x:v>
      </x:c>
      <x:c r="K871" s="5" t="n">
        <x:v>41.5</x:v>
      </x:c>
      <x:c r="L871" s="5" t="n">
        <x:v>1.44</x:v>
      </x:c>
      <x:c r="M871" s="1" t="n">
        <x:v>0</x:v>
      </x:c>
      <x:c r="N871" s="6" t="n">
        <x:v>0.973</x:v>
      </x:c>
      <x:c r="O871" s="1" t="str">
        <x:v>합격</x:v>
      </x:c>
      <x:c r="P871" s="1"/>
      <x:c r="Q871" s="1" t="n">
        <x:v>48</x:v>
      </x:c>
      <x:c r="R871" s="1" t="str">
        <x:v>N</x:v>
      </x:c>
      <x:c r="S871" s="1" t="n">
        <x:v>0</x:v>
      </x:c>
      <x:c r="T871" s="1" t="str">
        <x:v>합격</x:v>
      </x:c>
    </x:row>
    <x:row r="872" ht="22" customHeight="1">
      <x:c r="A872" s="1" t="str">
        <x:v>R00871</x:v>
      </x:c>
      <x:c r="B872" s="4" t="n">
        <x:v>46206.501539351855</x:v>
      </x:c>
      <x:c r="C872" s="1" t="str">
        <x:v>주간</x:v>
      </x:c>
      <x:c r="D872" s="1" t="str">
        <x:v>L1</x:v>
      </x:c>
      <x:c r="E872" s="1" t="str">
        <x:v>P1</x:v>
      </x:c>
      <x:c r="F872" s="1" t="str">
        <x:v>M03</x:v>
      </x:c>
      <x:c r="G872" s="1" t="str">
        <x:v>G01</x:v>
      </x:c>
      <x:c r="H872" s="5" t="n">
        <x:v>30.23</x:v>
      </x:c>
      <x:c r="I872" s="5" t="n">
        <x:v>5.94</x:v>
      </x:c>
      <x:c r="J872" s="5" t="n">
        <x:v>52.1</x:v>
      </x:c>
      <x:c r="K872" s="5" t="n">
        <x:v>41.3</x:v>
      </x:c>
      <x:c r="L872" s="5" t="n">
        <x:v>1.31</x:v>
      </x:c>
      <x:c r="M872" s="1" t="n">
        <x:v>0</x:v>
      </x:c>
      <x:c r="N872" s="6" t="n">
        <x:v>1.044</x:v>
      </x:c>
      <x:c r="O872" s="1" t="str">
        <x:v>합격</x:v>
      </x:c>
      <x:c r="P872" s="1"/>
      <x:c r="Q872" s="1" t="n">
        <x:v>38</x:v>
      </x:c>
      <x:c r="R872" s="1" t="str">
        <x:v>N</x:v>
      </x:c>
      <x:c r="S872" s="1" t="n">
        <x:v>0</x:v>
      </x:c>
      <x:c r="T872" s="1" t="str">
        <x:v>합격</x:v>
      </x:c>
    </x:row>
    <x:row r="873" ht="22" customHeight="1">
      <x:c r="A873" s="1" t="str">
        <x:v>R00872</x:v>
      </x:c>
      <x:c r="B873" s="4" t="n">
        <x:v>46207.55716435185</x:v>
      </x:c>
      <x:c r="C873" s="1" t="str">
        <x:v>주간</x:v>
      </x:c>
      <x:c r="D873" s="1" t="str">
        <x:v>L2</x:v>
      </x:c>
      <x:c r="E873" s="1" t="str">
        <x:v>P2</x:v>
      </x:c>
      <x:c r="F873" s="1" t="str">
        <x:v>M02</x:v>
      </x:c>
      <x:c r="G873" s="1" t="str">
        <x:v>G02</x:v>
      </x:c>
      <x:c r="H873" s="5" t="n">
        <x:v>29.52</x:v>
      </x:c>
      <x:c r="I873" s="5" t="n">
        <x:v>5.76</x:v>
      </x:c>
      <x:c r="J873" s="5" t="n">
        <x:v>55.9</x:v>
      </x:c>
      <x:c r="K873" s="5" t="n">
        <x:v>39.2</x:v>
      </x:c>
      <x:c r="L873" s="5" t="n">
        <x:v>2.65</x:v>
      </x:c>
      <x:c r="M873" s="1" t="n">
        <x:v>1</x:v>
      </x:c>
      <x:c r="N873" s="6" t="n">
        <x:v>0.906</x:v>
      </x:c>
      <x:c r="O873" s="1" t="str">
        <x:v>합격</x:v>
      </x:c>
      <x:c r="P873" s="1"/>
      <x:c r="Q873" s="1" t="n">
        <x:v>45</x:v>
      </x:c>
      <x:c r="R873" s="1" t="str">
        <x:v>N</x:v>
      </x:c>
      <x:c r="S873" s="1" t="n">
        <x:v>0</x:v>
      </x:c>
      <x:c r="T873" s="1" t="str">
        <x:v>합격</x:v>
      </x:c>
    </x:row>
    <x:row r="874" ht="22" customHeight="1">
      <x:c r="A874" s="1" t="str">
        <x:v>R00873</x:v>
      </x:c>
      <x:c r="B874" s="4" t="n">
        <x:v>46208.34818287037</x:v>
      </x:c>
      <x:c r="C874" s="1" t="str">
        <x:v>주간</x:v>
      </x:c>
      <x:c r="D874" s="1" t="str">
        <x:v>L2</x:v>
      </x:c>
      <x:c r="E874" s="1" t="str">
        <x:v>P2</x:v>
      </x:c>
      <x:c r="F874" s="1" t="str">
        <x:v>M04</x:v>
      </x:c>
      <x:c r="G874" s="1" t="str">
        <x:v>G03</x:v>
      </x:c>
      <x:c r="H874" s="5" t="n">
        <x:v>28.42</x:v>
      </x:c>
      <x:c r="I874" s="5" t="n">
        <x:v>5.91</x:v>
      </x:c>
      <x:c r="J874" s="5" t="n">
        <x:v>53.7</x:v>
      </x:c>
      <x:c r="K874" s="5" t="n">
        <x:v>41.4</x:v>
      </x:c>
      <x:c r="L874" s="5" t="n">
        <x:v>1.36</x:v>
      </x:c>
      <x:c r="M874" s="1" t="n">
        <x:v>0</x:v>
      </x:c>
      <x:c r="N874" s="6" t="n">
        <x:v>0.925</x:v>
      </x:c>
      <x:c r="O874" s="1" t="str">
        <x:v>합격</x:v>
      </x:c>
      <x:c r="P874" s="1"/>
      <x:c r="Q874" s="1" t="n">
        <x:v>45</x:v>
      </x:c>
      <x:c r="R874" s="1" t="str">
        <x:v>N</x:v>
      </x:c>
      <x:c r="S874" s="1" t="n">
        <x:v>0</x:v>
      </x:c>
      <x:c r="T874" s="1" t="str">
        <x:v>합격</x:v>
      </x:c>
    </x:row>
    <x:row r="875" ht="22" customHeight="1">
      <x:c r="A875" s="1" t="str">
        <x:v>R00874</x:v>
      </x:c>
      <x:c r="B875" s="4" t="n">
        <x:v>46209.34324074074</x:v>
      </x:c>
      <x:c r="C875" s="1" t="str">
        <x:v>주간</x:v>
      </x:c>
      <x:c r="D875" s="1" t="str">
        <x:v>L1</x:v>
      </x:c>
      <x:c r="E875" s="1" t="str">
        <x:v>P1</x:v>
      </x:c>
      <x:c r="F875" s="1" t="str">
        <x:v>M03</x:v>
      </x:c>
      <x:c r="G875" s="1" t="str">
        <x:v>G04</x:v>
      </x:c>
      <x:c r="H875" s="5" t="n">
        <x:v>30.28</x:v>
      </x:c>
      <x:c r="I875" s="5" t="n">
        <x:v>5.75</x:v>
      </x:c>
      <x:c r="J875" s="5" t="n">
        <x:v>57.4</x:v>
      </x:c>
      <x:c r="K875" s="5" t="n">
        <x:v>35.4</x:v>
      </x:c>
      <x:c r="L875" s="5" t="n">
        <x:v>1.37</x:v>
      </x:c>
      <x:c r="M875" s="1" t="n">
        <x:v>1</x:v>
      </x:c>
      <x:c r="N875" s="6" t="n">
        <x:v>0.952</x:v>
      </x:c>
      <x:c r="O875" s="1" t="str">
        <x:v>합격</x:v>
      </x:c>
      <x:c r="P875" s="1"/>
      <x:c r="Q875" s="1" t="n">
        <x:v>40</x:v>
      </x:c>
      <x:c r="R875" s="1" t="str">
        <x:v>N</x:v>
      </x:c>
      <x:c r="S875" s="1" t="n">
        <x:v>0</x:v>
      </x:c>
      <x:c r="T875" s="1" t="str">
        <x:v>합격</x:v>
      </x:c>
    </x:row>
    <x:row r="876" ht="22" customHeight="1">
      <x:c r="A876" s="1" t="str">
        <x:v>R00875</x:v>
      </x:c>
      <x:c r="B876" s="4" t="n">
        <x:v>46210.44298611111</x:v>
      </x:c>
      <x:c r="C876" s="1" t="str">
        <x:v>주간</x:v>
      </x:c>
      <x:c r="D876" s="1" t="str">
        <x:v>L2</x:v>
      </x:c>
      <x:c r="E876" s="1" t="str">
        <x:v>P2</x:v>
      </x:c>
      <x:c r="F876" s="1" t="str">
        <x:v>M02</x:v>
      </x:c>
      <x:c r="G876" s="1" t="str">
        <x:v>G05</x:v>
      </x:c>
      <x:c r="H876" s="5" t="n">
        <x:v>27.33</x:v>
      </x:c>
      <x:c r="I876" s="5" t="n">
        <x:v>5.62</x:v>
      </x:c>
      <x:c r="J876" s="5" t="n">
        <x:v>50.3</x:v>
      </x:c>
      <x:c r="K876" s="5" t="n">
        <x:v>38.8</x:v>
      </x:c>
      <x:c r="L876" s="5" t="n">
        <x:v>1.74</x:v>
      </x:c>
      <x:c r="M876" s="1" t="n">
        <x:v>0</x:v>
      </x:c>
      <x:c r="N876" s="6" t="n">
        <x:v>0.945</x:v>
      </x:c>
      <x:c r="O876" s="1" t="str">
        <x:v>합격</x:v>
      </x:c>
      <x:c r="P876" s="1"/>
      <x:c r="Q876" s="1" t="n">
        <x:v>42</x:v>
      </x:c>
      <x:c r="R876" s="1" t="str">
        <x:v>N</x:v>
      </x:c>
      <x:c r="S876" s="1" t="n">
        <x:v>0</x:v>
      </x:c>
      <x:c r="T876" s="1" t="str">
        <x:v>합격</x:v>
      </x:c>
    </x:row>
    <x:row r="877" ht="22" customHeight="1">
      <x:c r="A877" s="1" t="str">
        <x:v>R00876</x:v>
      </x:c>
      <x:c r="B877" s="4" t="n">
        <x:v>46211.665300925924</x:v>
      </x:c>
      <x:c r="C877" s="1" t="str">
        <x:v>주간</x:v>
      </x:c>
      <x:c r="D877" s="1" t="str">
        <x:v>L2</x:v>
      </x:c>
      <x:c r="E877" s="1" t="str">
        <x:v>P2</x:v>
      </x:c>
      <x:c r="F877" s="1" t="str">
        <x:v>M02</x:v>
      </x:c>
      <x:c r="G877" s="1" t="str">
        <x:v>G06</x:v>
      </x:c>
      <x:c r="H877" s="5" t="n">
        <x:v>28.09</x:v>
      </x:c>
      <x:c r="I877" s="5" t="n">
        <x:v>5.84</x:v>
      </x:c>
      <x:c r="J877" s="5" t="n">
        <x:v>47.5</x:v>
      </x:c>
      <x:c r="K877" s="5" t="n">
        <x:v>39.1</x:v>
      </x:c>
      <x:c r="L877" s="5" t="n">
        <x:v>1.45</x:v>
      </x:c>
      <x:c r="M877" s="1" t="n">
        <x:v>0</x:v>
      </x:c>
      <x:c r="N877" s="6" t="n">
        <x:v>0.878</x:v>
      </x:c>
      <x:c r="O877" s="1" t="str">
        <x:v>합격</x:v>
      </x:c>
      <x:c r="P877" s="1"/>
      <x:c r="Q877" s="1" t="n">
        <x:v>39</x:v>
      </x:c>
      <x:c r="R877" s="1" t="str">
        <x:v>N</x:v>
      </x:c>
      <x:c r="S877" s="1" t="n">
        <x:v>0</x:v>
      </x:c>
      <x:c r="T877" s="1" t="str">
        <x:v>합격</x:v>
      </x:c>
    </x:row>
    <x:row r="878" ht="22" customHeight="1">
      <x:c r="A878" s="1" t="str">
        <x:v>R00877</x:v>
      </x:c>
      <x:c r="B878" s="4" t="n">
        <x:v>46212.64912037037</x:v>
      </x:c>
      <x:c r="C878" s="1" t="str">
        <x:v>주간</x:v>
      </x:c>
      <x:c r="D878" s="1" t="str">
        <x:v>L1</x:v>
      </x:c>
      <x:c r="E878" s="1" t="str">
        <x:v>P1</x:v>
      </x:c>
      <x:c r="F878" s="1" t="str">
        <x:v>M03</x:v>
      </x:c>
      <x:c r="G878" s="1" t="str">
        <x:v>G01</x:v>
      </x:c>
      <x:c r="H878" s="5" t="n">
        <x:v>30.87</x:v>
      </x:c>
      <x:c r="I878" s="5" t="n">
        <x:v>5.75</x:v>
      </x:c>
      <x:c r="J878" s="5" t="n">
        <x:v>49.1</x:v>
      </x:c>
      <x:c r="K878" s="5" t="n">
        <x:v>39</x:v>
      </x:c>
      <x:c r="L878" s="5" t="n">
        <x:v>2.26</x:v>
      </x:c>
      <x:c r="M878" s="1" t="n">
        <x:v>0</x:v>
      </x:c>
      <x:c r="N878" s="6" t="n">
        <x:v>0.9</x:v>
      </x:c>
      <x:c r="O878" s="1" t="str">
        <x:v>합격</x:v>
      </x:c>
      <x:c r="P878" s="1"/>
      <x:c r="Q878" s="1" t="n">
        <x:v>48</x:v>
      </x:c>
      <x:c r="R878" s="1" t="str">
        <x:v>N</x:v>
      </x:c>
      <x:c r="S878" s="1" t="n">
        <x:v>0</x:v>
      </x:c>
      <x:c r="T878" s="1" t="str">
        <x:v>합격</x:v>
      </x:c>
    </x:row>
    <x:row r="879" ht="22" customHeight="1">
      <x:c r="A879" s="1" t="str">
        <x:v>R00878</x:v>
      </x:c>
      <x:c r="B879" s="4" t="n">
        <x:v>46213.150868055556</x:v>
      </x:c>
      <x:c r="C879" s="1" t="str">
        <x:v>야간</x:v>
      </x:c>
      <x:c r="D879" s="1" t="str">
        <x:v>L1</x:v>
      </x:c>
      <x:c r="E879" s="1" t="str">
        <x:v>P1</x:v>
      </x:c>
      <x:c r="F879" s="1" t="str">
        <x:v>M04</x:v>
      </x:c>
      <x:c r="G879" s="1" t="str">
        <x:v>G02</x:v>
      </x:c>
      <x:c r="H879" s="5" t="n">
        <x:v>28.56</x:v>
      </x:c>
      <x:c r="I879" s="5" t="n">
        <x:v>5.9</x:v>
      </x:c>
      <x:c r="J879" s="5" t="n">
        <x:v>56.6</x:v>
      </x:c>
      <x:c r="K879" s="5" t="n">
        <x:v>38.3</x:v>
      </x:c>
      <x:c r="L879" s="5" t="n">
        <x:v>2.67</x:v>
      </x:c>
      <x:c r="M879" s="1" t="n">
        <x:v>1</x:v>
      </x:c>
      <x:c r="N879" s="6" t="n">
        <x:v>0.983</x:v>
      </x:c>
      <x:c r="O879" s="1" t="str">
        <x:v>합격</x:v>
      </x:c>
      <x:c r="P879" s="1"/>
      <x:c r="Q879" s="1" t="n">
        <x:v>48</x:v>
      </x:c>
      <x:c r="R879" s="1" t="str">
        <x:v>N</x:v>
      </x:c>
      <x:c r="S879" s="1" t="n">
        <x:v>0</x:v>
      </x:c>
      <x:c r="T879" s="1" t="str">
        <x:v>합격</x:v>
      </x:c>
    </x:row>
    <x:row r="880" ht="22" customHeight="1">
      <x:c r="A880" s="1" t="str">
        <x:v>R00879</x:v>
      </x:c>
      <x:c r="B880" s="4" t="n">
        <x:v>46214.045069444444</x:v>
      </x:c>
      <x:c r="C880" s="1" t="str">
        <x:v>야간</x:v>
      </x:c>
      <x:c r="D880" s="1" t="str">
        <x:v>L1</x:v>
      </x:c>
      <x:c r="E880" s="1" t="str">
        <x:v>P1</x:v>
      </x:c>
      <x:c r="F880" s="1" t="str">
        <x:v>M04</x:v>
      </x:c>
      <x:c r="G880" s="1" t="str">
        <x:v>G03</x:v>
      </x:c>
      <x:c r="H880" s="5" t="n">
        <x:v>28.1</x:v>
      </x:c>
      <x:c r="I880" s="5" t="n">
        <x:v>5.75</x:v>
      </x:c>
      <x:c r="J880" s="5" t="n">
        <x:v>53.5</x:v>
      </x:c>
      <x:c r="K880" s="5" t="n">
        <x:v>35.2</x:v>
      </x:c>
      <x:c r="L880" s="5" t="n">
        <x:v>2.02</x:v>
      </x:c>
      <x:c r="M880" s="1" t="n">
        <x:v>0</x:v>
      </x:c>
      <x:c r="N880" s="6" t="n">
        <x:v>0.987</x:v>
      </x:c>
      <x:c r="O880" s="1" t="str">
        <x:v>합격</x:v>
      </x:c>
      <x:c r="P880" s="1"/>
      <x:c r="Q880" s="1" t="n">
        <x:v>44</x:v>
      </x:c>
      <x:c r="R880" s="1" t="str">
        <x:v>N</x:v>
      </x:c>
      <x:c r="S880" s="1" t="n">
        <x:v>0</x:v>
      </x:c>
      <x:c r="T880" s="1" t="str">
        <x:v>합격</x:v>
      </x:c>
    </x:row>
    <x:row r="881" ht="22" customHeight="1">
      <x:c r="A881" s="1" t="str">
        <x:v>R00880</x:v>
      </x:c>
      <x:c r="B881" s="4" t="n">
        <x:v>46215.97609953704</x:v>
      </x:c>
      <x:c r="C881" s="1" t="str">
        <x:v>야간</x:v>
      </x:c>
      <x:c r="D881" s="1" t="str">
        <x:v>L1</x:v>
      </x:c>
      <x:c r="E881" s="1" t="str">
        <x:v>P1</x:v>
      </x:c>
      <x:c r="F881" s="1" t="str">
        <x:v>M03</x:v>
      </x:c>
      <x:c r="G881" s="1" t="str">
        <x:v>G04</x:v>
      </x:c>
      <x:c r="H881" s="5" t="n">
        <x:v>25.97</x:v>
      </x:c>
      <x:c r="I881" s="5" t="n">
        <x:v>5.8</x:v>
      </x:c>
      <x:c r="J881" s="5" t="n">
        <x:v>57.1</x:v>
      </x:c>
      <x:c r="K881" s="5" t="n">
        <x:v>38.1</x:v>
      </x:c>
      <x:c r="L881" s="5" t="n">
        <x:v>1.74</x:v>
      </x:c>
      <x:c r="M881" s="1" t="n">
        <x:v>0</x:v>
      </x:c>
      <x:c r="N881" s="6" t="n">
        <x:v>0.899</x:v>
      </x:c>
      <x:c r="O881" s="1" t="str">
        <x:v>합격</x:v>
      </x:c>
      <x:c r="P881" s="1"/>
      <x:c r="Q881" s="1" t="n">
        <x:v>44</x:v>
      </x:c>
      <x:c r="R881" s="1" t="str">
        <x:v>N</x:v>
      </x:c>
      <x:c r="S881" s="1" t="n">
        <x:v>0</x:v>
      </x:c>
      <x:c r="T881" s="1" t="str">
        <x:v>합격</x:v>
      </x:c>
    </x:row>
    <x:row r="882" ht="22" customHeight="1">
      <x:c r="A882" s="1" t="str">
        <x:v>R00881</x:v>
      </x:c>
      <x:c r="B882" s="4" t="n">
        <x:v>46216.927037037036</x:v>
      </x:c>
      <x:c r="C882" s="1" t="str">
        <x:v>야간</x:v>
      </x:c>
      <x:c r="D882" s="1" t="str">
        <x:v>L2</x:v>
      </x:c>
      <x:c r="E882" s="1" t="str">
        <x:v>P2</x:v>
      </x:c>
      <x:c r="F882" s="1" t="str">
        <x:v>M02</x:v>
      </x:c>
      <x:c r="G882" s="1" t="str">
        <x:v>G05</x:v>
      </x:c>
      <x:c r="H882" s="5" t="n">
        <x:v>27.38</x:v>
      </x:c>
      <x:c r="I882" s="5" t="n">
        <x:v>5.97</x:v>
      </x:c>
      <x:c r="J882" s="5" t="n">
        <x:v>55.9</x:v>
      </x:c>
      <x:c r="K882" s="5" t="n">
        <x:v>40.4</x:v>
      </x:c>
      <x:c r="L882" s="5" t="n">
        <x:v>1.81</x:v>
      </x:c>
      <x:c r="M882" s="1" t="n">
        <x:v>0</x:v>
      </x:c>
      <x:c r="N882" s="6" t="n">
        <x:v>0.855</x:v>
      </x:c>
      <x:c r="O882" s="1" t="str">
        <x:v>합격</x:v>
      </x:c>
      <x:c r="P882" s="1"/>
      <x:c r="Q882" s="1" t="n">
        <x:v>35</x:v>
      </x:c>
      <x:c r="R882" s="1" t="str">
        <x:v>N</x:v>
      </x:c>
      <x:c r="S882" s="1" t="n">
        <x:v>0</x:v>
      </x:c>
      <x:c r="T882" s="1" t="str">
        <x:v>합격</x:v>
      </x:c>
    </x:row>
    <x:row r="883" ht="22" customHeight="1">
      <x:c r="A883" s="1" t="str">
        <x:v>R00882</x:v>
      </x:c>
      <x:c r="B883" s="4" t="n">
        <x:v>46217.90332175926</x:v>
      </x:c>
      <x:c r="C883" s="1" t="str">
        <x:v>야간</x:v>
      </x:c>
      <x:c r="D883" s="1" t="str">
        <x:v>L2</x:v>
      </x:c>
      <x:c r="E883" s="1" t="str">
        <x:v>P2</x:v>
      </x:c>
      <x:c r="F883" s="1" t="str">
        <x:v>M01</x:v>
      </x:c>
      <x:c r="G883" s="1" t="str">
        <x:v>G06</x:v>
      </x:c>
      <x:c r="H883" s="5" t="n">
        <x:v>30.75</x:v>
      </x:c>
      <x:c r="I883" s="5" t="n">
        <x:v>5.77</x:v>
      </x:c>
      <x:c r="J883" s="5" t="n">
        <x:v>54.8</x:v>
      </x:c>
      <x:c r="K883" s="5" t="n">
        <x:v>40.1</x:v>
      </x:c>
      <x:c r="L883" s="5" t="n">
        <x:v>1.87</x:v>
      </x:c>
      <x:c r="M883" s="1" t="n">
        <x:v>0</x:v>
      </x:c>
      <x:c r="N883" s="6" t="n">
        <x:v>0.94</x:v>
      </x:c>
      <x:c r="O883" s="1" t="str">
        <x:v>합격</x:v>
      </x:c>
      <x:c r="P883" s="1"/>
      <x:c r="Q883" s="1" t="n">
        <x:v>35</x:v>
      </x:c>
      <x:c r="R883" s="1" t="str">
        <x:v>N</x:v>
      </x:c>
      <x:c r="S883" s="1" t="n">
        <x:v>0</x:v>
      </x:c>
      <x:c r="T883" s="1" t="str">
        <x:v>합격</x:v>
      </x:c>
    </x:row>
    <x:row r="884" ht="22" customHeight="1">
      <x:c r="A884" s="1" t="str">
        <x:v>R00883</x:v>
      </x:c>
      <x:c r="B884" s="4" t="n">
        <x:v>46218.57685185185</x:v>
      </x:c>
      <x:c r="C884" s="1" t="str">
        <x:v>주간</x:v>
      </x:c>
      <x:c r="D884" s="1" t="str">
        <x:v>L2</x:v>
      </x:c>
      <x:c r="E884" s="1" t="str">
        <x:v>P2</x:v>
      </x:c>
      <x:c r="F884" s="1" t="str">
        <x:v>M02</x:v>
      </x:c>
      <x:c r="G884" s="1" t="str">
        <x:v>G01</x:v>
      </x:c>
      <x:c r="H884" s="5" t="n">
        <x:v>29.69</x:v>
      </x:c>
      <x:c r="I884" s="5" t="n">
        <x:v>5.6</x:v>
      </x:c>
      <x:c r="J884" s="5" t="n">
        <x:v>47.6</x:v>
      </x:c>
      <x:c r="K884" s="5" t="n">
        <x:v>39.2</x:v>
      </x:c>
      <x:c r="L884" s="5" t="n">
        <x:v>1.49</x:v>
      </x:c>
      <x:c r="M884" s="1" t="n">
        <x:v>1</x:v>
      </x:c>
      <x:c r="N884" s="6" t="n">
        <x:v>1.029</x:v>
      </x:c>
      <x:c r="O884" s="1" t="str">
        <x:v>합격</x:v>
      </x:c>
      <x:c r="P884" s="1"/>
      <x:c r="Q884" s="1" t="n">
        <x:v>42</x:v>
      </x:c>
      <x:c r="R884" s="1" t="str">
        <x:v>N</x:v>
      </x:c>
      <x:c r="S884" s="1" t="n">
        <x:v>0</x:v>
      </x:c>
      <x:c r="T884" s="1" t="str">
        <x:v>합격</x:v>
      </x:c>
    </x:row>
    <x:row r="885" ht="22" customHeight="1">
      <x:c r="A885" s="1" t="str">
        <x:v>R00884</x:v>
      </x:c>
      <x:c r="B885" s="4" t="n">
        <x:v>46219.126493055555</x:v>
      </x:c>
      <x:c r="C885" s="1" t="str">
        <x:v>야간</x:v>
      </x:c>
      <x:c r="D885" s="1" t="str">
        <x:v>L2</x:v>
      </x:c>
      <x:c r="E885" s="1" t="str">
        <x:v>P2</x:v>
      </x:c>
      <x:c r="F885" s="1" t="str">
        <x:v>M01</x:v>
      </x:c>
      <x:c r="G885" s="1" t="str">
        <x:v>G02</x:v>
      </x:c>
      <x:c r="H885" s="5" t="n">
        <x:v>31.69</x:v>
      </x:c>
      <x:c r="I885" s="5" t="n">
        <x:v>5.64</x:v>
      </x:c>
      <x:c r="J885" s="5" t="n">
        <x:v>48.1</x:v>
      </x:c>
      <x:c r="K885" s="5" t="n">
        <x:v>40.5</x:v>
      </x:c>
      <x:c r="L885" s="5" t="n">
        <x:v>1.41</x:v>
      </x:c>
      <x:c r="M885" s="1" t="n">
        <x:v>1</x:v>
      </x:c>
      <x:c r="N885" s="6" t="n">
        <x:v>0.963</x:v>
      </x:c>
      <x:c r="O885" s="1" t="str">
        <x:v>합격</x:v>
      </x:c>
      <x:c r="P885" s="1"/>
      <x:c r="Q885" s="1" t="n">
        <x:v>42</x:v>
      </x:c>
      <x:c r="R885" s="1" t="str">
        <x:v>N</x:v>
      </x:c>
      <x:c r="S885" s="1" t="n">
        <x:v>0</x:v>
      </x:c>
      <x:c r="T885" s="1" t="str">
        <x:v>합격</x:v>
      </x:c>
    </x:row>
    <x:row r="886" ht="22" customHeight="1">
      <x:c r="A886" s="1" t="str">
        <x:v>R00885</x:v>
      </x:c>
      <x:c r="B886" s="4" t="n">
        <x:v>46220.112916666665</x:v>
      </x:c>
      <x:c r="C886" s="1" t="str">
        <x:v>야간</x:v>
      </x:c>
      <x:c r="D886" s="1" t="str">
        <x:v>L2</x:v>
      </x:c>
      <x:c r="E886" s="1" t="str">
        <x:v>P2</x:v>
      </x:c>
      <x:c r="F886" s="1" t="str">
        <x:v>M02</x:v>
      </x:c>
      <x:c r="G886" s="1" t="str">
        <x:v>G03</x:v>
      </x:c>
      <x:c r="H886" s="5" t="n">
        <x:v>32.1</x:v>
      </x:c>
      <x:c r="I886" s="5" t="n">
        <x:v>5.73</x:v>
      </x:c>
      <x:c r="J886" s="5" t="n">
        <x:v>58.1</x:v>
      </x:c>
      <x:c r="K886" s="5" t="n">
        <x:v>38.1</x:v>
      </x:c>
      <x:c r="L886" s="5" t="n">
        <x:v>1.86</x:v>
      </x:c>
      <x:c r="M886" s="1" t="n">
        <x:v>0</x:v>
      </x:c>
      <x:c r="N886" s="6" t="n">
        <x:v>0.956</x:v>
      </x:c>
      <x:c r="O886" s="1" t="str">
        <x:v>합격</x:v>
      </x:c>
      <x:c r="P886" s="1"/>
      <x:c r="Q886" s="1" t="n">
        <x:v>39</x:v>
      </x:c>
      <x:c r="R886" s="1" t="str">
        <x:v>N</x:v>
      </x:c>
      <x:c r="S886" s="1" t="n">
        <x:v>0</x:v>
      </x:c>
      <x:c r="T886" s="1" t="str">
        <x:v>합격</x:v>
      </x:c>
    </x:row>
    <x:row r="887" ht="22" customHeight="1">
      <x:c r="A887" s="1" t="str">
        <x:v>R00886</x:v>
      </x:c>
      <x:c r="B887" s="4" t="n">
        <x:v>46221.44567129629</x:v>
      </x:c>
      <x:c r="C887" s="1" t="str">
        <x:v>주간</x:v>
      </x:c>
      <x:c r="D887" s="1" t="str">
        <x:v>L1</x:v>
      </x:c>
      <x:c r="E887" s="1" t="str">
        <x:v>P1</x:v>
      </x:c>
      <x:c r="F887" s="1" t="str">
        <x:v>M01</x:v>
      </x:c>
      <x:c r="G887" s="1" t="str">
        <x:v>G04</x:v>
      </x:c>
      <x:c r="H887" s="5" t="n">
        <x:v>28.48</x:v>
      </x:c>
      <x:c r="I887" s="5" t="n">
        <x:v>5.68</x:v>
      </x:c>
      <x:c r="J887" s="5" t="n">
        <x:v>58.8</x:v>
      </x:c>
      <x:c r="K887" s="5" t="n">
        <x:v>38.9</x:v>
      </x:c>
      <x:c r="L887" s="5" t="n">
        <x:v>2.46</x:v>
      </x:c>
      <x:c r="M887" s="1" t="n">
        <x:v>0</x:v>
      </x:c>
      <x:c r="N887" s="6" t="n">
        <x:v>0.884</x:v>
      </x:c>
      <x:c r="O887" s="1" t="str">
        <x:v>합격</x:v>
      </x:c>
      <x:c r="P887" s="1"/>
      <x:c r="Q887" s="1" t="n">
        <x:v>43</x:v>
      </x:c>
      <x:c r="R887" s="1" t="str">
        <x:v>N</x:v>
      </x:c>
      <x:c r="S887" s="1" t="n">
        <x:v>0</x:v>
      </x:c>
      <x:c r="T887" s="1" t="str">
        <x:v>합격</x:v>
      </x:c>
    </x:row>
    <x:row r="888" ht="22" customHeight="1">
      <x:c r="A888" s="1" t="str">
        <x:v>R00887</x:v>
      </x:c>
      <x:c r="B888" s="4" t="n">
        <x:v>46222.54819444445</x:v>
      </x:c>
      <x:c r="C888" s="1" t="str">
        <x:v>주간</x:v>
      </x:c>
      <x:c r="D888" s="1" t="str">
        <x:v>L2</x:v>
      </x:c>
      <x:c r="E888" s="1" t="str">
        <x:v>P2</x:v>
      </x:c>
      <x:c r="F888" s="1" t="str">
        <x:v>M02</x:v>
      </x:c>
      <x:c r="G888" s="1" t="str">
        <x:v>G05</x:v>
      </x:c>
      <x:c r="H888" s="5" t="n">
        <x:v>30.27</x:v>
      </x:c>
      <x:c r="I888" s="5" t="n">
        <x:v>5.88</x:v>
      </x:c>
      <x:c r="J888" s="5" t="n">
        <x:v>54.4</x:v>
      </x:c>
      <x:c r="K888" s="5" t="n">
        <x:v>35.3</x:v>
      </x:c>
      <x:c r="L888" s="5" t="n">
        <x:v>1.58</x:v>
      </x:c>
      <x:c r="M888" s="1" t="n">
        <x:v>0</x:v>
      </x:c>
      <x:c r="N888" s="6" t="n">
        <x:v>0.976</x:v>
      </x:c>
      <x:c r="O888" s="1" t="str">
        <x:v>합격</x:v>
      </x:c>
      <x:c r="P888" s="1"/>
      <x:c r="Q888" s="1" t="n">
        <x:v>43</x:v>
      </x:c>
      <x:c r="R888" s="1" t="str">
        <x:v>N</x:v>
      </x:c>
      <x:c r="S888" s="1" t="n">
        <x:v>0</x:v>
      </x:c>
      <x:c r="T888" s="1" t="str">
        <x:v>합격</x:v>
      </x:c>
    </x:row>
    <x:row r="889" ht="22" customHeight="1">
      <x:c r="A889" s="1" t="str">
        <x:v>R00888</x:v>
      </x:c>
      <x:c r="B889" s="4" t="n">
        <x:v>46223.44920138889</x:v>
      </x:c>
      <x:c r="C889" s="1" t="str">
        <x:v>주간</x:v>
      </x:c>
      <x:c r="D889" s="1" t="str">
        <x:v>L1</x:v>
      </x:c>
      <x:c r="E889" s="1" t="str">
        <x:v>P1</x:v>
      </x:c>
      <x:c r="F889" s="1" t="str">
        <x:v>M01</x:v>
      </x:c>
      <x:c r="G889" s="1" t="str">
        <x:v>G06</x:v>
      </x:c>
      <x:c r="H889" s="5" t="n">
        <x:v>29.62</x:v>
      </x:c>
      <x:c r="I889" s="5" t="n">
        <x:v>5.72</x:v>
      </x:c>
      <x:c r="J889" s="5" t="n">
        <x:v>48.9</x:v>
      </x:c>
      <x:c r="K889" s="5" t="n">
        <x:v>36.6</x:v>
      </x:c>
      <x:c r="L889" s="5" t="n">
        <x:v>1.85</x:v>
      </x:c>
      <x:c r="M889" s="1" t="n">
        <x:v>1</x:v>
      </x:c>
      <x:c r="N889" s="6" t="n">
        <x:v>1.048</x:v>
      </x:c>
      <x:c r="O889" s="1" t="str">
        <x:v>합격</x:v>
      </x:c>
      <x:c r="P889" s="1"/>
      <x:c r="Q889" s="1" t="n">
        <x:v>39</x:v>
      </x:c>
      <x:c r="R889" s="1" t="str">
        <x:v>N</x:v>
      </x:c>
      <x:c r="S889" s="1" t="n">
        <x:v>0</x:v>
      </x:c>
      <x:c r="T889" s="1" t="str">
        <x:v>합격</x:v>
      </x:c>
    </x:row>
    <x:row r="890" ht="22" customHeight="1">
      <x:c r="A890" s="1" t="str">
        <x:v>R00889</x:v>
      </x:c>
      <x:c r="B890" s="4" t="n">
        <x:v>46224.89329861111</x:v>
      </x:c>
      <x:c r="C890" s="1" t="str">
        <x:v>야간</x:v>
      </x:c>
      <x:c r="D890" s="1" t="str">
        <x:v>L2</x:v>
      </x:c>
      <x:c r="E890" s="1" t="str">
        <x:v>P2</x:v>
      </x:c>
      <x:c r="F890" s="1" t="str">
        <x:v>M02</x:v>
      </x:c>
      <x:c r="G890" s="1" t="str">
        <x:v>G01</x:v>
      </x:c>
      <x:c r="H890" s="5" t="n">
        <x:v>32.73</x:v>
      </x:c>
      <x:c r="I890" s="5" t="n">
        <x:v>5.66</x:v>
      </x:c>
      <x:c r="J890" s="5" t="n">
        <x:v>57.8</x:v>
      </x:c>
      <x:c r="K890" s="5" t="n">
        <x:v>39.9</x:v>
      </x:c>
      <x:c r="L890" s="5" t="n">
        <x:v>2.62</x:v>
      </x:c>
      <x:c r="M890" s="1" t="n">
        <x:v>0</x:v>
      </x:c>
      <x:c r="N890" s="6" t="n">
        <x:v>1.03</x:v>
      </x:c>
      <x:c r="O890" s="1" t="str">
        <x:v>합격</x:v>
      </x:c>
      <x:c r="P890" s="1"/>
      <x:c r="Q890" s="1" t="n">
        <x:v>35</x:v>
      </x:c>
      <x:c r="R890" s="1" t="str">
        <x:v>N</x:v>
      </x:c>
      <x:c r="S890" s="1" t="n">
        <x:v>0</x:v>
      </x:c>
      <x:c r="T890" s="1" t="str">
        <x:v>합격</x:v>
      </x:c>
    </x:row>
    <x:row r="891" ht="22" customHeight="1">
      <x:c r="A891" s="1" t="str">
        <x:v>R00890</x:v>
      </x:c>
      <x:c r="B891" s="4" t="n">
        <x:v>46225.57824074074</x:v>
      </x:c>
      <x:c r="C891" s="1" t="str">
        <x:v>주간</x:v>
      </x:c>
      <x:c r="D891" s="1" t="str">
        <x:v>L2</x:v>
      </x:c>
      <x:c r="E891" s="1" t="str">
        <x:v>P2</x:v>
      </x:c>
      <x:c r="F891" s="1" t="str">
        <x:v>M02</x:v>
      </x:c>
      <x:c r="G891" s="1" t="str">
        <x:v>G02</x:v>
      </x:c>
      <x:c r="H891" s="5" t="n">
        <x:v>28.08</x:v>
      </x:c>
      <x:c r="I891" s="5" t="n">
        <x:v>5.61</x:v>
      </x:c>
      <x:c r="J891" s="5" t="n">
        <x:v>48.7</x:v>
      </x:c>
      <x:c r="K891" s="5" t="n">
        <x:v>39.3</x:v>
      </x:c>
      <x:c r="L891" s="5" t="n">
        <x:v>2.43</x:v>
      </x:c>
      <x:c r="M891" s="1" t="n">
        <x:v>0</x:v>
      </x:c>
      <x:c r="N891" s="6" t="n">
        <x:v>0.92</x:v>
      </x:c>
      <x:c r="O891" s="1" t="str">
        <x:v>불합격</x:v>
      </x:c>
      <x:c r="P891" s="1" t="str">
        <x:v>체결불량</x:v>
      </x:c>
      <x:c r="Q891" s="1" t="n">
        <x:v>40</x:v>
      </x:c>
      <x:c r="R891" s="1" t="str">
        <x:v>Y</x:v>
      </x:c>
      <x:c r="S891" s="1" t="n">
        <x:v>9</x:v>
      </x:c>
      <x:c r="T891" s="1" t="str">
        <x:v>재작업후합격</x:v>
      </x:c>
    </x:row>
    <x:row r="892" ht="22" customHeight="1">
      <x:c r="A892" s="1" t="str">
        <x:v>R00891</x:v>
      </x:c>
      <x:c r="B892" s="4" t="n">
        <x:v>46226.518738425926</x:v>
      </x:c>
      <x:c r="C892" s="1" t="str">
        <x:v>주간</x:v>
      </x:c>
      <x:c r="D892" s="1" t="str">
        <x:v>L1</x:v>
      </x:c>
      <x:c r="E892" s="1" t="str">
        <x:v>P1</x:v>
      </x:c>
      <x:c r="F892" s="1" t="str">
        <x:v>M03</x:v>
      </x:c>
      <x:c r="G892" s="1" t="str">
        <x:v>G03</x:v>
      </x:c>
      <x:c r="H892" s="5" t="n">
        <x:v>30.63</x:v>
      </x:c>
      <x:c r="I892" s="5" t="n">
        <x:v>5.69</x:v>
      </x:c>
      <x:c r="J892" s="5" t="n">
        <x:v>48.8</x:v>
      </x:c>
      <x:c r="K892" s="5" t="n">
        <x:v>37.6</x:v>
      </x:c>
      <x:c r="L892" s="5" t="n">
        <x:v>1.83</x:v>
      </x:c>
      <x:c r="M892" s="1" t="n">
        <x:v>1</x:v>
      </x:c>
      <x:c r="N892" s="6" t="n">
        <x:v>0.925</x:v>
      </x:c>
      <x:c r="O892" s="1" t="str">
        <x:v>합격</x:v>
      </x:c>
      <x:c r="P892" s="1"/>
      <x:c r="Q892" s="1" t="n">
        <x:v>43</x:v>
      </x:c>
      <x:c r="R892" s="1" t="str">
        <x:v>N</x:v>
      </x:c>
      <x:c r="S892" s="1" t="n">
        <x:v>0</x:v>
      </x:c>
      <x:c r="T892" s="1" t="str">
        <x:v>합격</x:v>
      </x:c>
    </x:row>
    <x:row r="893" ht="22" customHeight="1">
      <x:c r="A893" s="1" t="str">
        <x:v>R00892</x:v>
      </x:c>
      <x:c r="B893" s="4" t="n">
        <x:v>46227.33525462963</x:v>
      </x:c>
      <x:c r="C893" s="1" t="str">
        <x:v>주간</x:v>
      </x:c>
      <x:c r="D893" s="1" t="str">
        <x:v>L1</x:v>
      </x:c>
      <x:c r="E893" s="1" t="str">
        <x:v>P1</x:v>
      </x:c>
      <x:c r="F893" s="1" t="str">
        <x:v>M01</x:v>
      </x:c>
      <x:c r="G893" s="1" t="str">
        <x:v>G04</x:v>
      </x:c>
      <x:c r="H893" s="5"/>
      <x:c r="I893" s="5" t="n">
        <x:v>5.99</x:v>
      </x:c>
      <x:c r="J893" s="5" t="n">
        <x:v>54.6</x:v>
      </x:c>
      <x:c r="K893" s="5" t="n">
        <x:v>38.1</x:v>
      </x:c>
      <x:c r="L893" s="5" t="n">
        <x:v>1.33</x:v>
      </x:c>
      <x:c r="M893" s="1" t="n">
        <x:v>1</x:v>
      </x:c>
      <x:c r="N893" s="6" t="n">
        <x:v>0.953</x:v>
      </x:c>
      <x:c r="O893" s="1" t="str">
        <x:v>합격</x:v>
      </x:c>
      <x:c r="P893" s="1"/>
      <x:c r="Q893" s="1" t="n">
        <x:v>48</x:v>
      </x:c>
      <x:c r="R893" s="1" t="str">
        <x:v>N</x:v>
      </x:c>
      <x:c r="S893" s="1" t="n">
        <x:v>0</x:v>
      </x:c>
      <x:c r="T893" s="1" t="str">
        <x:v>합격</x:v>
      </x:c>
    </x:row>
    <x:row r="894" ht="22" customHeight="1">
      <x:c r="A894" s="1" t="str">
        <x:v>R00893</x:v>
      </x:c>
      <x:c r="B894" s="4" t="n">
        <x:v>46228.50451388889</x:v>
      </x:c>
      <x:c r="C894" s="1" t="str">
        <x:v>주간</x:v>
      </x:c>
      <x:c r="D894" s="1" t="str">
        <x:v>L2</x:v>
      </x:c>
      <x:c r="E894" s="1" t="str">
        <x:v>P2</x:v>
      </x:c>
      <x:c r="F894" s="1" t="str">
        <x:v>M02</x:v>
      </x:c>
      <x:c r="G894" s="1" t="str">
        <x:v>G05</x:v>
      </x:c>
      <x:c r="H894" s="5" t="n">
        <x:v>32.24</x:v>
      </x:c>
      <x:c r="I894" s="5" t="n">
        <x:v>5.68</x:v>
      </x:c>
      <x:c r="J894" s="5" t="n">
        <x:v>50.8</x:v>
      </x:c>
      <x:c r="K894" s="5" t="n">
        <x:v>36.6</x:v>
      </x:c>
      <x:c r="L894" s="5" t="n">
        <x:v>2.39</x:v>
      </x:c>
      <x:c r="M894" s="1" t="n">
        <x:v>1</x:v>
      </x:c>
      <x:c r="N894" s="6" t="n">
        <x:v>1.007</x:v>
      </x:c>
      <x:c r="O894" s="1" t="str">
        <x:v>합격</x:v>
      </x:c>
      <x:c r="P894" s="1"/>
      <x:c r="Q894" s="1" t="n">
        <x:v>44</x:v>
      </x:c>
      <x:c r="R894" s="1" t="str">
        <x:v>N</x:v>
      </x:c>
      <x:c r="S894" s="1" t="n">
        <x:v>0</x:v>
      </x:c>
      <x:c r="T894" s="1" t="str">
        <x:v>합격</x:v>
      </x:c>
    </x:row>
    <x:row r="895" ht="22" customHeight="1">
      <x:c r="A895" s="1" t="str">
        <x:v>R00894</x:v>
      </x:c>
      <x:c r="B895" s="4" t="n">
        <x:v>46229.876655092594</x:v>
      </x:c>
      <x:c r="C895" s="1" t="str">
        <x:v>야간</x:v>
      </x:c>
      <x:c r="D895" s="1" t="str">
        <x:v>L1</x:v>
      </x:c>
      <x:c r="E895" s="1" t="str">
        <x:v>P1</x:v>
      </x:c>
      <x:c r="F895" s="1" t="str">
        <x:v>M03</x:v>
      </x:c>
      <x:c r="G895" s="1" t="str">
        <x:v>G06</x:v>
      </x:c>
      <x:c r="H895" s="5" t="n">
        <x:v>29.63</x:v>
      </x:c>
      <x:c r="I895" s="5" t="n">
        <x:v>5.78</x:v>
      </x:c>
      <x:c r="J895" s="5" t="n">
        <x:v>47.7</x:v>
      </x:c>
      <x:c r="K895" s="5" t="n">
        <x:v>40.2</x:v>
      </x:c>
      <x:c r="L895" s="5" t="n">
        <x:v>2.01</x:v>
      </x:c>
      <x:c r="M895" s="1" t="n">
        <x:v>1</x:v>
      </x:c>
      <x:c r="N895" s="6" t="n">
        <x:v>0.918</x:v>
      </x:c>
      <x:c r="O895" s="1" t="str">
        <x:v>불합격</x:v>
      </x:c>
      <x:c r="P895" s="1" t="str">
        <x:v>체결불량</x:v>
      </x:c>
      <x:c r="Q895" s="1" t="n">
        <x:v>38</x:v>
      </x:c>
      <x:c r="R895" s="1" t="str">
        <x:v>Y</x:v>
      </x:c>
      <x:c r="S895" s="1" t="n">
        <x:v>7</x:v>
      </x:c>
      <x:c r="T895" s="1" t="str">
        <x:v>재작업후합격</x:v>
      </x:c>
    </x:row>
    <x:row r="896" ht="22" customHeight="1">
      <x:c r="A896" s="1" t="str">
        <x:v>R00895</x:v>
      </x:c>
      <x:c r="B896" s="4" t="n">
        <x:v>46230.41981481481</x:v>
      </x:c>
      <x:c r="C896" s="1" t="str">
        <x:v>주간</x:v>
      </x:c>
      <x:c r="D896" s="1" t="str">
        <x:v>L1</x:v>
      </x:c>
      <x:c r="E896" s="1" t="str">
        <x:v>P1</x:v>
      </x:c>
      <x:c r="F896" s="1" t="str">
        <x:v>M01</x:v>
      </x:c>
      <x:c r="G896" s="1" t="str">
        <x:v>G01</x:v>
      </x:c>
      <x:c r="H896" s="5" t="n">
        <x:v>31.45</x:v>
      </x:c>
      <x:c r="I896" s="5" t="n">
        <x:v>5.82</x:v>
      </x:c>
      <x:c r="J896" s="5" t="n">
        <x:v>53.1</x:v>
      </x:c>
      <x:c r="K896" s="5" t="n">
        <x:v>38.8</x:v>
      </x:c>
      <x:c r="L896" s="5" t="n">
        <x:v>1.75</x:v>
      </x:c>
      <x:c r="M896" s="1" t="n">
        <x:v>0</x:v>
      </x:c>
      <x:c r="N896" s="6" t="n">
        <x:v>0.864</x:v>
      </x:c>
      <x:c r="O896" s="1" t="str">
        <x:v>합격</x:v>
      </x:c>
      <x:c r="P896" s="1"/>
      <x:c r="Q896" s="1" t="n">
        <x:v>44</x:v>
      </x:c>
      <x:c r="R896" s="1" t="str">
        <x:v>N</x:v>
      </x:c>
      <x:c r="S896" s="1" t="n">
        <x:v>0</x:v>
      </x:c>
      <x:c r="T896" s="1" t="str">
        <x:v>합격</x:v>
      </x:c>
    </x:row>
    <x:row r="897" ht="22" customHeight="1">
      <x:c r="A897" s="1" t="str">
        <x:v>R00896</x:v>
      </x:c>
      <x:c r="B897" s="4" t="n">
        <x:v>46231.90457175926</x:v>
      </x:c>
      <x:c r="C897" s="1" t="str">
        <x:v>야간</x:v>
      </x:c>
      <x:c r="D897" s="1" t="str">
        <x:v>L1</x:v>
      </x:c>
      <x:c r="E897" s="1" t="str">
        <x:v>P1</x:v>
      </x:c>
      <x:c r="F897" s="1" t="str">
        <x:v>M04</x:v>
      </x:c>
      <x:c r="G897" s="1" t="str">
        <x:v>G02</x:v>
      </x:c>
      <x:c r="H897" s="5" t="n">
        <x:v>27.69</x:v>
      </x:c>
      <x:c r="I897" s="5" t="n">
        <x:v>5.8</x:v>
      </x:c>
      <x:c r="J897" s="5" t="n">
        <x:v>56.2</x:v>
      </x:c>
      <x:c r="K897" s="5" t="n">
        <x:v>39.6</x:v>
      </x:c>
      <x:c r="L897" s="5" t="n">
        <x:v>2.22</x:v>
      </x:c>
      <x:c r="M897" s="1" t="n">
        <x:v>1</x:v>
      </x:c>
      <x:c r="N897" s="6" t="n">
        <x:v>1.007</x:v>
      </x:c>
      <x:c r="O897" s="1" t="str">
        <x:v>합격</x:v>
      </x:c>
      <x:c r="P897" s="1"/>
      <x:c r="Q897" s="1" t="n">
        <x:v>36</x:v>
      </x:c>
      <x:c r="R897" s="1" t="str">
        <x:v>N</x:v>
      </x:c>
      <x:c r="S897" s="1" t="n">
        <x:v>0</x:v>
      </x:c>
      <x:c r="T897" s="1" t="str">
        <x:v>합격</x:v>
      </x:c>
    </x:row>
    <x:row r="898" ht="22" customHeight="1">
      <x:c r="A898" s="1" t="str">
        <x:v>R00897</x:v>
      </x:c>
      <x:c r="B898" s="4" t="n">
        <x:v>46232.13259259259</x:v>
      </x:c>
      <x:c r="C898" s="1" t="str">
        <x:v>야간</x:v>
      </x:c>
      <x:c r="D898" s="1" t="str">
        <x:v>L1</x:v>
      </x:c>
      <x:c r="E898" s="1" t="str">
        <x:v>P1</x:v>
      </x:c>
      <x:c r="F898" s="1" t="str">
        <x:v>M03</x:v>
      </x:c>
      <x:c r="G898" s="1" t="str">
        <x:v>G03</x:v>
      </x:c>
      <x:c r="H898" s="5" t="n">
        <x:v>33.97</x:v>
      </x:c>
      <x:c r="I898" s="5" t="n">
        <x:v>5.82</x:v>
      </x:c>
      <x:c r="J898" s="5" t="n">
        <x:v>56.8</x:v>
      </x:c>
      <x:c r="K898" s="5" t="n">
        <x:v>39.1</x:v>
      </x:c>
      <x:c r="L898" s="5" t="n">
        <x:v>2.4</x:v>
      </x:c>
      <x:c r="M898" s="1" t="n">
        <x:v>1</x:v>
      </x:c>
      <x:c r="N898" s="6" t="n">
        <x:v>0.989</x:v>
      </x:c>
      <x:c r="O898" s="1" t="str">
        <x:v>합격</x:v>
      </x:c>
      <x:c r="P898" s="1"/>
      <x:c r="Q898" s="1" t="n">
        <x:v>36</x:v>
      </x:c>
      <x:c r="R898" s="1" t="str">
        <x:v>N</x:v>
      </x:c>
      <x:c r="S898" s="1" t="n">
        <x:v>0</x:v>
      </x:c>
      <x:c r="T898" s="1" t="str">
        <x:v>합격</x:v>
      </x:c>
    </x:row>
    <x:row r="899" ht="22" customHeight="1">
      <x:c r="A899" s="1" t="str">
        <x:v>R00898</x:v>
      </x:c>
      <x:c r="B899" s="4" t="n">
        <x:v>46233.608078703706</x:v>
      </x:c>
      <x:c r="C899" s="1" t="str">
        <x:v>주간</x:v>
      </x:c>
      <x:c r="D899" s="1" t="str">
        <x:v>L2</x:v>
      </x:c>
      <x:c r="E899" s="1" t="str">
        <x:v>P2</x:v>
      </x:c>
      <x:c r="F899" s="1" t="str">
        <x:v>M02</x:v>
      </x:c>
      <x:c r="G899" s="1" t="str">
        <x:v>G04</x:v>
      </x:c>
      <x:c r="H899" s="5" t="n">
        <x:v>29.52</x:v>
      </x:c>
      <x:c r="I899" s="5" t="n">
        <x:v>5.74</x:v>
      </x:c>
      <x:c r="J899" s="5" t="n">
        <x:v>49.1</x:v>
      </x:c>
      <x:c r="K899" s="5" t="n">
        <x:v>38.6</x:v>
      </x:c>
      <x:c r="L899" s="5" t="n">
        <x:v>2.66</x:v>
      </x:c>
      <x:c r="M899" s="1" t="n">
        <x:v>0</x:v>
      </x:c>
      <x:c r="N899" s="6" t="n">
        <x:v>1.027</x:v>
      </x:c>
      <x:c r="O899" s="1" t="str">
        <x:v>합격</x:v>
      </x:c>
      <x:c r="P899" s="1"/>
      <x:c r="Q899" s="1" t="n">
        <x:v>39</x:v>
      </x:c>
      <x:c r="R899" s="1" t="str">
        <x:v>N</x:v>
      </x:c>
      <x:c r="S899" s="1" t="n">
        <x:v>0</x:v>
      </x:c>
      <x:c r="T899" s="1" t="str">
        <x:v>합격</x:v>
      </x:c>
    </x:row>
    <x:row r="900" ht="22" customHeight="1">
      <x:c r="A900" s="1" t="str">
        <x:v>R00899</x:v>
      </x:c>
      <x:c r="B900" s="4" t="n">
        <x:v>46234.416296296295</x:v>
      </x:c>
      <x:c r="C900" s="1" t="str">
        <x:v>주간</x:v>
      </x:c>
      <x:c r="D900" s="1" t="str">
        <x:v>L1</x:v>
      </x:c>
      <x:c r="E900" s="1" t="str">
        <x:v>P1</x:v>
      </x:c>
      <x:c r="F900" s="1" t="str">
        <x:v>M01</x:v>
      </x:c>
      <x:c r="G900" s="1" t="str">
        <x:v>G05</x:v>
      </x:c>
      <x:c r="H900" s="5" t="n">
        <x:v>30.47</x:v>
      </x:c>
      <x:c r="I900" s="5" t="n">
        <x:v>5.69</x:v>
      </x:c>
      <x:c r="J900" s="5" t="n">
        <x:v>47.2</x:v>
      </x:c>
      <x:c r="K900" s="5" t="n">
        <x:v>41.4</x:v>
      </x:c>
      <x:c r="L900" s="5" t="n">
        <x:v>2.39</x:v>
      </x:c>
      <x:c r="M900" s="1" t="n">
        <x:v>1</x:v>
      </x:c>
      <x:c r="N900" s="6" t="n">
        <x:v>1.003</x:v>
      </x:c>
      <x:c r="O900" s="1" t="str">
        <x:v>합격</x:v>
      </x:c>
      <x:c r="P900" s="1"/>
      <x:c r="Q900" s="1" t="n">
        <x:v>49</x:v>
      </x:c>
      <x:c r="R900" s="1" t="str">
        <x:v>N</x:v>
      </x:c>
      <x:c r="S900" s="1" t="n">
        <x:v>0</x:v>
      </x:c>
      <x:c r="T900" s="1" t="str">
        <x:v>합격</x:v>
      </x:c>
    </x:row>
    <x:row r="901" ht="22" customHeight="1">
      <x:c r="A901" s="1" t="str">
        <x:v>R00900</x:v>
      </x:c>
      <x:c r="B901" s="4" t="n">
        <x:v>46204.445289351854</x:v>
      </x:c>
      <x:c r="C901" s="1" t="str">
        <x:v>주간</x:v>
      </x:c>
      <x:c r="D901" s="1" t="str">
        <x:v>L2</x:v>
      </x:c>
      <x:c r="E901" s="1" t="str">
        <x:v>P2</x:v>
      </x:c>
      <x:c r="F901" s="1" t="str">
        <x:v>M02</x:v>
      </x:c>
      <x:c r="G901" s="1" t="str">
        <x:v>G06</x:v>
      </x:c>
      <x:c r="H901" s="5" t="n">
        <x:v>32.22</x:v>
      </x:c>
      <x:c r="I901" s="5" t="n">
        <x:v>5.72</x:v>
      </x:c>
      <x:c r="J901" s="5" t="n">
        <x:v>57.1</x:v>
      </x:c>
      <x:c r="K901" s="5" t="n">
        <x:v>36.4</x:v>
      </x:c>
      <x:c r="L901" s="5" t="n">
        <x:v>1.43</x:v>
      </x:c>
      <x:c r="M901" s="1" t="n">
        <x:v>1</x:v>
      </x:c>
      <x:c r="N901" s="6" t="n">
        <x:v>0.931</x:v>
      </x:c>
      <x:c r="O901" s="1" t="str">
        <x:v>합격</x:v>
      </x:c>
      <x:c r="P901" s="1"/>
      <x:c r="Q901" s="1" t="n">
        <x:v>37</x:v>
      </x:c>
      <x:c r="R901" s="1" t="str">
        <x:v>N</x:v>
      </x:c>
      <x:c r="S901" s="1" t="n">
        <x:v>0</x:v>
      </x:c>
      <x:c r="T901" s="1" t="str">
        <x:v>합격</x:v>
      </x:c>
    </x:row>
    <x:row r="902" ht="22" customHeight="1">
      <x:c r="A902" s="1" t="str">
        <x:v>R00901</x:v>
      </x:c>
      <x:c r="B902" s="4" t="n">
        <x:v>46205.92828703704</x:v>
      </x:c>
      <x:c r="C902" s="1" t="str">
        <x:v>야간</x:v>
      </x:c>
      <x:c r="D902" s="1" t="str">
        <x:v>L1</x:v>
      </x:c>
      <x:c r="E902" s="1" t="str">
        <x:v>P1</x:v>
      </x:c>
      <x:c r="F902" s="1" t="str">
        <x:v>M04</x:v>
      </x:c>
      <x:c r="G902" s="1" t="str">
        <x:v>G01</x:v>
      </x:c>
      <x:c r="H902" s="5" t="n">
        <x:v>27.88</x:v>
      </x:c>
      <x:c r="I902" s="5" t="n">
        <x:v>5.76</x:v>
      </x:c>
      <x:c r="J902" s="5" t="n">
        <x:v>48.6</x:v>
      </x:c>
      <x:c r="K902" s="5" t="n">
        <x:v>36.1</x:v>
      </x:c>
      <x:c r="L902" s="5" t="n">
        <x:v>2.65</x:v>
      </x:c>
      <x:c r="M902" s="1" t="n">
        <x:v>0</x:v>
      </x:c>
      <x:c r="N902" s="6" t="n">
        <x:v>0.988</x:v>
      </x:c>
      <x:c r="O902" s="1" t="str">
        <x:v>합격</x:v>
      </x:c>
      <x:c r="P902" s="1"/>
      <x:c r="Q902" s="1" t="n">
        <x:v>43</x:v>
      </x:c>
      <x:c r="R902" s="1" t="str">
        <x:v>N</x:v>
      </x:c>
      <x:c r="S902" s="1" t="n">
        <x:v>0</x:v>
      </x:c>
      <x:c r="T902" s="1" t="str">
        <x:v>합격</x:v>
      </x:c>
    </x:row>
    <x:row r="903" ht="22" customHeight="1">
      <x:c r="A903" s="1" t="str">
        <x:v>R00902</x:v>
      </x:c>
      <x:c r="B903" s="4" t="n">
        <x:v>46206.524560185186</x:v>
      </x:c>
      <x:c r="C903" s="1" t="str">
        <x:v>주간</x:v>
      </x:c>
      <x:c r="D903" s="1" t="str">
        <x:v>L1</x:v>
      </x:c>
      <x:c r="E903" s="1" t="str">
        <x:v>P1</x:v>
      </x:c>
      <x:c r="F903" s="1" t="str">
        <x:v>M03</x:v>
      </x:c>
      <x:c r="G903" s="1" t="str">
        <x:v>G02</x:v>
      </x:c>
      <x:c r="H903" s="5" t="n">
        <x:v>31.93</x:v>
      </x:c>
      <x:c r="I903" s="5" t="n">
        <x:v>5.93</x:v>
      </x:c>
      <x:c r="J903" s="5" t="n">
        <x:v>48.3</x:v>
      </x:c>
      <x:c r="K903" s="5" t="n">
        <x:v>38.1</x:v>
      </x:c>
      <x:c r="L903" s="5" t="n">
        <x:v>1.47</x:v>
      </x:c>
      <x:c r="M903" s="1" t="n">
        <x:v>1</x:v>
      </x:c>
      <x:c r="N903" s="6" t="n">
        <x:v>0.992</x:v>
      </x:c>
      <x:c r="O903" s="1" t="str">
        <x:v>합격</x:v>
      </x:c>
      <x:c r="P903" s="1"/>
      <x:c r="Q903" s="1" t="n">
        <x:v>41</x:v>
      </x:c>
      <x:c r="R903" s="1" t="str">
        <x:v>N</x:v>
      </x:c>
      <x:c r="S903" s="1" t="n">
        <x:v>0</x:v>
      </x:c>
      <x:c r="T903" s="1" t="str">
        <x:v>합격</x:v>
      </x:c>
    </x:row>
    <x:row r="904" ht="22" customHeight="1">
      <x:c r="A904" s="1" t="str">
        <x:v>R00903</x:v>
      </x:c>
      <x:c r="B904" s="4" t="n">
        <x:v>46207.890856481485</x:v>
      </x:c>
      <x:c r="C904" s="1" t="str">
        <x:v>야간</x:v>
      </x:c>
      <x:c r="D904" s="1" t="str">
        <x:v>L1</x:v>
      </x:c>
      <x:c r="E904" s="1" t="str">
        <x:v>P1</x:v>
      </x:c>
      <x:c r="F904" s="1" t="str">
        <x:v>M03</x:v>
      </x:c>
      <x:c r="G904" s="1" t="str">
        <x:v>G03</x:v>
      </x:c>
      <x:c r="H904" s="5" t="n">
        <x:v>29.84</x:v>
      </x:c>
      <x:c r="I904" s="5" t="n">
        <x:v>5.66</x:v>
      </x:c>
      <x:c r="J904" s="5" t="n">
        <x:v>55.7</x:v>
      </x:c>
      <x:c r="K904" s="5" t="n">
        <x:v>38.8</x:v>
      </x:c>
      <x:c r="L904" s="5" t="n">
        <x:v>2.03</x:v>
      </x:c>
      <x:c r="M904" s="1" t="n">
        <x:v>1</x:v>
      </x:c>
      <x:c r="N904" s="6" t="n">
        <x:v>1.025</x:v>
      </x:c>
      <x:c r="O904" s="1" t="str">
        <x:v>불합격</x:v>
      </x:c>
      <x:c r="P904" s="1" t="str">
        <x:v>외관불량</x:v>
      </x:c>
      <x:c r="Q904" s="1" t="n">
        <x:v>41</x:v>
      </x:c>
      <x:c r="R904" s="1" t="str">
        <x:v>Y</x:v>
      </x:c>
      <x:c r="S904" s="1" t="n">
        <x:v>7</x:v>
      </x:c>
      <x:c r="T904" s="1" t="str">
        <x:v>재작업후합격</x:v>
      </x:c>
    </x:row>
    <x:row r="905" ht="22" customHeight="1">
      <x:c r="A905" s="1" t="str">
        <x:v>R00904</x:v>
      </x:c>
      <x:c r="B905" s="4" t="n">
        <x:v>46208.64871527778</x:v>
      </x:c>
      <x:c r="C905" s="1" t="str">
        <x:v>주간</x:v>
      </x:c>
      <x:c r="D905" s="1" t="str">
        <x:v>L1</x:v>
      </x:c>
      <x:c r="E905" s="1" t="str">
        <x:v>P1</x:v>
      </x:c>
      <x:c r="F905" s="1" t="str">
        <x:v>M03</x:v>
      </x:c>
      <x:c r="G905" s="1" t="str">
        <x:v>G04</x:v>
      </x:c>
      <x:c r="H905" s="5" t="n">
        <x:v>27.39</x:v>
      </x:c>
      <x:c r="I905" s="5" t="n">
        <x:v>5.93</x:v>
      </x:c>
      <x:c r="J905" s="5" t="n">
        <x:v>58.2</x:v>
      </x:c>
      <x:c r="K905" s="5" t="n">
        <x:v>37.6</x:v>
      </x:c>
      <x:c r="L905" s="5" t="n">
        <x:v>2.68</x:v>
      </x:c>
      <x:c r="M905" s="1" t="n">
        <x:v>1</x:v>
      </x:c>
      <x:c r="N905" s="6" t="n">
        <x:v>0.97</x:v>
      </x:c>
      <x:c r="O905" s="1" t="str">
        <x:v>합격</x:v>
      </x:c>
      <x:c r="P905" s="1"/>
      <x:c r="Q905" s="1" t="n">
        <x:v>44</x:v>
      </x:c>
      <x:c r="R905" s="1" t="str">
        <x:v>N</x:v>
      </x:c>
      <x:c r="S905" s="1" t="n">
        <x:v>0</x:v>
      </x:c>
      <x:c r="T905" s="1" t="str">
        <x:v>합격</x:v>
      </x:c>
    </x:row>
    <x:row r="906" ht="22" customHeight="1">
      <x:c r="A906" s="1" t="str">
        <x:v>R00905</x:v>
      </x:c>
      <x:c r="B906" s="4" t="n">
        <x:v>46209.12758101852</x:v>
      </x:c>
      <x:c r="C906" s="1" t="str">
        <x:v>야간</x:v>
      </x:c>
      <x:c r="D906" s="1" t="str">
        <x:v>L1</x:v>
      </x:c>
      <x:c r="E906" s="1" t="str">
        <x:v>P1</x:v>
      </x:c>
      <x:c r="F906" s="1" t="str">
        <x:v>M04</x:v>
      </x:c>
      <x:c r="G906" s="1" t="str">
        <x:v>G05</x:v>
      </x:c>
      <x:c r="H906" s="5" t="n">
        <x:v>28.82</x:v>
      </x:c>
      <x:c r="I906" s="5" t="n">
        <x:v>5.62</x:v>
      </x:c>
      <x:c r="J906" s="5" t="n">
        <x:v>58.7</x:v>
      </x:c>
      <x:c r="K906" s="5" t="n">
        <x:v>38.9</x:v>
      </x:c>
      <x:c r="L906" s="5" t="n">
        <x:v>1.92</x:v>
      </x:c>
      <x:c r="M906" s="1" t="n">
        <x:v>0</x:v>
      </x:c>
      <x:c r="N906" s="6" t="n">
        <x:v>0.918</x:v>
      </x:c>
      <x:c r="O906" s="1" t="str">
        <x:v>합격</x:v>
      </x:c>
      <x:c r="P906" s="1"/>
      <x:c r="Q906" s="1" t="n">
        <x:v>42</x:v>
      </x:c>
      <x:c r="R906" s="1" t="str">
        <x:v>N</x:v>
      </x:c>
      <x:c r="S906" s="1" t="n">
        <x:v>0</x:v>
      </x:c>
      <x:c r="T906" s="1" t="str">
        <x:v>합격</x:v>
      </x:c>
    </x:row>
    <x:row r="907" ht="22" customHeight="1">
      <x:c r="A907" s="1" t="str">
        <x:v>R00906</x:v>
      </x:c>
      <x:c r="B907" s="4" t="n">
        <x:v>46210.57016203704</x:v>
      </x:c>
      <x:c r="C907" s="1" t="str">
        <x:v>주간</x:v>
      </x:c>
      <x:c r="D907" s="1" t="str">
        <x:v>L1</x:v>
      </x:c>
      <x:c r="E907" s="1" t="str">
        <x:v>P1</x:v>
      </x:c>
      <x:c r="F907" s="1" t="str">
        <x:v>M01</x:v>
      </x:c>
      <x:c r="G907" s="1" t="str">
        <x:v>G06</x:v>
      </x:c>
      <x:c r="H907" s="5" t="n">
        <x:v>27.64</x:v>
      </x:c>
      <x:c r="I907" s="5" t="n">
        <x:v>5.93</x:v>
      </x:c>
      <x:c r="J907" s="5" t="n">
        <x:v>52.4</x:v>
      </x:c>
      <x:c r="K907" s="5" t="n">
        <x:v>38.3</x:v>
      </x:c>
      <x:c r="L907" s="5" t="n">
        <x:v>1.47</x:v>
      </x:c>
      <x:c r="M907" s="1" t="n">
        <x:v>0</x:v>
      </x:c>
      <x:c r="N907" s="6" t="n">
        <x:v>0.859</x:v>
      </x:c>
      <x:c r="O907" s="1" t="str">
        <x:v>합격</x:v>
      </x:c>
      <x:c r="P907" s="1"/>
      <x:c r="Q907" s="1" t="n">
        <x:v>48</x:v>
      </x:c>
      <x:c r="R907" s="1" t="str">
        <x:v>N</x:v>
      </x:c>
      <x:c r="S907" s="1" t="n">
        <x:v>0</x:v>
      </x:c>
      <x:c r="T907" s="1" t="str">
        <x:v>합격</x:v>
      </x:c>
    </x:row>
    <x:row r="908" ht="22" customHeight="1">
      <x:c r="A908" s="1" t="str">
        <x:v>R00907</x:v>
      </x:c>
      <x:c r="B908" s="4" t="n">
        <x:v>46211.655810185184</x:v>
      </x:c>
      <x:c r="C908" s="1" t="str">
        <x:v>주간</x:v>
      </x:c>
      <x:c r="D908" s="1" t="str">
        <x:v>L2</x:v>
      </x:c>
      <x:c r="E908" s="1" t="str">
        <x:v>P2</x:v>
      </x:c>
      <x:c r="F908" s="1" t="str">
        <x:v>M02</x:v>
      </x:c>
      <x:c r="G908" s="1" t="str">
        <x:v>G01</x:v>
      </x:c>
      <x:c r="H908" s="5" t="n">
        <x:v>30.37</x:v>
      </x:c>
      <x:c r="I908" s="5" t="n">
        <x:v>5.88</x:v>
      </x:c>
      <x:c r="J908" s="5" t="n">
        <x:v>57.5</x:v>
      </x:c>
      <x:c r="K908" s="5" t="n">
        <x:v>36.7</x:v>
      </x:c>
      <x:c r="L908" s="5" t="n">
        <x:v>1.87</x:v>
      </x:c>
      <x:c r="M908" s="1" t="n">
        <x:v>1</x:v>
      </x:c>
      <x:c r="N908" s="6" t="n">
        <x:v>1.034</x:v>
      </x:c>
      <x:c r="O908" s="1" t="str">
        <x:v>합격</x:v>
      </x:c>
      <x:c r="P908" s="1"/>
      <x:c r="Q908" s="1" t="n">
        <x:v>35</x:v>
      </x:c>
      <x:c r="R908" s="1" t="str">
        <x:v>N</x:v>
      </x:c>
      <x:c r="S908" s="1" t="n">
        <x:v>0</x:v>
      </x:c>
      <x:c r="T908" s="1" t="str">
        <x:v>합격</x:v>
      </x:c>
    </x:row>
    <x:row r="909" ht="22" customHeight="1">
      <x:c r="A909" s="1" t="str">
        <x:v>R00908</x:v>
      </x:c>
      <x:c r="B909" s="4" t="n">
        <x:v>46212.037303240744</x:v>
      </x:c>
      <x:c r="C909" s="1" t="str">
        <x:v>야간</x:v>
      </x:c>
      <x:c r="D909" s="1" t="str">
        <x:v>L1</x:v>
      </x:c>
      <x:c r="E909" s="1" t="str">
        <x:v>P1</x:v>
      </x:c>
      <x:c r="F909" s="1" t="str">
        <x:v>M04</x:v>
      </x:c>
      <x:c r="G909" s="1" t="str">
        <x:v>G02</x:v>
      </x:c>
      <x:c r="H909" s="5" t="n">
        <x:v>31.12</x:v>
      </x:c>
      <x:c r="I909" s="5" t="n">
        <x:v>5.96</x:v>
      </x:c>
      <x:c r="J909" s="5" t="n">
        <x:v>57.6</x:v>
      </x:c>
      <x:c r="K909" s="5" t="n">
        <x:v>36.3</x:v>
      </x:c>
      <x:c r="L909" s="5" t="n">
        <x:v>2.38</x:v>
      </x:c>
      <x:c r="M909" s="1" t="n">
        <x:v>1</x:v>
      </x:c>
      <x:c r="N909" s="6" t="n">
        <x:v>0.904</x:v>
      </x:c>
      <x:c r="O909" s="1" t="str">
        <x:v>합격</x:v>
      </x:c>
      <x:c r="P909" s="1"/>
      <x:c r="Q909" s="1" t="n">
        <x:v>46</x:v>
      </x:c>
      <x:c r="R909" s="1" t="str">
        <x:v>N</x:v>
      </x:c>
      <x:c r="S909" s="1" t="n">
        <x:v>0</x:v>
      </x:c>
      <x:c r="T909" s="1" t="str">
        <x:v>합격</x:v>
      </x:c>
    </x:row>
    <x:row r="910" ht="22" customHeight="1">
      <x:c r="A910" s="1" t="str">
        <x:v>R00909</x:v>
      </x:c>
      <x:c r="B910" s="4" t="n">
        <x:v>46213.04880787037</x:v>
      </x:c>
      <x:c r="C910" s="1" t="str">
        <x:v>야간</x:v>
      </x:c>
      <x:c r="D910" s="1" t="str">
        <x:v>L1</x:v>
      </x:c>
      <x:c r="E910" s="1" t="str">
        <x:v>P1</x:v>
      </x:c>
      <x:c r="F910" s="1" t="str">
        <x:v>M04</x:v>
      </x:c>
      <x:c r="G910" s="1" t="str">
        <x:v>G03</x:v>
      </x:c>
      <x:c r="H910" s="5" t="n">
        <x:v>29.2</x:v>
      </x:c>
      <x:c r="I910" s="5" t="n">
        <x:v>5.6</x:v>
      </x:c>
      <x:c r="J910" s="5" t="n">
        <x:v>55.3</x:v>
      </x:c>
      <x:c r="K910" s="5" t="n">
        <x:v>38.8</x:v>
      </x:c>
      <x:c r="L910" s="5" t="n">
        <x:v>1.73</x:v>
      </x:c>
      <x:c r="M910" s="1" t="n">
        <x:v>0</x:v>
      </x:c>
      <x:c r="N910" s="6" t="n">
        <x:v>0.938</x:v>
      </x:c>
      <x:c r="O910" s="1" t="str">
        <x:v>합격</x:v>
      </x:c>
      <x:c r="P910" s="1"/>
      <x:c r="Q910" s="1" t="n">
        <x:v>38</x:v>
      </x:c>
      <x:c r="R910" s="1" t="str">
        <x:v>N</x:v>
      </x:c>
      <x:c r="S910" s="1" t="n">
        <x:v>0</x:v>
      </x:c>
      <x:c r="T910" s="1" t="str">
        <x:v>합격</x:v>
      </x:c>
    </x:row>
    <x:row r="911" ht="22" customHeight="1">
      <x:c r="A911" s="1" t="str">
        <x:v>R00910</x:v>
      </x:c>
      <x:c r="B911" s="4" t="n">
        <x:v>46214.42927083333</x:v>
      </x:c>
      <x:c r="C911" s="1" t="str">
        <x:v>주간</x:v>
      </x:c>
      <x:c r="D911" s="1" t="str">
        <x:v>L2</x:v>
      </x:c>
      <x:c r="E911" s="1" t="str">
        <x:v>P2</x:v>
      </x:c>
      <x:c r="F911" s="1" t="str">
        <x:v>M02</x:v>
      </x:c>
      <x:c r="G911" s="1" t="str">
        <x:v>G04</x:v>
      </x:c>
      <x:c r="H911" s="5" t="n">
        <x:v>29</x:v>
      </x:c>
      <x:c r="I911" s="5" t="n">
        <x:v>5.96</x:v>
      </x:c>
      <x:c r="J911" s="5" t="n">
        <x:v>54.3</x:v>
      </x:c>
      <x:c r="K911" s="5" t="n">
        <x:v>41.7</x:v>
      </x:c>
      <x:c r="L911" s="5" t="n">
        <x:v>1.41</x:v>
      </x:c>
      <x:c r="M911" s="1" t="n">
        <x:v>1</x:v>
      </x:c>
      <x:c r="N911" s="6" t="n">
        <x:v>1.012</x:v>
      </x:c>
      <x:c r="O911" s="1" t="str">
        <x:v>합격</x:v>
      </x:c>
      <x:c r="P911" s="1"/>
      <x:c r="Q911" s="1" t="n">
        <x:v>47</x:v>
      </x:c>
      <x:c r="R911" s="1" t="str">
        <x:v>N</x:v>
      </x:c>
      <x:c r="S911" s="1" t="n">
        <x:v>0</x:v>
      </x:c>
      <x:c r="T911" s="1" t="str">
        <x:v>합격</x:v>
      </x:c>
    </x:row>
    <x:row r="912" ht="22" customHeight="1">
      <x:c r="A912" s="1" t="str">
        <x:v>R00911</x:v>
      </x:c>
      <x:c r="B912" s="4" t="n">
        <x:v>46215.84743055556</x:v>
      </x:c>
      <x:c r="C912" s="1" t="str">
        <x:v>야간</x:v>
      </x:c>
      <x:c r="D912" s="1" t="str">
        <x:v>L1</x:v>
      </x:c>
      <x:c r="E912" s="1" t="str">
        <x:v>P1</x:v>
      </x:c>
      <x:c r="F912" s="1" t="str">
        <x:v>M04</x:v>
      </x:c>
      <x:c r="G912" s="1" t="str">
        <x:v>G05</x:v>
      </x:c>
      <x:c r="H912" s="5" t="n">
        <x:v>31.58</x:v>
      </x:c>
      <x:c r="I912" s="5" t="n">
        <x:v>5.89</x:v>
      </x:c>
      <x:c r="J912" s="5" t="n">
        <x:v>50.5</x:v>
      </x:c>
      <x:c r="K912" s="5" t="n">
        <x:v>39.7</x:v>
      </x:c>
      <x:c r="L912" s="5" t="n">
        <x:v>1.85</x:v>
      </x:c>
      <x:c r="M912" s="1" t="n">
        <x:v>1</x:v>
      </x:c>
      <x:c r="N912" s="6" t="n">
        <x:v>1.008</x:v>
      </x:c>
      <x:c r="O912" s="1" t="str">
        <x:v>합격</x:v>
      </x:c>
      <x:c r="P912" s="1"/>
      <x:c r="Q912" s="1" t="n">
        <x:v>42</x:v>
      </x:c>
      <x:c r="R912" s="1" t="str">
        <x:v>N</x:v>
      </x:c>
      <x:c r="S912" s="1" t="n">
        <x:v>0</x:v>
      </x:c>
      <x:c r="T912" s="1" t="str">
        <x:v>합격</x:v>
      </x:c>
    </x:row>
    <x:row r="913" ht="22" customHeight="1">
      <x:c r="A913" s="1" t="str">
        <x:v>R00912</x:v>
      </x:c>
      <x:c r="B913" s="4" t="n">
        <x:v>46216.65672453704</x:v>
      </x:c>
      <x:c r="C913" s="1" t="str">
        <x:v>주간</x:v>
      </x:c>
      <x:c r="D913" s="1" t="str">
        <x:v>L1</x:v>
      </x:c>
      <x:c r="E913" s="1" t="str">
        <x:v>P1</x:v>
      </x:c>
      <x:c r="F913" s="1" t="str">
        <x:v>M01</x:v>
      </x:c>
      <x:c r="G913" s="1" t="str">
        <x:v>G06</x:v>
      </x:c>
      <x:c r="H913" s="5" t="n">
        <x:v>29.16</x:v>
      </x:c>
      <x:c r="I913" s="5" t="n">
        <x:v>5.94</x:v>
      </x:c>
      <x:c r="J913" s="5" t="n">
        <x:v>57</x:v>
      </x:c>
      <x:c r="K913" s="5" t="n">
        <x:v>37.4</x:v>
      </x:c>
      <x:c r="L913" s="5" t="n">
        <x:v>2.01</x:v>
      </x:c>
      <x:c r="M913" s="1" t="n">
        <x:v>0</x:v>
      </x:c>
      <x:c r="N913" s="6" t="n">
        <x:v>0.88</x:v>
      </x:c>
      <x:c r="O913" s="1" t="str">
        <x:v>합격</x:v>
      </x:c>
      <x:c r="P913" s="1"/>
      <x:c r="Q913" s="1" t="n">
        <x:v>45</x:v>
      </x:c>
      <x:c r="R913" s="1" t="str">
        <x:v>N</x:v>
      </x:c>
      <x:c r="S913" s="1" t="n">
        <x:v>0</x:v>
      </x:c>
      <x:c r="T913" s="1" t="str">
        <x:v>합격</x:v>
      </x:c>
    </x:row>
    <x:row r="914" ht="22" customHeight="1">
      <x:c r="A914" s="1" t="str">
        <x:v>R00913</x:v>
      </x:c>
      <x:c r="B914" s="4" t="n">
        <x:v>46217.64832175926</x:v>
      </x:c>
      <x:c r="C914" s="1" t="str">
        <x:v>주간</x:v>
      </x:c>
      <x:c r="D914" s="1" t="str">
        <x:v>L1</x:v>
      </x:c>
      <x:c r="E914" s="1" t="str">
        <x:v>P1</x:v>
      </x:c>
      <x:c r="F914" s="1" t="str">
        <x:v>M03</x:v>
      </x:c>
      <x:c r="G914" s="1" t="str">
        <x:v>G01</x:v>
      </x:c>
      <x:c r="H914" s="5" t="n">
        <x:v>32.66</x:v>
      </x:c>
      <x:c r="I914" s="5" t="n">
        <x:v>5.97</x:v>
      </x:c>
      <x:c r="J914" s="5" t="n">
        <x:v>58.1</x:v>
      </x:c>
      <x:c r="K914" s="5" t="n">
        <x:v>40</x:v>
      </x:c>
      <x:c r="L914" s="5" t="n">
        <x:v>2.53</x:v>
      </x:c>
      <x:c r="M914" s="1" t="n">
        <x:v>1</x:v>
      </x:c>
      <x:c r="N914" s="6" t="n">
        <x:v>0.961</x:v>
      </x:c>
      <x:c r="O914" s="1" t="str">
        <x:v>합격</x:v>
      </x:c>
      <x:c r="P914" s="1"/>
      <x:c r="Q914" s="1" t="n">
        <x:v>39</x:v>
      </x:c>
      <x:c r="R914" s="1" t="str">
        <x:v>N</x:v>
      </x:c>
      <x:c r="S914" s="1" t="n">
        <x:v>0</x:v>
      </x:c>
      <x:c r="T914" s="1" t="str">
        <x:v>합격</x:v>
      </x:c>
    </x:row>
    <x:row r="915" ht="22" customHeight="1">
      <x:c r="A915" s="1" t="str">
        <x:v>R00914</x:v>
      </x:c>
      <x:c r="B915" s="4" t="n">
        <x:v>46218.880057870374</x:v>
      </x:c>
      <x:c r="C915" s="1" t="str">
        <x:v>야간</x:v>
      </x:c>
      <x:c r="D915" s="1" t="str">
        <x:v>L2</x:v>
      </x:c>
      <x:c r="E915" s="1" t="str">
        <x:v>P2</x:v>
      </x:c>
      <x:c r="F915" s="1" t="str">
        <x:v>M01</x:v>
      </x:c>
      <x:c r="G915" s="1" t="str">
        <x:v>G02</x:v>
      </x:c>
      <x:c r="H915" s="5" t="n">
        <x:v>28.61</x:v>
      </x:c>
      <x:c r="I915" s="5" t="n">
        <x:v>5.72</x:v>
      </x:c>
      <x:c r="J915" s="5" t="n">
        <x:v>55.4</x:v>
      </x:c>
      <x:c r="K915" s="5" t="n">
        <x:v>41.1</x:v>
      </x:c>
      <x:c r="L915" s="5" t="n">
        <x:v>2.44</x:v>
      </x:c>
      <x:c r="M915" s="1" t="n">
        <x:v>0</x:v>
      </x:c>
      <x:c r="N915" s="6" t="n">
        <x:v>0.892</x:v>
      </x:c>
      <x:c r="O915" s="1" t="str">
        <x:v>합격</x:v>
      </x:c>
      <x:c r="P915" s="1"/>
      <x:c r="Q915" s="1" t="n">
        <x:v>37</x:v>
      </x:c>
      <x:c r="R915" s="1" t="str">
        <x:v>N</x:v>
      </x:c>
      <x:c r="S915" s="1" t="n">
        <x:v>0</x:v>
      </x:c>
      <x:c r="T915" s="1" t="str">
        <x:v>합격</x:v>
      </x:c>
    </x:row>
    <x:row r="916" ht="22" customHeight="1">
      <x:c r="A916" s="1" t="str">
        <x:v>R00915</x:v>
      </x:c>
      <x:c r="B916" s="4" t="n">
        <x:v>46219.03650462963</x:v>
      </x:c>
      <x:c r="C916" s="1" t="str">
        <x:v>야간</x:v>
      </x:c>
      <x:c r="D916" s="1" t="str">
        <x:v>L2</x:v>
      </x:c>
      <x:c r="E916" s="1" t="str">
        <x:v>P2</x:v>
      </x:c>
      <x:c r="F916" s="1" t="str">
        <x:v>M02</x:v>
      </x:c>
      <x:c r="G916" s="1" t="str">
        <x:v>G03</x:v>
      </x:c>
      <x:c r="H916" s="5" t="n">
        <x:v>28.79</x:v>
      </x:c>
      <x:c r="I916" s="5" t="n">
        <x:v>5.61</x:v>
      </x:c>
      <x:c r="J916" s="5" t="n">
        <x:v>51.7</x:v>
      </x:c>
      <x:c r="K916" s="5" t="n">
        <x:v>40.6</x:v>
      </x:c>
      <x:c r="L916" s="5" t="n">
        <x:v>2.02</x:v>
      </x:c>
      <x:c r="M916" s="1" t="n">
        <x:v>0</x:v>
      </x:c>
      <x:c r="N916" s="6" t="n">
        <x:v>0.974</x:v>
      </x:c>
      <x:c r="O916" s="1" t="str">
        <x:v>합격</x:v>
      </x:c>
      <x:c r="P916" s="1"/>
      <x:c r="Q916" s="1" t="n">
        <x:v>48</x:v>
      </x:c>
      <x:c r="R916" s="1" t="str">
        <x:v>N</x:v>
      </x:c>
      <x:c r="S916" s="1" t="n">
        <x:v>0</x:v>
      </x:c>
      <x:c r="T916" s="1" t="str">
        <x:v>합격</x:v>
      </x:c>
    </x:row>
    <x:row r="917" ht="22" customHeight="1">
      <x:c r="A917" s="1" t="str">
        <x:v>R00916</x:v>
      </x:c>
      <x:c r="B917" s="4" t="n">
        <x:v>46220.96109953704</x:v>
      </x:c>
      <x:c r="C917" s="1" t="str">
        <x:v>야간</x:v>
      </x:c>
      <x:c r="D917" s="1" t="str">
        <x:v>L2</x:v>
      </x:c>
      <x:c r="E917" s="1" t="str">
        <x:v>P2</x:v>
      </x:c>
      <x:c r="F917" s="1" t="str">
        <x:v>M01</x:v>
      </x:c>
      <x:c r="G917" s="1" t="str">
        <x:v>G04</x:v>
      </x:c>
      <x:c r="H917" s="5" t="n">
        <x:v>29.6</x:v>
      </x:c>
      <x:c r="I917" s="5" t="n">
        <x:v>5.96</x:v>
      </x:c>
      <x:c r="J917" s="5" t="n">
        <x:v>55.1</x:v>
      </x:c>
      <x:c r="K917" s="5" t="n">
        <x:v>35.3</x:v>
      </x:c>
      <x:c r="L917" s="5" t="n">
        <x:v>2.1</x:v>
      </x:c>
      <x:c r="M917" s="1" t="n">
        <x:v>0</x:v>
      </x:c>
      <x:c r="N917" s="6" t="n">
        <x:v>0.893</x:v>
      </x:c>
      <x:c r="O917" s="1" t="str">
        <x:v>합격</x:v>
      </x:c>
      <x:c r="P917" s="1"/>
      <x:c r="Q917" s="1" t="n">
        <x:v>44</x:v>
      </x:c>
      <x:c r="R917" s="1" t="str">
        <x:v>N</x:v>
      </x:c>
      <x:c r="S917" s="1" t="n">
        <x:v>0</x:v>
      </x:c>
      <x:c r="T917" s="1" t="str">
        <x:v>합격</x:v>
      </x:c>
    </x:row>
    <x:row r="918" ht="22" customHeight="1">
      <x:c r="A918" s="1" t="str">
        <x:v>R00917</x:v>
      </x:c>
      <x:c r="B918" s="4" t="n">
        <x:v>46221.391597222224</x:v>
      </x:c>
      <x:c r="C918" s="1" t="str">
        <x:v>주간</x:v>
      </x:c>
      <x:c r="D918" s="1" t="str">
        <x:v>L1</x:v>
      </x:c>
      <x:c r="E918" s="1" t="str">
        <x:v>P1</x:v>
      </x:c>
      <x:c r="F918" s="1" t="str">
        <x:v>M03</x:v>
      </x:c>
      <x:c r="G918" s="1" t="str">
        <x:v>G05</x:v>
      </x:c>
      <x:c r="H918" s="5" t="n">
        <x:v>27.28</x:v>
      </x:c>
      <x:c r="I918" s="5" t="n">
        <x:v>5.71</x:v>
      </x:c>
      <x:c r="J918" s="5" t="n">
        <x:v>52.8</x:v>
      </x:c>
      <x:c r="K918" s="5" t="n">
        <x:v>36.9</x:v>
      </x:c>
      <x:c r="L918" s="5" t="n">
        <x:v>1.64</x:v>
      </x:c>
      <x:c r="M918" s="1" t="n">
        <x:v>1</x:v>
      </x:c>
      <x:c r="N918" s="6" t="n">
        <x:v>0.881</x:v>
      </x:c>
      <x:c r="O918" s="1" t="str">
        <x:v>합격</x:v>
      </x:c>
      <x:c r="P918" s="1"/>
      <x:c r="Q918" s="1" t="n">
        <x:v>40</x:v>
      </x:c>
      <x:c r="R918" s="1" t="str">
        <x:v>N</x:v>
      </x:c>
      <x:c r="S918" s="1" t="n">
        <x:v>0</x:v>
      </x:c>
      <x:c r="T918" s="1" t="str">
        <x:v>합격</x:v>
      </x:c>
    </x:row>
    <x:row r="919" ht="22" customHeight="1">
      <x:c r="A919" s="1" t="str">
        <x:v>R00918</x:v>
      </x:c>
      <x:c r="B919" s="4" t="n">
        <x:v>46222.346030092594</x:v>
      </x:c>
      <x:c r="C919" s="1" t="str">
        <x:v>주간</x:v>
      </x:c>
      <x:c r="D919" s="1" t="str">
        <x:v>L2</x:v>
      </x:c>
      <x:c r="E919" s="1" t="str">
        <x:v>P2</x:v>
      </x:c>
      <x:c r="F919" s="1" t="str">
        <x:v>M02</x:v>
      </x:c>
      <x:c r="G919" s="1" t="str">
        <x:v>G06</x:v>
      </x:c>
      <x:c r="H919" s="5" t="n">
        <x:v>29.78</x:v>
      </x:c>
      <x:c r="I919" s="5" t="n">
        <x:v>5.65</x:v>
      </x:c>
      <x:c r="J919" s="5" t="n">
        <x:v>57.6</x:v>
      </x:c>
      <x:c r="K919" s="5" t="n">
        <x:v>37.8</x:v>
      </x:c>
      <x:c r="L919" s="5" t="n">
        <x:v>1.45</x:v>
      </x:c>
      <x:c r="M919" s="1" t="n">
        <x:v>0</x:v>
      </x:c>
      <x:c r="N919" s="6" t="n">
        <x:v>0.957</x:v>
      </x:c>
      <x:c r="O919" s="1" t="str">
        <x:v>합격</x:v>
      </x:c>
      <x:c r="P919" s="1"/>
      <x:c r="Q919" s="1" t="n">
        <x:v>47</x:v>
      </x:c>
      <x:c r="R919" s="1" t="str">
        <x:v>N</x:v>
      </x:c>
      <x:c r="S919" s="1" t="n">
        <x:v>0</x:v>
      </x:c>
      <x:c r="T919" s="1" t="str">
        <x:v>합격</x:v>
      </x:c>
    </x:row>
    <x:row r="920" ht="22" customHeight="1">
      <x:c r="A920" s="1" t="str">
        <x:v>R00919</x:v>
      </x:c>
      <x:c r="B920" s="4" t="n">
        <x:v>46223.49337962963</x:v>
      </x:c>
      <x:c r="C920" s="1" t="str">
        <x:v>주간</x:v>
      </x:c>
      <x:c r="D920" s="1" t="str">
        <x:v>L1</x:v>
      </x:c>
      <x:c r="E920" s="1" t="str">
        <x:v>P1</x:v>
      </x:c>
      <x:c r="F920" s="1" t="str">
        <x:v>M01</x:v>
      </x:c>
      <x:c r="G920" s="1" t="str">
        <x:v>G01</x:v>
      </x:c>
      <x:c r="H920" s="5" t="n">
        <x:v>27.54</x:v>
      </x:c>
      <x:c r="I920" s="5" t="n">
        <x:v>5.61</x:v>
      </x:c>
      <x:c r="J920" s="5" t="n">
        <x:v>55.9</x:v>
      </x:c>
      <x:c r="K920" s="5" t="n">
        <x:v>39.8</x:v>
      </x:c>
      <x:c r="L920" s="5" t="n">
        <x:v>1.9</x:v>
      </x:c>
      <x:c r="M920" s="1" t="n">
        <x:v>0</x:v>
      </x:c>
      <x:c r="N920" s="6" t="n">
        <x:v>0.894</x:v>
      </x:c>
      <x:c r="O920" s="1" t="str">
        <x:v>합격</x:v>
      </x:c>
      <x:c r="P920" s="1"/>
      <x:c r="Q920" s="1" t="n">
        <x:v>44</x:v>
      </x:c>
      <x:c r="R920" s="1" t="str">
        <x:v>N</x:v>
      </x:c>
      <x:c r="S920" s="1" t="n">
        <x:v>0</x:v>
      </x:c>
      <x:c r="T920" s="1" t="str">
        <x:v>합격</x:v>
      </x:c>
    </x:row>
    <x:row r="921" ht="22" customHeight="1">
      <x:c r="A921" s="1" t="str">
        <x:v>R00920</x:v>
      </x:c>
      <x:c r="B921" s="4" t="n">
        <x:v>46224.96357638889</x:v>
      </x:c>
      <x:c r="C921" s="1" t="str">
        <x:v>야간</x:v>
      </x:c>
      <x:c r="D921" s="1" t="str">
        <x:v>L2</x:v>
      </x:c>
      <x:c r="E921" s="1" t="str">
        <x:v>P2</x:v>
      </x:c>
      <x:c r="F921" s="1" t="str">
        <x:v>M02</x:v>
      </x:c>
      <x:c r="G921" s="1" t="str">
        <x:v>G02</x:v>
      </x:c>
      <x:c r="H921" s="5" t="n">
        <x:v>28.14</x:v>
      </x:c>
      <x:c r="I921" s="5" t="n">
        <x:v>5.72</x:v>
      </x:c>
      <x:c r="J921" s="5" t="n">
        <x:v>50.1</x:v>
      </x:c>
      <x:c r="K921" s="5" t="n">
        <x:v>36.9</x:v>
      </x:c>
      <x:c r="L921" s="5" t="n">
        <x:v>1.63</x:v>
      </x:c>
      <x:c r="M921" s="1" t="n">
        <x:v>1</x:v>
      </x:c>
      <x:c r="N921" s="6" t="n">
        <x:v>0.999</x:v>
      </x:c>
      <x:c r="O921" s="1" t="str">
        <x:v>합격</x:v>
      </x:c>
      <x:c r="P921" s="1"/>
      <x:c r="Q921" s="1" t="n">
        <x:v>36</x:v>
      </x:c>
      <x:c r="R921" s="1" t="str">
        <x:v>N</x:v>
      </x:c>
      <x:c r="S921" s="1" t="n">
        <x:v>0</x:v>
      </x:c>
      <x:c r="T921" s="1" t="str">
        <x:v>합격</x:v>
      </x:c>
    </x:row>
    <x:row r="922" ht="22" customHeight="1">
      <x:c r="A922" s="1" t="str">
        <x:v>R00921</x:v>
      </x:c>
      <x:c r="B922" s="4" t="n">
        <x:v>46225.00116898148</x:v>
      </x:c>
      <x:c r="C922" s="1" t="str">
        <x:v>야간</x:v>
      </x:c>
      <x:c r="D922" s="1" t="str">
        <x:v>L2</x:v>
      </x:c>
      <x:c r="E922" s="1" t="str">
        <x:v>P2</x:v>
      </x:c>
      <x:c r="F922" s="1" t="str">
        <x:v>M02</x:v>
      </x:c>
      <x:c r="G922" s="1" t="str">
        <x:v>G03</x:v>
      </x:c>
      <x:c r="H922" s="5" t="n">
        <x:v>27.71</x:v>
      </x:c>
      <x:c r="I922" s="5" t="n">
        <x:v>5.99</x:v>
      </x:c>
      <x:c r="J922" s="5" t="n">
        <x:v>48.2</x:v>
      </x:c>
      <x:c r="K922" s="5" t="n">
        <x:v>39.7</x:v>
      </x:c>
      <x:c r="L922" s="5" t="n">
        <x:v>2.55</x:v>
      </x:c>
      <x:c r="M922" s="1" t="n">
        <x:v>1</x:v>
      </x:c>
      <x:c r="N922" s="6" t="n">
        <x:v>0.872</x:v>
      </x:c>
      <x:c r="O922" s="1" t="str">
        <x:v>합격</x:v>
      </x:c>
      <x:c r="P922" s="1"/>
      <x:c r="Q922" s="1" t="n">
        <x:v>40</x:v>
      </x:c>
      <x:c r="R922" s="1" t="str">
        <x:v>N</x:v>
      </x:c>
      <x:c r="S922" s="1" t="n">
        <x:v>0</x:v>
      </x:c>
      <x:c r="T922" s="1" t="str">
        <x:v>합격</x:v>
      </x:c>
    </x:row>
    <x:row r="923" ht="22" customHeight="1">
      <x:c r="A923" s="1" t="str">
        <x:v>R00922</x:v>
      </x:c>
      <x:c r="B923" s="4" t="n">
        <x:v>46226.47015046296</x:v>
      </x:c>
      <x:c r="C923" s="1" t="str">
        <x:v>주간</x:v>
      </x:c>
      <x:c r="D923" s="1" t="str">
        <x:v>L2</x:v>
      </x:c>
      <x:c r="E923" s="1" t="str">
        <x:v>P2</x:v>
      </x:c>
      <x:c r="F923" s="1" t="str">
        <x:v>M02</x:v>
      </x:c>
      <x:c r="G923" s="1" t="str">
        <x:v>G04</x:v>
      </x:c>
      <x:c r="H923" s="5" t="n">
        <x:v>28.86</x:v>
      </x:c>
      <x:c r="I923" s="5" t="n">
        <x:v>5.83</x:v>
      </x:c>
      <x:c r="J923" s="5" t="n">
        <x:v>55.1</x:v>
      </x:c>
      <x:c r="K923" s="5" t="n">
        <x:v>38.1</x:v>
      </x:c>
      <x:c r="L923" s="5" t="n">
        <x:v>1.73</x:v>
      </x:c>
      <x:c r="M923" s="1" t="n">
        <x:v>0</x:v>
      </x:c>
      <x:c r="N923" s="6" t="n">
        <x:v>0.978</x:v>
      </x:c>
      <x:c r="O923" s="1" t="str">
        <x:v>합격</x:v>
      </x:c>
      <x:c r="P923" s="1"/>
      <x:c r="Q923" s="1" t="n">
        <x:v>47</x:v>
      </x:c>
      <x:c r="R923" s="1" t="str">
        <x:v>N</x:v>
      </x:c>
      <x:c r="S923" s="1" t="n">
        <x:v>0</x:v>
      </x:c>
      <x:c r="T923" s="1" t="str">
        <x:v>합격</x:v>
      </x:c>
    </x:row>
    <x:row r="924" ht="22" customHeight="1">
      <x:c r="A924" s="1" t="str">
        <x:v>R00923</x:v>
      </x:c>
      <x:c r="B924" s="4" t="n">
        <x:v>46227.11457175926</x:v>
      </x:c>
      <x:c r="C924" s="1" t="str">
        <x:v>야간</x:v>
      </x:c>
      <x:c r="D924" s="1" t="str">
        <x:v>L2</x:v>
      </x:c>
      <x:c r="E924" s="1" t="str">
        <x:v>P2</x:v>
      </x:c>
      <x:c r="F924" s="1" t="str">
        <x:v>M01</x:v>
      </x:c>
      <x:c r="G924" s="1" t="str">
        <x:v>G05</x:v>
      </x:c>
      <x:c r="H924" s="5" t="n">
        <x:v>29.96</x:v>
      </x:c>
      <x:c r="I924" s="5" t="n">
        <x:v>5.6</x:v>
      </x:c>
      <x:c r="J924" s="5" t="n">
        <x:v>53.5</x:v>
      </x:c>
      <x:c r="K924" s="5" t="n">
        <x:v>37.3</x:v>
      </x:c>
      <x:c r="L924" s="5" t="n">
        <x:v>1.67</x:v>
      </x:c>
      <x:c r="M924" s="1" t="n">
        <x:v>1</x:v>
      </x:c>
      <x:c r="N924" s="6" t="n">
        <x:v>1.012</x:v>
      </x:c>
      <x:c r="O924" s="1" t="str">
        <x:v>합격</x:v>
      </x:c>
      <x:c r="P924" s="1"/>
      <x:c r="Q924" s="1" t="n">
        <x:v>42</x:v>
      </x:c>
      <x:c r="R924" s="1" t="str">
        <x:v>N</x:v>
      </x:c>
      <x:c r="S924" s="1" t="n">
        <x:v>0</x:v>
      </x:c>
      <x:c r="T924" s="1" t="str">
        <x:v>합격</x:v>
      </x:c>
    </x:row>
    <x:row r="925" ht="22" customHeight="1">
      <x:c r="A925" s="1" t="str">
        <x:v>R00924</x:v>
      </x:c>
      <x:c r="B925" s="4" t="n">
        <x:v>46228.66380787037</x:v>
      </x:c>
      <x:c r="C925" s="1" t="str">
        <x:v>주간</x:v>
      </x:c>
      <x:c r="D925" s="1" t="str">
        <x:v>L1</x:v>
      </x:c>
      <x:c r="E925" s="1" t="str">
        <x:v>P1</x:v>
      </x:c>
      <x:c r="F925" s="1" t="str">
        <x:v>M03</x:v>
      </x:c>
      <x:c r="G925" s="1" t="str">
        <x:v>G06</x:v>
      </x:c>
      <x:c r="H925" s="5" t="n">
        <x:v>30.81</x:v>
      </x:c>
      <x:c r="I925" s="5" t="n">
        <x:v>5.74</x:v>
      </x:c>
      <x:c r="J925" s="5" t="n">
        <x:v>48.5</x:v>
      </x:c>
      <x:c r="K925" s="5" t="n">
        <x:v>39.9</x:v>
      </x:c>
      <x:c r="L925" s="5" t="n">
        <x:v>2.26</x:v>
      </x:c>
      <x:c r="M925" s="1" t="n">
        <x:v>1</x:v>
      </x:c>
      <x:c r="N925" s="6" t="n">
        <x:v>0.903</x:v>
      </x:c>
      <x:c r="O925" s="1" t="str">
        <x:v>합격</x:v>
      </x:c>
      <x:c r="P925" s="1"/>
      <x:c r="Q925" s="1" t="n">
        <x:v>49</x:v>
      </x:c>
      <x:c r="R925" s="1" t="str">
        <x:v>N</x:v>
      </x:c>
      <x:c r="S925" s="1" t="n">
        <x:v>0</x:v>
      </x:c>
      <x:c r="T925" s="1" t="str">
        <x:v>합격</x:v>
      </x:c>
    </x:row>
    <x:row r="926" ht="22" customHeight="1">
      <x:c r="A926" s="1" t="str">
        <x:v>R00925</x:v>
      </x:c>
      <x:c r="B926" s="4" t="n">
        <x:v>46229.341678240744</x:v>
      </x:c>
      <x:c r="C926" s="1" t="str">
        <x:v>주간</x:v>
      </x:c>
      <x:c r="D926" s="1" t="str">
        <x:v>L2</x:v>
      </x:c>
      <x:c r="E926" s="1" t="str">
        <x:v>P2</x:v>
      </x:c>
      <x:c r="F926" s="1" t="str">
        <x:v>M03</x:v>
      </x:c>
      <x:c r="G926" s="1" t="str">
        <x:v>G01</x:v>
      </x:c>
      <x:c r="H926" s="5" t="n">
        <x:v>33.68</x:v>
      </x:c>
      <x:c r="I926" s="5" t="n">
        <x:v>5.9</x:v>
      </x:c>
      <x:c r="J926" s="5" t="n">
        <x:v>53.4</x:v>
      </x:c>
      <x:c r="K926" s="5" t="n">
        <x:v>38.8</x:v>
      </x:c>
      <x:c r="L926" s="5" t="n">
        <x:v>1.71</x:v>
      </x:c>
      <x:c r="M926" s="1" t="n">
        <x:v>1</x:v>
      </x:c>
      <x:c r="N926" s="6" t="n">
        <x:v>0.872</x:v>
      </x:c>
      <x:c r="O926" s="1" t="str">
        <x:v>불합격</x:v>
      </x:c>
      <x:c r="P926" s="1" t="str">
        <x:v>작동불량</x:v>
      </x:c>
      <x:c r="Q926" s="1" t="n">
        <x:v>39</x:v>
      </x:c>
      <x:c r="R926" s="1" t="str">
        <x:v>Y</x:v>
      </x:c>
      <x:c r="S926" s="1" t="n">
        <x:v>8</x:v>
      </x:c>
      <x:c r="T926" s="1" t="str">
        <x:v>재작업후합격</x:v>
      </x:c>
    </x:row>
    <x:row r="927" ht="22" customHeight="1">
      <x:c r="A927" s="1" t="str">
        <x:v>R00926</x:v>
      </x:c>
      <x:c r="B927" s="4" t="n">
        <x:v>46230.96450231481</x:v>
      </x:c>
      <x:c r="C927" s="1" t="str">
        <x:v>야간</x:v>
      </x:c>
      <x:c r="D927" s="1" t="str">
        <x:v>L2</x:v>
      </x:c>
      <x:c r="E927" s="1" t="str">
        <x:v>P2</x:v>
      </x:c>
      <x:c r="F927" s="1" t="str">
        <x:v>M01</x:v>
      </x:c>
      <x:c r="G927" s="1" t="str">
        <x:v>G02</x:v>
      </x:c>
      <x:c r="H927" s="5" t="n">
        <x:v>29.13</x:v>
      </x:c>
      <x:c r="I927" s="5" t="n">
        <x:v>5.9</x:v>
      </x:c>
      <x:c r="J927" s="5" t="n">
        <x:v>57.8</x:v>
      </x:c>
      <x:c r="K927" s="5" t="n">
        <x:v>36.3</x:v>
      </x:c>
      <x:c r="L927" s="5" t="n">
        <x:v>1.58</x:v>
      </x:c>
      <x:c r="M927" s="1" t="n">
        <x:v>1</x:v>
      </x:c>
      <x:c r="N927" s="6" t="n">
        <x:v>0.968</x:v>
      </x:c>
      <x:c r="O927" s="1" t="str">
        <x:v>합격</x:v>
      </x:c>
      <x:c r="P927" s="1"/>
      <x:c r="Q927" s="1" t="n">
        <x:v>43</x:v>
      </x:c>
      <x:c r="R927" s="1" t="str">
        <x:v>N</x:v>
      </x:c>
      <x:c r="S927" s="1" t="n">
        <x:v>0</x:v>
      </x:c>
      <x:c r="T927" s="1" t="str">
        <x:v>합격</x:v>
      </x:c>
    </x:row>
    <x:row r="928" ht="22" customHeight="1">
      <x:c r="A928" s="1" t="str">
        <x:v>R00927</x:v>
      </x:c>
      <x:c r="B928" s="4" t="n">
        <x:v>46231.11336805556</x:v>
      </x:c>
      <x:c r="C928" s="1" t="str">
        <x:v>야간</x:v>
      </x:c>
      <x:c r="D928" s="1" t="str">
        <x:v>L2</x:v>
      </x:c>
      <x:c r="E928" s="1" t="str">
        <x:v>P2</x:v>
      </x:c>
      <x:c r="F928" s="1" t="str">
        <x:v>M01</x:v>
      </x:c>
      <x:c r="G928" s="1" t="str">
        <x:v>G03</x:v>
      </x:c>
      <x:c r="H928" s="5" t="n">
        <x:v>29.07</x:v>
      </x:c>
      <x:c r="I928" s="5" t="n">
        <x:v>5.85</x:v>
      </x:c>
      <x:c r="J928" s="5" t="n">
        <x:v>56</x:v>
      </x:c>
      <x:c r="K928" s="5" t="n">
        <x:v>37.5</x:v>
      </x:c>
      <x:c r="L928" s="5" t="n">
        <x:v>1.77</x:v>
      </x:c>
      <x:c r="M928" s="1" t="n">
        <x:v>0</x:v>
      </x:c>
      <x:c r="N928" s="6" t="n">
        <x:v>0.904</x:v>
      </x:c>
      <x:c r="O928" s="1" t="str">
        <x:v>합격</x:v>
      </x:c>
      <x:c r="P928" s="1"/>
      <x:c r="Q928" s="1" t="n">
        <x:v>39</x:v>
      </x:c>
      <x:c r="R928" s="1" t="str">
        <x:v>N</x:v>
      </x:c>
      <x:c r="S928" s="1" t="n">
        <x:v>0</x:v>
      </x:c>
      <x:c r="T928" s="1" t="str">
        <x:v>합격</x:v>
      </x:c>
    </x:row>
    <x:row r="929" ht="22" customHeight="1">
      <x:c r="A929" s="1" t="str">
        <x:v>R00928</x:v>
      </x:c>
      <x:c r="B929" s="4" t="n">
        <x:v>46232.53337962963</x:v>
      </x:c>
      <x:c r="C929" s="1" t="str">
        <x:v>주간</x:v>
      </x:c>
      <x:c r="D929" s="1" t="str">
        <x:v>L1</x:v>
      </x:c>
      <x:c r="E929" s="1" t="str">
        <x:v>P1</x:v>
      </x:c>
      <x:c r="F929" s="1" t="str">
        <x:v>M01</x:v>
      </x:c>
      <x:c r="G929" s="1" t="str">
        <x:v>G04</x:v>
      </x:c>
      <x:c r="H929" s="5" t="n">
        <x:v>32.7</x:v>
      </x:c>
      <x:c r="I929" s="5" t="n">
        <x:v>5.85</x:v>
      </x:c>
      <x:c r="J929" s="5" t="n">
        <x:v>54.6</x:v>
      </x:c>
      <x:c r="K929" s="5" t="n">
        <x:v>42</x:v>
      </x:c>
      <x:c r="L929" s="5" t="n">
        <x:v>2.53</x:v>
      </x:c>
      <x:c r="M929" s="1" t="n">
        <x:v>1</x:v>
      </x:c>
      <x:c r="N929" s="6" t="n">
        <x:v>0.932</x:v>
      </x:c>
      <x:c r="O929" s="1" t="str">
        <x:v>합격</x:v>
      </x:c>
      <x:c r="P929" s="1"/>
      <x:c r="Q929" s="1" t="n">
        <x:v>36</x:v>
      </x:c>
      <x:c r="R929" s="1" t="str">
        <x:v>N</x:v>
      </x:c>
      <x:c r="S929" s="1" t="n">
        <x:v>0</x:v>
      </x:c>
      <x:c r="T929" s="1" t="str">
        <x:v>합격</x:v>
      </x:c>
    </x:row>
    <x:row r="930" ht="22" customHeight="1">
      <x:c r="A930" s="1" t="str">
        <x:v>R00929</x:v>
      </x:c>
      <x:c r="B930" s="4" t="n">
        <x:v>46233.15962962963</x:v>
      </x:c>
      <x:c r="C930" s="1" t="str">
        <x:v>야간</x:v>
      </x:c>
      <x:c r="D930" s="1" t="str">
        <x:v>L1</x:v>
      </x:c>
      <x:c r="E930" s="1" t="str">
        <x:v>P1</x:v>
      </x:c>
      <x:c r="F930" s="1" t="str">
        <x:v>M03</x:v>
      </x:c>
      <x:c r="G930" s="1" t="str">
        <x:v>G05</x:v>
      </x:c>
      <x:c r="H930" s="5" t="n">
        <x:v>31.94</x:v>
      </x:c>
      <x:c r="I930" s="5" t="n">
        <x:v>5.74</x:v>
      </x:c>
      <x:c r="J930" s="5" t="n">
        <x:v>58.3</x:v>
      </x:c>
      <x:c r="K930" s="5" t="n">
        <x:v>36.2</x:v>
      </x:c>
      <x:c r="L930" s="5" t="n">
        <x:v>1.84</x:v>
      </x:c>
      <x:c r="M930" s="1" t="n">
        <x:v>1</x:v>
      </x:c>
      <x:c r="N930" s="6" t="n">
        <x:v>0.921</x:v>
      </x:c>
      <x:c r="O930" s="1" t="str">
        <x:v>합격</x:v>
      </x:c>
      <x:c r="P930" s="1"/>
      <x:c r="Q930" s="1" t="n">
        <x:v>38</x:v>
      </x:c>
      <x:c r="R930" s="1" t="str">
        <x:v>N</x:v>
      </x:c>
      <x:c r="S930" s="1" t="n">
        <x:v>0</x:v>
      </x:c>
      <x:c r="T930" s="1" t="str">
        <x:v>합격</x:v>
      </x:c>
    </x:row>
    <x:row r="931" ht="22" customHeight="1">
      <x:c r="A931" s="1" t="str">
        <x:v>R00930</x:v>
      </x:c>
      <x:c r="B931" s="4" t="n">
        <x:v>46234.53511574074</x:v>
      </x:c>
      <x:c r="C931" s="1" t="str">
        <x:v>주간</x:v>
      </x:c>
      <x:c r="D931" s="1" t="str">
        <x:v>L2</x:v>
      </x:c>
      <x:c r="E931" s="1" t="str">
        <x:v>P2</x:v>
      </x:c>
      <x:c r="F931" s="1" t="str">
        <x:v>M02</x:v>
      </x:c>
      <x:c r="G931" s="1" t="str">
        <x:v>G06</x:v>
      </x:c>
      <x:c r="H931" s="5" t="n">
        <x:v>29.93</x:v>
      </x:c>
      <x:c r="I931" s="5" t="n">
        <x:v>5.91</x:v>
      </x:c>
      <x:c r="J931" s="5" t="n">
        <x:v>50.8</x:v>
      </x:c>
      <x:c r="K931" s="5" t="n">
        <x:v>39.1</x:v>
      </x:c>
      <x:c r="L931" s="5" t="n">
        <x:v>1.57</x:v>
      </x:c>
      <x:c r="M931" s="1" t="n">
        <x:v>1</x:v>
      </x:c>
      <x:c r="N931" s="6" t="n">
        <x:v>0.943</x:v>
      </x:c>
      <x:c r="O931" s="1" t="str">
        <x:v>합격</x:v>
      </x:c>
      <x:c r="P931" s="1"/>
      <x:c r="Q931" s="1" t="n">
        <x:v>42</x:v>
      </x:c>
      <x:c r="R931" s="1" t="str">
        <x:v>N</x:v>
      </x:c>
      <x:c r="S931" s="1" t="n">
        <x:v>0</x:v>
      </x:c>
      <x:c r="T931" s="1" t="str">
        <x:v>합격</x:v>
      </x:c>
    </x:row>
    <x:row r="932" ht="22" customHeight="1">
      <x:c r="A932" s="1" t="str">
        <x:v>R00931</x:v>
      </x:c>
      <x:c r="B932" s="4" t="n">
        <x:v>46204.90013888889</x:v>
      </x:c>
      <x:c r="C932" s="1" t="str">
        <x:v>야간</x:v>
      </x:c>
      <x:c r="D932" s="1" t="str">
        <x:v>L2</x:v>
      </x:c>
      <x:c r="E932" s="1" t="str">
        <x:v>P2</x:v>
      </x:c>
      <x:c r="F932" s="1" t="str">
        <x:v>M02</x:v>
      </x:c>
      <x:c r="G932" s="1" t="str">
        <x:v>G01</x:v>
      </x:c>
      <x:c r="H932" s="5" t="n">
        <x:v>31.87</x:v>
      </x:c>
      <x:c r="I932" s="5" t="n">
        <x:v>5.61</x:v>
      </x:c>
      <x:c r="J932" s="5" t="n">
        <x:v>57.8</x:v>
      </x:c>
      <x:c r="K932" s="5" t="n">
        <x:v>39.2</x:v>
      </x:c>
      <x:c r="L932" s="5" t="n">
        <x:v>2.37</x:v>
      </x:c>
      <x:c r="M932" s="1" t="n">
        <x:v>1</x:v>
      </x:c>
      <x:c r="N932" s="6" t="n">
        <x:v>0.929</x:v>
      </x:c>
      <x:c r="O932" s="1" t="str">
        <x:v>합격</x:v>
      </x:c>
      <x:c r="P932" s="1"/>
      <x:c r="Q932" s="1" t="n">
        <x:v>43</x:v>
      </x:c>
      <x:c r="R932" s="1" t="str">
        <x:v>N</x:v>
      </x:c>
      <x:c r="S932" s="1" t="n">
        <x:v>0</x:v>
      </x:c>
      <x:c r="T932" s="1" t="str">
        <x:v>합격</x:v>
      </x:c>
    </x:row>
    <x:row r="933" ht="22" customHeight="1">
      <x:c r="A933" s="1" t="str">
        <x:v>R00932</x:v>
      </x:c>
      <x:c r="B933" s="4" t="n">
        <x:v>46205.57478009259</x:v>
      </x:c>
      <x:c r="C933" s="1" t="str">
        <x:v>주간</x:v>
      </x:c>
      <x:c r="D933" s="1" t="str">
        <x:v>L1</x:v>
      </x:c>
      <x:c r="E933" s="1" t="str">
        <x:v>P1</x:v>
      </x:c>
      <x:c r="F933" s="1" t="str">
        <x:v>M03</x:v>
      </x:c>
      <x:c r="G933" s="1" t="str">
        <x:v>G02</x:v>
      </x:c>
      <x:c r="H933" s="5" t="n">
        <x:v>30.24</x:v>
      </x:c>
      <x:c r="I933" s="5" t="n">
        <x:v>5.94</x:v>
      </x:c>
      <x:c r="J933" s="5" t="n">
        <x:v>50.3</x:v>
      </x:c>
      <x:c r="K933" s="5" t="n">
        <x:v>38.2</x:v>
      </x:c>
      <x:c r="L933" s="5" t="n">
        <x:v>2.66</x:v>
      </x:c>
      <x:c r="M933" s="1" t="n">
        <x:v>1</x:v>
      </x:c>
      <x:c r="N933" s="6" t="n">
        <x:v>0.929</x:v>
      </x:c>
      <x:c r="O933" s="1" t="str">
        <x:v>합격</x:v>
      </x:c>
      <x:c r="P933" s="1"/>
      <x:c r="Q933" s="1" t="n">
        <x:v>47</x:v>
      </x:c>
      <x:c r="R933" s="1" t="str">
        <x:v>N</x:v>
      </x:c>
      <x:c r="S933" s="1" t="n">
        <x:v>0</x:v>
      </x:c>
      <x:c r="T933" s="1" t="str">
        <x:v>합격</x:v>
      </x:c>
    </x:row>
    <x:row r="934" ht="22" customHeight="1">
      <x:c r="A934" s="1" t="str">
        <x:v>R00933</x:v>
      </x:c>
      <x:c r="B934" s="4" t="n">
        <x:v>46206.84943287037</x:v>
      </x:c>
      <x:c r="C934" s="1" t="str">
        <x:v>야간</x:v>
      </x:c>
      <x:c r="D934" s="1" t="str">
        <x:v>L2</x:v>
      </x:c>
      <x:c r="E934" s="1" t="str">
        <x:v>P2</x:v>
      </x:c>
      <x:c r="F934" s="1" t="str">
        <x:v>M01</x:v>
      </x:c>
      <x:c r="G934" s="1" t="str">
        <x:v>G03</x:v>
      </x:c>
      <x:c r="H934" s="5" t="n">
        <x:v>31.94</x:v>
      </x:c>
      <x:c r="I934" s="5" t="n">
        <x:v>5.7</x:v>
      </x:c>
      <x:c r="J934" s="5" t="n">
        <x:v>48.2</x:v>
      </x:c>
      <x:c r="K934" s="5" t="n">
        <x:v>37.5</x:v>
      </x:c>
      <x:c r="L934" s="5" t="n">
        <x:v>1.51</x:v>
      </x:c>
      <x:c r="M934" s="1" t="n">
        <x:v>0</x:v>
      </x:c>
      <x:c r="N934" s="6" t="n">
        <x:v>0.924</x:v>
      </x:c>
      <x:c r="O934" s="1" t="str">
        <x:v>합격</x:v>
      </x:c>
      <x:c r="P934" s="1"/>
      <x:c r="Q934" s="1" t="n">
        <x:v>37</x:v>
      </x:c>
      <x:c r="R934" s="1" t="str">
        <x:v>N</x:v>
      </x:c>
      <x:c r="S934" s="1" t="n">
        <x:v>0</x:v>
      </x:c>
      <x:c r="T934" s="1" t="str">
        <x:v>합격</x:v>
      </x:c>
    </x:row>
    <x:row r="935" ht="22" customHeight="1">
      <x:c r="A935" s="1" t="str">
        <x:v>R00934</x:v>
      </x:c>
      <x:c r="B935" s="4" t="n">
        <x:v>46207.83840277778</x:v>
      </x:c>
      <x:c r="C935" s="1" t="str">
        <x:v>야간</x:v>
      </x:c>
      <x:c r="D935" s="1" t="str">
        <x:v>L1</x:v>
      </x:c>
      <x:c r="E935" s="1" t="str">
        <x:v>P1</x:v>
      </x:c>
      <x:c r="F935" s="1" t="str">
        <x:v>M04</x:v>
      </x:c>
      <x:c r="G935" s="1" t="str">
        <x:v>G04</x:v>
      </x:c>
      <x:c r="H935" s="5" t="n">
        <x:v>27.68</x:v>
      </x:c>
      <x:c r="I935" s="5" t="n">
        <x:v>5.73</x:v>
      </x:c>
      <x:c r="J935" s="5" t="n">
        <x:v>55.6</x:v>
      </x:c>
      <x:c r="K935" s="5" t="n">
        <x:v>38.8</x:v>
      </x:c>
      <x:c r="L935" s="5" t="n">
        <x:v>1.52</x:v>
      </x:c>
      <x:c r="M935" s="1" t="n">
        <x:v>1</x:v>
      </x:c>
      <x:c r="N935" s="6" t="n">
        <x:v>0.898</x:v>
      </x:c>
      <x:c r="O935" s="1" t="str">
        <x:v>합격</x:v>
      </x:c>
      <x:c r="P935" s="1"/>
      <x:c r="Q935" s="1" t="n">
        <x:v>40</x:v>
      </x:c>
      <x:c r="R935" s="1" t="str">
        <x:v>N</x:v>
      </x:c>
      <x:c r="S935" s="1" t="n">
        <x:v>0</x:v>
      </x:c>
      <x:c r="T935" s="1" t="str">
        <x:v>합격</x:v>
      </x:c>
    </x:row>
    <x:row r="936" ht="22" customHeight="1">
      <x:c r="A936" s="1" t="str">
        <x:v>R00935</x:v>
      </x:c>
      <x:c r="B936" s="4" t="n">
        <x:v>46208.91092592593</x:v>
      </x:c>
      <x:c r="C936" s="1" t="str">
        <x:v>야간</x:v>
      </x:c>
      <x:c r="D936" s="1" t="str">
        <x:v>L2</x:v>
      </x:c>
      <x:c r="E936" s="1" t="str">
        <x:v>P2</x:v>
      </x:c>
      <x:c r="F936" s="1" t="str">
        <x:v>M01</x:v>
      </x:c>
      <x:c r="G936" s="1" t="str">
        <x:v>G05</x:v>
      </x:c>
      <x:c r="H936" s="5" t="n">
        <x:v>32.06</x:v>
      </x:c>
      <x:c r="I936" s="5" t="n">
        <x:v>5.84</x:v>
      </x:c>
      <x:c r="J936" s="5" t="n">
        <x:v>51.7</x:v>
      </x:c>
      <x:c r="K936" s="5" t="n">
        <x:v>36.8</x:v>
      </x:c>
      <x:c r="L936" s="5" t="n">
        <x:v>1.43</x:v>
      </x:c>
      <x:c r="M936" s="1" t="n">
        <x:v>1</x:v>
      </x:c>
      <x:c r="N936" s="6" t="n">
        <x:v>0.965</x:v>
      </x:c>
      <x:c r="O936" s="1" t="str">
        <x:v>합격</x:v>
      </x:c>
      <x:c r="P936" s="1"/>
      <x:c r="Q936" s="1" t="n">
        <x:v>44</x:v>
      </x:c>
      <x:c r="R936" s="1" t="str">
        <x:v>N</x:v>
      </x:c>
      <x:c r="S936" s="1" t="n">
        <x:v>0</x:v>
      </x:c>
      <x:c r="T936" s="1" t="str">
        <x:v>합격</x:v>
      </x:c>
    </x:row>
    <x:row r="937" ht="22" customHeight="1">
      <x:c r="A937" s="1" t="str">
        <x:v>R00936</x:v>
      </x:c>
      <x:c r="B937" s="4" t="n">
        <x:v>46209.144780092596</x:v>
      </x:c>
      <x:c r="C937" s="1" t="str">
        <x:v>야간</x:v>
      </x:c>
      <x:c r="D937" s="1" t="str">
        <x:v>L1</x:v>
      </x:c>
      <x:c r="E937" s="1" t="str">
        <x:v>P1</x:v>
      </x:c>
      <x:c r="F937" s="1" t="str">
        <x:v>M04</x:v>
      </x:c>
      <x:c r="G937" s="1" t="str">
        <x:v>G06</x:v>
      </x:c>
      <x:c r="H937" s="5" t="n">
        <x:v>27.8</x:v>
      </x:c>
      <x:c r="I937" s="5" t="n">
        <x:v>5.73</x:v>
      </x:c>
      <x:c r="J937" s="5" t="n">
        <x:v>52.1</x:v>
      </x:c>
      <x:c r="K937" s="5" t="n">
        <x:v>38.5</x:v>
      </x:c>
      <x:c r="L937" s="5" t="n">
        <x:v>2.56</x:v>
      </x:c>
      <x:c r="M937" s="1" t="n">
        <x:v>0</x:v>
      </x:c>
      <x:c r="N937" s="6" t="n">
        <x:v>0.945</x:v>
      </x:c>
      <x:c r="O937" s="1" t="str">
        <x:v>합격</x:v>
      </x:c>
      <x:c r="P937" s="1"/>
      <x:c r="Q937" s="1" t="n">
        <x:v>45</x:v>
      </x:c>
      <x:c r="R937" s="1" t="str">
        <x:v>N</x:v>
      </x:c>
      <x:c r="S937" s="1" t="n">
        <x:v>0</x:v>
      </x:c>
      <x:c r="T937" s="1" t="str">
        <x:v>합격</x:v>
      </x:c>
    </x:row>
    <x:row r="938" ht="22" customHeight="1">
      <x:c r="A938" s="1" t="str">
        <x:v>R00937</x:v>
      </x:c>
      <x:c r="B938" s="4" t="n">
        <x:v>46210.4453587963</x:v>
      </x:c>
      <x:c r="C938" s="1" t="str">
        <x:v>주간</x:v>
      </x:c>
      <x:c r="D938" s="1" t="str">
        <x:v>L2</x:v>
      </x:c>
      <x:c r="E938" s="1" t="str">
        <x:v>P2</x:v>
      </x:c>
      <x:c r="F938" s="1" t="str">
        <x:v>M04</x:v>
      </x:c>
      <x:c r="G938" s="1" t="str">
        <x:v>G01</x:v>
      </x:c>
      <x:c r="H938" s="5" t="n">
        <x:v>28.28</x:v>
      </x:c>
      <x:c r="I938" s="5" t="n">
        <x:v>5.71</x:v>
      </x:c>
      <x:c r="J938" s="5" t="n">
        <x:v>53.3</x:v>
      </x:c>
      <x:c r="K938" s="5" t="n">
        <x:v>35.3</x:v>
      </x:c>
      <x:c r="L938" s="5" t="n">
        <x:v>1.49</x:v>
      </x:c>
      <x:c r="M938" s="1" t="n">
        <x:v>0</x:v>
      </x:c>
      <x:c r="N938" s="6" t="n">
        <x:v>0.906</x:v>
      </x:c>
      <x:c r="O938" s="1" t="str">
        <x:v>합격</x:v>
      </x:c>
      <x:c r="P938" s="1"/>
      <x:c r="Q938" s="1" t="n">
        <x:v>39</x:v>
      </x:c>
      <x:c r="R938" s="1" t="str">
        <x:v>N</x:v>
      </x:c>
      <x:c r="S938" s="1" t="n">
        <x:v>0</x:v>
      </x:c>
      <x:c r="T938" s="1" t="str">
        <x:v>합격</x:v>
      </x:c>
    </x:row>
    <x:row r="939" ht="22" customHeight="1">
      <x:c r="A939" s="1" t="str">
        <x:v>R00938</x:v>
      </x:c>
      <x:c r="B939" s="4" t="n">
        <x:v>46211.42114583333</x:v>
      </x:c>
      <x:c r="C939" s="1" t="str">
        <x:v>주간</x:v>
      </x:c>
      <x:c r="D939" s="1" t="str">
        <x:v>L2</x:v>
      </x:c>
      <x:c r="E939" s="1" t="str">
        <x:v>P2</x:v>
      </x:c>
      <x:c r="F939" s="1" t="str">
        <x:v>M02</x:v>
      </x:c>
      <x:c r="G939" s="1" t="str">
        <x:v>G02</x:v>
      </x:c>
      <x:c r="H939" s="5" t="n">
        <x:v>27.93</x:v>
      </x:c>
      <x:c r="I939" s="5" t="n">
        <x:v>5.69</x:v>
      </x:c>
      <x:c r="J939" s="5" t="n">
        <x:v>52.7</x:v>
      </x:c>
      <x:c r="K939" s="5" t="n">
        <x:v>36.8</x:v>
      </x:c>
      <x:c r="L939" s="5" t="n">
        <x:v>1.3</x:v>
      </x:c>
      <x:c r="M939" s="1" t="n">
        <x:v>0</x:v>
      </x:c>
      <x:c r="N939" s="6" t="n">
        <x:v>1.036</x:v>
      </x:c>
      <x:c r="O939" s="1" t="str">
        <x:v>합격</x:v>
      </x:c>
      <x:c r="P939" s="1"/>
      <x:c r="Q939" s="1" t="n">
        <x:v>37</x:v>
      </x:c>
      <x:c r="R939" s="1" t="str">
        <x:v>N</x:v>
      </x:c>
      <x:c r="S939" s="1" t="n">
        <x:v>0</x:v>
      </x:c>
      <x:c r="T939" s="1" t="str">
        <x:v>합격</x:v>
      </x:c>
    </x:row>
    <x:row r="940" ht="22" customHeight="1">
      <x:c r="A940" s="1" t="str">
        <x:v>R00939</x:v>
      </x:c>
      <x:c r="B940" s="4" t="n">
        <x:v>46212.83725694445</x:v>
      </x:c>
      <x:c r="C940" s="1" t="str">
        <x:v>야간</x:v>
      </x:c>
      <x:c r="D940" s="1" t="str">
        <x:v>L1</x:v>
      </x:c>
      <x:c r="E940" s="1" t="str">
        <x:v>P1</x:v>
      </x:c>
      <x:c r="F940" s="1" t="str">
        <x:v>M03</x:v>
      </x:c>
      <x:c r="G940" s="1" t="str">
        <x:v>G03</x:v>
      </x:c>
      <x:c r="H940" s="5" t="n">
        <x:v>27.89</x:v>
      </x:c>
      <x:c r="I940" s="5" t="n">
        <x:v>5.75</x:v>
      </x:c>
      <x:c r="J940" s="5" t="n">
        <x:v>50.3</x:v>
      </x:c>
      <x:c r="K940" s="5" t="n">
        <x:v>41</x:v>
      </x:c>
      <x:c r="L940" s="5" t="n">
        <x:v>2.22</x:v>
      </x:c>
      <x:c r="M940" s="1" t="n">
        <x:v>1</x:v>
      </x:c>
      <x:c r="N940" s="6" t="n">
        <x:v>0.968</x:v>
      </x:c>
      <x:c r="O940" s="1" t="str">
        <x:v>합격</x:v>
      </x:c>
      <x:c r="P940" s="1"/>
      <x:c r="Q940" s="1" t="n">
        <x:v>38</x:v>
      </x:c>
      <x:c r="R940" s="1" t="str">
        <x:v>N</x:v>
      </x:c>
      <x:c r="S940" s="1" t="n">
        <x:v>0</x:v>
      </x:c>
      <x:c r="T940" s="1" t="str">
        <x:v>합격</x:v>
      </x:c>
    </x:row>
    <x:row r="941" ht="22" customHeight="1">
      <x:c r="A941" s="1" t="str">
        <x:v>R00940</x:v>
      </x:c>
      <x:c r="B941" s="4" t="n">
        <x:v>46213.05736111111</x:v>
      </x:c>
      <x:c r="C941" s="1" t="str">
        <x:v>야간</x:v>
      </x:c>
      <x:c r="D941" s="1" t="str">
        <x:v>L2</x:v>
      </x:c>
      <x:c r="E941" s="1" t="str">
        <x:v>P2</x:v>
      </x:c>
      <x:c r="F941" s="1" t="str">
        <x:v>M02</x:v>
      </x:c>
      <x:c r="G941" s="1" t="str">
        <x:v>G04</x:v>
      </x:c>
      <x:c r="H941" s="5" t="n">
        <x:v>31.63</x:v>
      </x:c>
      <x:c r="I941" s="5" t="n">
        <x:v>5.84</x:v>
      </x:c>
      <x:c r="J941" s="5" t="n">
        <x:v>47.1</x:v>
      </x:c>
      <x:c r="K941" s="5" t="n">
        <x:v>39</x:v>
      </x:c>
      <x:c r="L941" s="5" t="n">
        <x:v>2.66</x:v>
      </x:c>
      <x:c r="M941" s="1" t="n">
        <x:v>1</x:v>
      </x:c>
      <x:c r="N941" s="6" t="n">
        <x:v>0.861</x:v>
      </x:c>
      <x:c r="O941" s="1" t="str">
        <x:v>합격</x:v>
      </x:c>
      <x:c r="P941" s="1"/>
      <x:c r="Q941" s="1" t="n">
        <x:v>36</x:v>
      </x:c>
      <x:c r="R941" s="1" t="str">
        <x:v>N</x:v>
      </x:c>
      <x:c r="S941" s="1" t="n">
        <x:v>0</x:v>
      </x:c>
      <x:c r="T941" s="1" t="str">
        <x:v>합격</x:v>
      </x:c>
    </x:row>
    <x:row r="942" ht="22" customHeight="1">
      <x:c r="A942" s="1" t="str">
        <x:v>R00941</x:v>
      </x:c>
      <x:c r="B942" s="4" t="n">
        <x:v>46214.48600694445</x:v>
      </x:c>
      <x:c r="C942" s="1" t="str">
        <x:v>주간</x:v>
      </x:c>
      <x:c r="D942" s="1" t="str">
        <x:v>L1</x:v>
      </x:c>
      <x:c r="E942" s="1" t="str">
        <x:v>P1</x:v>
      </x:c>
      <x:c r="F942" s="1" t="str">
        <x:v>M03</x:v>
      </x:c>
      <x:c r="G942" s="1" t="str">
        <x:v>G05</x:v>
      </x:c>
      <x:c r="H942" s="5" t="n">
        <x:v>28.06</x:v>
      </x:c>
      <x:c r="I942" s="5" t="n">
        <x:v>5.79</x:v>
      </x:c>
      <x:c r="J942" s="5" t="n">
        <x:v>49.1</x:v>
      </x:c>
      <x:c r="K942" s="5" t="n">
        <x:v>36.4</x:v>
      </x:c>
      <x:c r="L942" s="5" t="n">
        <x:v>2.2</x:v>
      </x:c>
      <x:c r="M942" s="1" t="n">
        <x:v>1</x:v>
      </x:c>
      <x:c r="N942" s="6" t="n">
        <x:v>0.854</x:v>
      </x:c>
      <x:c r="O942" s="1" t="str">
        <x:v>합격</x:v>
      </x:c>
      <x:c r="P942" s="1"/>
      <x:c r="Q942" s="1" t="n">
        <x:v>35</x:v>
      </x:c>
      <x:c r="R942" s="1" t="str">
        <x:v>N</x:v>
      </x:c>
      <x:c r="S942" s="1" t="n">
        <x:v>0</x:v>
      </x:c>
      <x:c r="T942" s="1" t="str">
        <x:v>합격</x:v>
      </x:c>
    </x:row>
    <x:row r="943" ht="22" customHeight="1">
      <x:c r="A943" s="1" t="str">
        <x:v>R00942</x:v>
      </x:c>
      <x:c r="B943" s="4" t="n">
        <x:v>46215.611342592594</x:v>
      </x:c>
      <x:c r="C943" s="1" t="str">
        <x:v>주간</x:v>
      </x:c>
      <x:c r="D943" s="1" t="str">
        <x:v>L1</x:v>
      </x:c>
      <x:c r="E943" s="1" t="str">
        <x:v>P1</x:v>
      </x:c>
      <x:c r="F943" s="1" t="str">
        <x:v>M03</x:v>
      </x:c>
      <x:c r="G943" s="1" t="str">
        <x:v>G06</x:v>
      </x:c>
      <x:c r="H943" s="5" t="n">
        <x:v>27.67</x:v>
      </x:c>
      <x:c r="I943" s="5" t="n">
        <x:v>5.64</x:v>
      </x:c>
      <x:c r="J943" s="5" t="n">
        <x:v>54</x:v>
      </x:c>
      <x:c r="K943" s="5" t="n">
        <x:v>35.6</x:v>
      </x:c>
      <x:c r="L943" s="5" t="n">
        <x:v>1.42</x:v>
      </x:c>
      <x:c r="M943" s="1" t="n">
        <x:v>1</x:v>
      </x:c>
      <x:c r="N943" s="6" t="n">
        <x:v>0.905</x:v>
      </x:c>
      <x:c r="O943" s="1" t="str">
        <x:v>합격</x:v>
      </x:c>
      <x:c r="P943" s="1"/>
      <x:c r="Q943" s="1" t="n">
        <x:v>45</x:v>
      </x:c>
      <x:c r="R943" s="1" t="str">
        <x:v>N</x:v>
      </x:c>
      <x:c r="S943" s="1" t="n">
        <x:v>0</x:v>
      </x:c>
      <x:c r="T943" s="1" t="str">
        <x:v>합격</x:v>
      </x:c>
    </x:row>
    <x:row r="944" ht="22" customHeight="1">
      <x:c r="A944" s="1" t="str">
        <x:v>R00943</x:v>
      </x:c>
      <x:c r="B944" s="4" t="n">
        <x:v>46216.422430555554</x:v>
      </x:c>
      <x:c r="C944" s="1" t="str">
        <x:v>주간</x:v>
      </x:c>
      <x:c r="D944" s="1" t="str">
        <x:v>L2</x:v>
      </x:c>
      <x:c r="E944" s="1" t="str">
        <x:v>P2</x:v>
      </x:c>
      <x:c r="F944" s="1" t="str">
        <x:v>M02</x:v>
      </x:c>
      <x:c r="G944" s="1" t="str">
        <x:v>G01</x:v>
      </x:c>
      <x:c r="H944" s="5" t="n">
        <x:v>28.91</x:v>
      </x:c>
      <x:c r="I944" s="5" t="n">
        <x:v>5.93</x:v>
      </x:c>
      <x:c r="J944" s="5" t="n">
        <x:v>53.7</x:v>
      </x:c>
      <x:c r="K944" s="5" t="n">
        <x:v>40.9</x:v>
      </x:c>
      <x:c r="L944" s="5" t="n">
        <x:v>1.93</x:v>
      </x:c>
      <x:c r="M944" s="1" t="n">
        <x:v>0</x:v>
      </x:c>
      <x:c r="N944" s="6" t="n">
        <x:v>0.888</x:v>
      </x:c>
      <x:c r="O944" s="1" t="str">
        <x:v>합격</x:v>
      </x:c>
      <x:c r="P944" s="1"/>
      <x:c r="Q944" s="1" t="n">
        <x:v>45</x:v>
      </x:c>
      <x:c r="R944" s="1" t="str">
        <x:v>N</x:v>
      </x:c>
      <x:c r="S944" s="1" t="n">
        <x:v>0</x:v>
      </x:c>
      <x:c r="T944" s="1" t="str">
        <x:v>합격</x:v>
      </x:c>
    </x:row>
    <x:row r="945" ht="22" customHeight="1">
      <x:c r="A945" s="1" t="str">
        <x:v>R00944</x:v>
      </x:c>
      <x:c r="B945" s="4" t="n">
        <x:v>46217.62337962963</x:v>
      </x:c>
      <x:c r="C945" s="1" t="str">
        <x:v>주간</x:v>
      </x:c>
      <x:c r="D945" s="1" t="str">
        <x:v>L1</x:v>
      </x:c>
      <x:c r="E945" s="1" t="str">
        <x:v>P1</x:v>
      </x:c>
      <x:c r="F945" s="1" t="str">
        <x:v>M01</x:v>
      </x:c>
      <x:c r="G945" s="1" t="str">
        <x:v>G02</x:v>
      </x:c>
      <x:c r="H945" s="5" t="n">
        <x:v>31.49</x:v>
      </x:c>
      <x:c r="I945" s="5" t="n">
        <x:v>5.79</x:v>
      </x:c>
      <x:c r="J945" s="5" t="n">
        <x:v>55.4</x:v>
      </x:c>
      <x:c r="K945" s="5" t="n">
        <x:v>36.3</x:v>
      </x:c>
      <x:c r="L945" s="5" t="n">
        <x:v>2.36</x:v>
      </x:c>
      <x:c r="M945" s="1" t="n">
        <x:v>1</x:v>
      </x:c>
      <x:c r="N945" s="6" t="n">
        <x:v>0.933</x:v>
      </x:c>
      <x:c r="O945" s="1" t="str">
        <x:v>합격</x:v>
      </x:c>
      <x:c r="P945" s="1"/>
      <x:c r="Q945" s="1" t="n">
        <x:v>39</x:v>
      </x:c>
      <x:c r="R945" s="1" t="str">
        <x:v>N</x:v>
      </x:c>
      <x:c r="S945" s="1" t="n">
        <x:v>0</x:v>
      </x:c>
      <x:c r="T945" s="1" t="str">
        <x:v>합격</x:v>
      </x:c>
    </x:row>
    <x:row r="946" ht="22" customHeight="1">
      <x:c r="A946" s="1" t="str">
        <x:v>R00945</x:v>
      </x:c>
      <x:c r="B946" s="4" t="n">
        <x:v>46218.917662037034</x:v>
      </x:c>
      <x:c r="C946" s="1" t="str">
        <x:v>야간</x:v>
      </x:c>
      <x:c r="D946" s="1" t="str">
        <x:v>L1</x:v>
      </x:c>
      <x:c r="E946" s="1" t="str">
        <x:v>P1</x:v>
      </x:c>
      <x:c r="F946" s="1" t="str">
        <x:v>M03</x:v>
      </x:c>
      <x:c r="G946" s="1" t="str">
        <x:v>G03</x:v>
      </x:c>
      <x:c r="H946" s="5" t="n">
        <x:v>34.12</x:v>
      </x:c>
      <x:c r="I946" s="5" t="n">
        <x:v>5.81</x:v>
      </x:c>
      <x:c r="J946" s="5" t="n">
        <x:v>58.5</x:v>
      </x:c>
      <x:c r="K946" s="5" t="n">
        <x:v>35.7</x:v>
      </x:c>
      <x:c r="L946" s="5" t="n">
        <x:v>1.41</x:v>
      </x:c>
      <x:c r="M946" s="1" t="n">
        <x:v>0</x:v>
      </x:c>
      <x:c r="N946" s="6" t="n">
        <x:v>0.895</x:v>
      </x:c>
      <x:c r="O946" s="1" t="str">
        <x:v>합격</x:v>
      </x:c>
      <x:c r="P946" s="1"/>
      <x:c r="Q946" s="1" t="n">
        <x:v>49</x:v>
      </x:c>
      <x:c r="R946" s="1" t="str">
        <x:v>N</x:v>
      </x:c>
      <x:c r="S946" s="1" t="n">
        <x:v>0</x:v>
      </x:c>
      <x:c r="T946" s="1" t="str">
        <x:v>합격</x:v>
      </x:c>
    </x:row>
    <x:row r="947" ht="22" customHeight="1">
      <x:c r="A947" s="1" t="str">
        <x:v>R00946</x:v>
      </x:c>
      <x:c r="B947" s="4" t="n">
        <x:v>46219.11189814815</x:v>
      </x:c>
      <x:c r="C947" s="1" t="str">
        <x:v>야간</x:v>
      </x:c>
      <x:c r="D947" s="1" t="str">
        <x:v>L1</x:v>
      </x:c>
      <x:c r="E947" s="1" t="str">
        <x:v>P1</x:v>
      </x:c>
      <x:c r="F947" s="1" t="str">
        <x:v>M03</x:v>
      </x:c>
      <x:c r="G947" s="1" t="str">
        <x:v>G04</x:v>
      </x:c>
      <x:c r="H947" s="5" t="n">
        <x:v>28.36</x:v>
      </x:c>
      <x:c r="I947" s="5" t="n">
        <x:v>5.9</x:v>
      </x:c>
      <x:c r="J947" s="5" t="n">
        <x:v>57.5</x:v>
      </x:c>
      <x:c r="K947" s="5" t="n">
        <x:v>39.8</x:v>
      </x:c>
      <x:c r="L947" s="5" t="n">
        <x:v>1.59</x:v>
      </x:c>
      <x:c r="M947" s="1" t="n">
        <x:v>0</x:v>
      </x:c>
      <x:c r="N947" s="6" t="n">
        <x:v>1.043</x:v>
      </x:c>
      <x:c r="O947" s="1" t="str">
        <x:v>합격</x:v>
      </x:c>
      <x:c r="P947" s="1"/>
      <x:c r="Q947" s="1" t="n">
        <x:v>44</x:v>
      </x:c>
      <x:c r="R947" s="1" t="str">
        <x:v>N</x:v>
      </x:c>
      <x:c r="S947" s="1" t="n">
        <x:v>0</x:v>
      </x:c>
      <x:c r="T947" s="1" t="str">
        <x:v>합격</x:v>
      </x:c>
    </x:row>
    <x:row r="948" ht="22" customHeight="1">
      <x:c r="A948" s="1" t="str">
        <x:v>R00947</x:v>
      </x:c>
      <x:c r="B948" s="4" t="n">
        <x:v>46220.46015046296</x:v>
      </x:c>
      <x:c r="C948" s="1" t="str">
        <x:v>주간</x:v>
      </x:c>
      <x:c r="D948" s="1" t="str">
        <x:v>L1</x:v>
      </x:c>
      <x:c r="E948" s="1" t="str">
        <x:v>P1</x:v>
      </x:c>
      <x:c r="F948" s="1" t="str">
        <x:v>M01</x:v>
      </x:c>
      <x:c r="G948" s="1" t="str">
        <x:v>G05</x:v>
      </x:c>
      <x:c r="H948" s="5" t="n">
        <x:v>28.32</x:v>
      </x:c>
      <x:c r="I948" s="5" t="n">
        <x:v>5.75</x:v>
      </x:c>
      <x:c r="J948" s="5" t="n">
        <x:v>49.6</x:v>
      </x:c>
      <x:c r="K948" s="5" t="n">
        <x:v>39.5</x:v>
      </x:c>
      <x:c r="L948" s="5" t="n">
        <x:v>2.49</x:v>
      </x:c>
      <x:c r="M948" s="1" t="n">
        <x:v>0</x:v>
      </x:c>
      <x:c r="N948" s="6" t="n">
        <x:v>0.977</x:v>
      </x:c>
      <x:c r="O948" s="1" t="str">
        <x:v>합격</x:v>
      </x:c>
      <x:c r="P948" s="1"/>
      <x:c r="Q948" s="1" t="n">
        <x:v>42</x:v>
      </x:c>
      <x:c r="R948" s="1" t="str">
        <x:v>N</x:v>
      </x:c>
      <x:c r="S948" s="1" t="n">
        <x:v>0</x:v>
      </x:c>
      <x:c r="T948" s="1" t="str">
        <x:v>합격</x:v>
      </x:c>
    </x:row>
    <x:row r="949" ht="22" customHeight="1">
      <x:c r="A949" s="1" t="str">
        <x:v>R00948</x:v>
      </x:c>
      <x:c r="B949" s="4" t="n">
        <x:v>46221.610613425924</x:v>
      </x:c>
      <x:c r="C949" s="1" t="str">
        <x:v>주간</x:v>
      </x:c>
      <x:c r="D949" s="1" t="str">
        <x:v>L2</x:v>
      </x:c>
      <x:c r="E949" s="1" t="str">
        <x:v>P2</x:v>
      </x:c>
      <x:c r="F949" s="1" t="str">
        <x:v>M02</x:v>
      </x:c>
      <x:c r="G949" s="1" t="str">
        <x:v>G06</x:v>
      </x:c>
      <x:c r="H949" s="5" t="n">
        <x:v>28.56</x:v>
      </x:c>
      <x:c r="I949" s="5" t="n">
        <x:v>5.94</x:v>
      </x:c>
      <x:c r="J949" s="5" t="n">
        <x:v>48.7</x:v>
      </x:c>
      <x:c r="K949" s="5" t="n">
        <x:v>38.3</x:v>
      </x:c>
      <x:c r="L949" s="5" t="n">
        <x:v>2.64</x:v>
      </x:c>
      <x:c r="M949" s="1" t="n">
        <x:v>0</x:v>
      </x:c>
      <x:c r="N949" s="6" t="n">
        <x:v>0.926</x:v>
      </x:c>
      <x:c r="O949" s="1" t="str">
        <x:v>합격</x:v>
      </x:c>
      <x:c r="P949" s="1"/>
      <x:c r="Q949" s="1" t="n">
        <x:v>45</x:v>
      </x:c>
      <x:c r="R949" s="1" t="str">
        <x:v>N</x:v>
      </x:c>
      <x:c r="S949" s="1" t="n">
        <x:v>0</x:v>
      </x:c>
      <x:c r="T949" s="1" t="str">
        <x:v>합격</x:v>
      </x:c>
    </x:row>
    <x:row r="950" ht="22" customHeight="1">
      <x:c r="A950" s="1" t="str">
        <x:v>R00949</x:v>
      </x:c>
      <x:c r="B950" s="4" t="n">
        <x:v>46222.92020833334</x:v>
      </x:c>
      <x:c r="C950" s="1" t="str">
        <x:v>야간</x:v>
      </x:c>
      <x:c r="D950" s="1" t="str">
        <x:v>L1</x:v>
      </x:c>
      <x:c r="E950" s="1" t="str">
        <x:v>P1</x:v>
      </x:c>
      <x:c r="F950" s="1" t="str">
        <x:v>M03</x:v>
      </x:c>
      <x:c r="G950" s="1" t="str">
        <x:v>G01</x:v>
      </x:c>
      <x:c r="H950" s="5" t="n">
        <x:v>33.64</x:v>
      </x:c>
      <x:c r="I950" s="5" t="n">
        <x:v>5.91</x:v>
      </x:c>
      <x:c r="J950" s="5" t="n">
        <x:v>54.6</x:v>
      </x:c>
      <x:c r="K950" s="5" t="n">
        <x:v>41</x:v>
      </x:c>
      <x:c r="L950" s="5" t="n">
        <x:v>1.84</x:v>
      </x:c>
      <x:c r="M950" s="1" t="n">
        <x:v>1</x:v>
      </x:c>
      <x:c r="N950" s="6" t="n">
        <x:v>0.973</x:v>
      </x:c>
      <x:c r="O950" s="1" t="str">
        <x:v>합격</x:v>
      </x:c>
      <x:c r="P950" s="1"/>
      <x:c r="Q950" s="1" t="n">
        <x:v>42</x:v>
      </x:c>
      <x:c r="R950" s="1" t="str">
        <x:v>N</x:v>
      </x:c>
      <x:c r="S950" s="1" t="n">
        <x:v>0</x:v>
      </x:c>
      <x:c r="T950" s="1" t="str">
        <x:v>합격</x:v>
      </x:c>
    </x:row>
    <x:row r="951" ht="22" customHeight="1">
      <x:c r="A951" s="1" t="str">
        <x:v>R00950</x:v>
      </x:c>
      <x:c r="B951" s="4" t="n">
        <x:v>46223.04769675926</x:v>
      </x:c>
      <x:c r="C951" s="1" t="str">
        <x:v>야간</x:v>
      </x:c>
      <x:c r="D951" s="1" t="str">
        <x:v>L2</x:v>
      </x:c>
      <x:c r="E951" s="1" t="str">
        <x:v>P2</x:v>
      </x:c>
      <x:c r="F951" s="1" t="str">
        <x:v>M01</x:v>
      </x:c>
      <x:c r="G951" s="1" t="str">
        <x:v>G02</x:v>
      </x:c>
      <x:c r="H951" s="5" t="n">
        <x:v>30.36</x:v>
      </x:c>
      <x:c r="I951" s="5" t="n">
        <x:v>5.71</x:v>
      </x:c>
      <x:c r="J951" s="5" t="n">
        <x:v>49.7</x:v>
      </x:c>
      <x:c r="K951" s="5" t="n">
        <x:v>36.1</x:v>
      </x:c>
      <x:c r="L951" s="5" t="n">
        <x:v>2.08</x:v>
      </x:c>
      <x:c r="M951" s="1" t="n">
        <x:v>0</x:v>
      </x:c>
      <x:c r="N951" s="6" t="n">
        <x:v>1.012</x:v>
      </x:c>
      <x:c r="O951" s="1" t="str">
        <x:v>합격</x:v>
      </x:c>
      <x:c r="P951" s="1"/>
      <x:c r="Q951" s="1" t="n">
        <x:v>35</x:v>
      </x:c>
      <x:c r="R951" s="1" t="str">
        <x:v>N</x:v>
      </x:c>
      <x:c r="S951" s="1" t="n">
        <x:v>0</x:v>
      </x:c>
      <x:c r="T951" s="1" t="str">
        <x:v>합격</x:v>
      </x:c>
    </x:row>
    <x:row r="952" ht="22" customHeight="1">
      <x:c r="A952" s="1" t="str">
        <x:v>R00951</x:v>
      </x:c>
      <x:c r="B952" s="4" t="n">
        <x:v>46224.538773148146</x:v>
      </x:c>
      <x:c r="C952" s="1" t="str">
        <x:v>주간</x:v>
      </x:c>
      <x:c r="D952" s="1" t="str">
        <x:v>L2</x:v>
      </x:c>
      <x:c r="E952" s="1" t="str">
        <x:v>P2</x:v>
      </x:c>
      <x:c r="F952" s="1" t="str">
        <x:v>M02</x:v>
      </x:c>
      <x:c r="G952" s="1" t="str">
        <x:v>G03</x:v>
      </x:c>
      <x:c r="H952" s="5"/>
      <x:c r="I952" s="5" t="n">
        <x:v>5.78</x:v>
      </x:c>
      <x:c r="J952" s="5" t="n">
        <x:v>47.4</x:v>
      </x:c>
      <x:c r="K952" s="5" t="n">
        <x:v>39.5</x:v>
      </x:c>
      <x:c r="L952" s="5" t="n">
        <x:v>2.4</x:v>
      </x:c>
      <x:c r="M952" s="1" t="n">
        <x:v>0</x:v>
      </x:c>
      <x:c r="N952" s="6" t="n">
        <x:v>0.903</x:v>
      </x:c>
      <x:c r="O952" s="1" t="str">
        <x:v>합격</x:v>
      </x:c>
      <x:c r="P952" s="1"/>
      <x:c r="Q952" s="1" t="n">
        <x:v>48</x:v>
      </x:c>
      <x:c r="R952" s="1" t="str">
        <x:v>N</x:v>
      </x:c>
      <x:c r="S952" s="1" t="n">
        <x:v>0</x:v>
      </x:c>
      <x:c r="T952" s="1" t="str">
        <x:v>합격</x:v>
      </x:c>
    </x:row>
    <x:row r="953" ht="22" customHeight="1">
      <x:c r="A953" s="1" t="str">
        <x:v>R00952</x:v>
      </x:c>
      <x:c r="B953" s="4" t="n">
        <x:v>46225.00114583333</x:v>
      </x:c>
      <x:c r="C953" s="1" t="str">
        <x:v>야간</x:v>
      </x:c>
      <x:c r="D953" s="1" t="str">
        <x:v>L1</x:v>
      </x:c>
      <x:c r="E953" s="1" t="str">
        <x:v>P1</x:v>
      </x:c>
      <x:c r="F953" s="1" t="str">
        <x:v>M03</x:v>
      </x:c>
      <x:c r="G953" s="1" t="str">
        <x:v>G04</x:v>
      </x:c>
      <x:c r="H953" s="5" t="n">
        <x:v>26.08</x:v>
      </x:c>
      <x:c r="I953" s="5" t="n">
        <x:v>5.92</x:v>
      </x:c>
      <x:c r="J953" s="5" t="n">
        <x:v>56.7</x:v>
      </x:c>
      <x:c r="K953" s="5" t="n">
        <x:v>35</x:v>
      </x:c>
      <x:c r="L953" s="5" t="n">
        <x:v>2.21</x:v>
      </x:c>
      <x:c r="M953" s="1" t="n">
        <x:v>1</x:v>
      </x:c>
      <x:c r="N953" s="6" t="n">
        <x:v>0.912</x:v>
      </x:c>
      <x:c r="O953" s="1" t="str">
        <x:v>합격</x:v>
      </x:c>
      <x:c r="P953" s="1"/>
      <x:c r="Q953" s="1" t="n">
        <x:v>47</x:v>
      </x:c>
      <x:c r="R953" s="1" t="str">
        <x:v>N</x:v>
      </x:c>
      <x:c r="S953" s="1" t="n">
        <x:v>0</x:v>
      </x:c>
      <x:c r="T953" s="1" t="str">
        <x:v>합격</x:v>
      </x:c>
    </x:row>
    <x:row r="954" ht="22" customHeight="1">
      <x:c r="A954" s="1" t="str">
        <x:v>R00953</x:v>
      </x:c>
      <x:c r="B954" s="4" t="n">
        <x:v>46226.127800925926</x:v>
      </x:c>
      <x:c r="C954" s="1" t="str">
        <x:v>야간</x:v>
      </x:c>
      <x:c r="D954" s="1" t="str">
        <x:v>L1</x:v>
      </x:c>
      <x:c r="E954" s="1" t="str">
        <x:v>P1</x:v>
      </x:c>
      <x:c r="F954" s="1" t="str">
        <x:v>M04</x:v>
      </x:c>
      <x:c r="G954" s="1" t="str">
        <x:v>G05</x:v>
      </x:c>
      <x:c r="H954" s="5" t="n">
        <x:v>29.44</x:v>
      </x:c>
      <x:c r="I954" s="5" t="n">
        <x:v>5.96</x:v>
      </x:c>
      <x:c r="J954" s="5" t="n">
        <x:v>54.3</x:v>
      </x:c>
      <x:c r="K954" s="5" t="n">
        <x:v>35.6</x:v>
      </x:c>
      <x:c r="L954" s="5" t="n">
        <x:v>2.16</x:v>
      </x:c>
      <x:c r="M954" s="1" t="n">
        <x:v>0</x:v>
      </x:c>
      <x:c r="N954" s="6" t="n">
        <x:v>1.021</x:v>
      </x:c>
      <x:c r="O954" s="1" t="str">
        <x:v>합격</x:v>
      </x:c>
      <x:c r="P954" s="1"/>
      <x:c r="Q954" s="1" t="n">
        <x:v>36</x:v>
      </x:c>
      <x:c r="R954" s="1" t="str">
        <x:v>N</x:v>
      </x:c>
      <x:c r="S954" s="1" t="n">
        <x:v>0</x:v>
      </x:c>
      <x:c r="T954" s="1" t="str">
        <x:v>합격</x:v>
      </x:c>
    </x:row>
    <x:row r="955" ht="22" customHeight="1">
      <x:c r="A955" s="1" t="str">
        <x:v>R00954</x:v>
      </x:c>
      <x:c r="B955" s="4" t="n">
        <x:v>46227.00449074074</x:v>
      </x:c>
      <x:c r="C955" s="1" t="str">
        <x:v>야간</x:v>
      </x:c>
      <x:c r="D955" s="1" t="str">
        <x:v>L1</x:v>
      </x:c>
      <x:c r="E955" s="1" t="str">
        <x:v>P1</x:v>
      </x:c>
      <x:c r="F955" s="1" t="str">
        <x:v>M04</x:v>
      </x:c>
      <x:c r="G955" s="1" t="str">
        <x:v>G06</x:v>
      </x:c>
      <x:c r="H955" s="5" t="n">
        <x:v>32.76</x:v>
      </x:c>
      <x:c r="I955" s="5" t="n">
        <x:v>5.66</x:v>
      </x:c>
      <x:c r="J955" s="5" t="n">
        <x:v>50.4</x:v>
      </x:c>
      <x:c r="K955" s="5" t="n">
        <x:v>39.6</x:v>
      </x:c>
      <x:c r="L955" s="5" t="n">
        <x:v>1.35</x:v>
      </x:c>
      <x:c r="M955" s="1" t="n">
        <x:v>0</x:v>
      </x:c>
      <x:c r="N955" s="6" t="n">
        <x:v>0.857</x:v>
      </x:c>
      <x:c r="O955" s="1" t="str">
        <x:v>합격</x:v>
      </x:c>
      <x:c r="P955" s="1"/>
      <x:c r="Q955" s="1" t="n">
        <x:v>46</x:v>
      </x:c>
      <x:c r="R955" s="1" t="str">
        <x:v>N</x:v>
      </x:c>
      <x:c r="S955" s="1" t="n">
        <x:v>0</x:v>
      </x:c>
      <x:c r="T955" s="1" t="str">
        <x:v>합격</x:v>
      </x:c>
    </x:row>
    <x:row r="956" ht="22" customHeight="1">
      <x:c r="A956" s="1" t="str">
        <x:v>R00955</x:v>
      </x:c>
      <x:c r="B956" s="4" t="n">
        <x:v>46228.60990740741</x:v>
      </x:c>
      <x:c r="C956" s="1" t="str">
        <x:v>주간</x:v>
      </x:c>
      <x:c r="D956" s="1" t="str">
        <x:v>L2</x:v>
      </x:c>
      <x:c r="E956" s="1" t="str">
        <x:v>P2</x:v>
      </x:c>
      <x:c r="F956" s="1" t="str">
        <x:v>M02</x:v>
      </x:c>
      <x:c r="G956" s="1" t="str">
        <x:v>G01</x:v>
      </x:c>
      <x:c r="H956" s="5" t="n">
        <x:v>30.67</x:v>
      </x:c>
      <x:c r="I956" s="5" t="n">
        <x:v>5.68</x:v>
      </x:c>
      <x:c r="J956" s="5" t="n">
        <x:v>47.5</x:v>
      </x:c>
      <x:c r="K956" s="5" t="n">
        <x:v>36.7</x:v>
      </x:c>
      <x:c r="L956" s="5" t="n">
        <x:v>1.36</x:v>
      </x:c>
      <x:c r="M956" s="1" t="n">
        <x:v>0</x:v>
      </x:c>
      <x:c r="N956" s="6" t="n">
        <x:v>0.961</x:v>
      </x:c>
      <x:c r="O956" s="1" t="str">
        <x:v>불합격</x:v>
      </x:c>
      <x:c r="P956" s="1" t="str">
        <x:v>체결불량</x:v>
      </x:c>
      <x:c r="Q956" s="1" t="n">
        <x:v>42</x:v>
      </x:c>
      <x:c r="R956" s="1" t="str">
        <x:v>Y</x:v>
      </x:c>
      <x:c r="S956" s="1" t="n">
        <x:v>8</x:v>
      </x:c>
      <x:c r="T956" s="1" t="str">
        <x:v>재작업후합격</x:v>
      </x:c>
    </x:row>
    <x:row r="957" ht="22" customHeight="1">
      <x:c r="A957" s="1" t="str">
        <x:v>R00956</x:v>
      </x:c>
      <x:c r="B957" s="4" t="n">
        <x:v>46229.52377314815</x:v>
      </x:c>
      <x:c r="C957" s="1" t="str">
        <x:v>주간</x:v>
      </x:c>
      <x:c r="D957" s="1" t="str">
        <x:v>L2</x:v>
      </x:c>
      <x:c r="E957" s="1" t="str">
        <x:v>P2</x:v>
      </x:c>
      <x:c r="F957" s="1" t="str">
        <x:v>M02</x:v>
      </x:c>
      <x:c r="G957" s="1" t="str">
        <x:v>G02</x:v>
      </x:c>
      <x:c r="H957" s="5" t="n">
        <x:v>30.28</x:v>
      </x:c>
      <x:c r="I957" s="5" t="n">
        <x:v>5.8</x:v>
      </x:c>
      <x:c r="J957" s="5" t="n">
        <x:v>48.6</x:v>
      </x:c>
      <x:c r="K957" s="5" t="n">
        <x:v>40.5</x:v>
      </x:c>
      <x:c r="L957" s="5" t="n">
        <x:v>1.67</x:v>
      </x:c>
      <x:c r="M957" s="1" t="n">
        <x:v>0</x:v>
      </x:c>
      <x:c r="N957" s="6" t="n">
        <x:v>0.994</x:v>
      </x:c>
      <x:c r="O957" s="1" t="str">
        <x:v>합격</x:v>
      </x:c>
      <x:c r="P957" s="1"/>
      <x:c r="Q957" s="1" t="n">
        <x:v>40</x:v>
      </x:c>
      <x:c r="R957" s="1" t="str">
        <x:v>N</x:v>
      </x:c>
      <x:c r="S957" s="1" t="n">
        <x:v>0</x:v>
      </x:c>
      <x:c r="T957" s="1" t="str">
        <x:v>합격</x:v>
      </x:c>
    </x:row>
    <x:row r="958" ht="22" customHeight="1">
      <x:c r="A958" s="1" t="str">
        <x:v>R00957</x:v>
      </x:c>
      <x:c r="B958" s="4" t="n">
        <x:v>46230.92611111111</x:v>
      </x:c>
      <x:c r="C958" s="1" t="str">
        <x:v>야간</x:v>
      </x:c>
      <x:c r="D958" s="1" t="str">
        <x:v>L2</x:v>
      </x:c>
      <x:c r="E958" s="1" t="str">
        <x:v>P2</x:v>
      </x:c>
      <x:c r="F958" s="1" t="str">
        <x:v>M02</x:v>
      </x:c>
      <x:c r="G958" s="1" t="str">
        <x:v>G03</x:v>
      </x:c>
      <x:c r="H958" s="5" t="n">
        <x:v>28.74</x:v>
      </x:c>
      <x:c r="I958" s="5" t="n">
        <x:v>5.71</x:v>
      </x:c>
      <x:c r="J958" s="5" t="n">
        <x:v>48.6</x:v>
      </x:c>
      <x:c r="K958" s="5" t="n">
        <x:v>38.7</x:v>
      </x:c>
      <x:c r="L958" s="5" t="n">
        <x:v>1.68</x:v>
      </x:c>
      <x:c r="M958" s="1" t="n">
        <x:v>1</x:v>
      </x:c>
      <x:c r="N958" s="6" t="n">
        <x:v>0.929</x:v>
      </x:c>
      <x:c r="O958" s="1" t="str">
        <x:v>합격</x:v>
      </x:c>
      <x:c r="P958" s="1"/>
      <x:c r="Q958" s="1" t="n">
        <x:v>38</x:v>
      </x:c>
      <x:c r="R958" s="1" t="str">
        <x:v>N</x:v>
      </x:c>
      <x:c r="S958" s="1" t="n">
        <x:v>0</x:v>
      </x:c>
      <x:c r="T958" s="1" t="str">
        <x:v>합격</x:v>
      </x:c>
    </x:row>
    <x:row r="959" ht="22" customHeight="1">
      <x:c r="A959" s="1" t="str">
        <x:v>R00958</x:v>
      </x:c>
      <x:c r="B959" s="4" t="n">
        <x:v>46231.59747685185</x:v>
      </x:c>
      <x:c r="C959" s="1" t="str">
        <x:v>주간</x:v>
      </x:c>
      <x:c r="D959" s="1" t="str">
        <x:v>L1</x:v>
      </x:c>
      <x:c r="E959" s="1" t="str">
        <x:v>P1</x:v>
      </x:c>
      <x:c r="F959" s="1" t="str">
        <x:v>M01</x:v>
      </x:c>
      <x:c r="G959" s="1" t="str">
        <x:v>G04</x:v>
      </x:c>
      <x:c r="H959" s="5" t="n">
        <x:v>28.51</x:v>
      </x:c>
      <x:c r="I959" s="5" t="n">
        <x:v>5.9</x:v>
      </x:c>
      <x:c r="J959" s="5" t="n">
        <x:v>51.7</x:v>
      </x:c>
      <x:c r="K959" s="5" t="n">
        <x:v>38.9</x:v>
      </x:c>
      <x:c r="L959" s="5" t="n">
        <x:v>1.5</x:v>
      </x:c>
      <x:c r="M959" s="1" t="n">
        <x:v>0</x:v>
      </x:c>
      <x:c r="N959" s="6" t="n">
        <x:v>0.854</x:v>
      </x:c>
      <x:c r="O959" s="1" t="str">
        <x:v>합격</x:v>
      </x:c>
      <x:c r="P959" s="1"/>
      <x:c r="Q959" s="1" t="n">
        <x:v>36</x:v>
      </x:c>
      <x:c r="R959" s="1" t="str">
        <x:v>N</x:v>
      </x:c>
      <x:c r="S959" s="1" t="n">
        <x:v>0</x:v>
      </x:c>
      <x:c r="T959" s="1" t="str">
        <x:v>합격</x:v>
      </x:c>
    </x:row>
    <x:row r="960" ht="22" customHeight="1">
      <x:c r="A960" s="1" t="str">
        <x:v>R00959</x:v>
      </x:c>
      <x:c r="B960" s="4" t="n">
        <x:v>46232.09519675926</x:v>
      </x:c>
      <x:c r="C960" s="1" t="str">
        <x:v>야간</x:v>
      </x:c>
      <x:c r="D960" s="1" t="str">
        <x:v>L2</x:v>
      </x:c>
      <x:c r="E960" s="1" t="str">
        <x:v>P2</x:v>
      </x:c>
      <x:c r="F960" s="1" t="str">
        <x:v>M01</x:v>
      </x:c>
      <x:c r="G960" s="1" t="str">
        <x:v>G05</x:v>
      </x:c>
      <x:c r="H960" s="5" t="n">
        <x:v>29.24</x:v>
      </x:c>
      <x:c r="I960" s="5" t="n">
        <x:v>5.98</x:v>
      </x:c>
      <x:c r="J960" s="5" t="n">
        <x:v>55.4</x:v>
      </x:c>
      <x:c r="K960" s="5" t="n">
        <x:v>37.2</x:v>
      </x:c>
      <x:c r="L960" s="5" t="n">
        <x:v>1.8</x:v>
      </x:c>
      <x:c r="M960" s="1" t="n">
        <x:v>1</x:v>
      </x:c>
      <x:c r="N960" s="6" t="n">
        <x:v>0.99</x:v>
      </x:c>
      <x:c r="O960" s="1" t="str">
        <x:v>합격</x:v>
      </x:c>
      <x:c r="P960" s="1"/>
      <x:c r="Q960" s="1" t="n">
        <x:v>40</x:v>
      </x:c>
      <x:c r="R960" s="1" t="str">
        <x:v>N</x:v>
      </x:c>
      <x:c r="S960" s="1" t="n">
        <x:v>0</x:v>
      </x:c>
      <x:c r="T960" s="1" t="str">
        <x:v>합격</x:v>
      </x:c>
    </x:row>
    <x:row r="961" ht="22" customHeight="1">
      <x:c r="A961" s="1" t="str">
        <x:v>R00960</x:v>
      </x:c>
      <x:c r="B961" s="4" t="n">
        <x:v>46233.04550925926</x:v>
      </x:c>
      <x:c r="C961" s="1" t="str">
        <x:v>야간</x:v>
      </x:c>
      <x:c r="D961" s="1" t="str">
        <x:v>L1</x:v>
      </x:c>
      <x:c r="E961" s="1" t="str">
        <x:v>P1</x:v>
      </x:c>
      <x:c r="F961" s="1" t="str">
        <x:v>M04</x:v>
      </x:c>
      <x:c r="G961" s="1" t="str">
        <x:v>G06</x:v>
      </x:c>
      <x:c r="H961" s="5" t="n">
        <x:v>27.64</x:v>
      </x:c>
      <x:c r="I961" s="5" t="n">
        <x:v>5.75</x:v>
      </x:c>
      <x:c r="J961" s="5" t="n">
        <x:v>55.7</x:v>
      </x:c>
      <x:c r="K961" s="5" t="n">
        <x:v>41.7</x:v>
      </x:c>
      <x:c r="L961" s="5" t="n">
        <x:v>1.85</x:v>
      </x:c>
      <x:c r="M961" s="1" t="n">
        <x:v>0</x:v>
      </x:c>
      <x:c r="N961" s="6" t="n">
        <x:v>0.853</x:v>
      </x:c>
      <x:c r="O961" s="1" t="str">
        <x:v>합격</x:v>
      </x:c>
      <x:c r="P961" s="1"/>
      <x:c r="Q961" s="1" t="n">
        <x:v>37</x:v>
      </x:c>
      <x:c r="R961" s="1" t="str">
        <x:v>N</x:v>
      </x:c>
      <x:c r="S961" s="1" t="n">
        <x:v>0</x:v>
      </x:c>
      <x:c r="T961" s="1" t="str">
        <x:v>합격</x:v>
      </x:c>
    </x:row>
    <x:row r="962" ht="22" customHeight="1">
      <x:c r="A962" s="1" t="str">
        <x:v>R00961</x:v>
      </x:c>
      <x:c r="B962" s="4" t="n">
        <x:v>46234.43685185185</x:v>
      </x:c>
      <x:c r="C962" s="1" t="str">
        <x:v>주간</x:v>
      </x:c>
      <x:c r="D962" s="1" t="str">
        <x:v>L2</x:v>
      </x:c>
      <x:c r="E962" s="1" t="str">
        <x:v>P2</x:v>
      </x:c>
      <x:c r="F962" s="1" t="str">
        <x:v>M04</x:v>
      </x:c>
      <x:c r="G962" s="1" t="str">
        <x:v>G01</x:v>
      </x:c>
      <x:c r="H962" s="5" t="n">
        <x:v>32.7</x:v>
      </x:c>
      <x:c r="I962" s="5" t="n">
        <x:v>5.85</x:v>
      </x:c>
      <x:c r="J962" s="5" t="n">
        <x:v>48.8</x:v>
      </x:c>
      <x:c r="K962" s="5" t="n">
        <x:v>35.8</x:v>
      </x:c>
      <x:c r="L962" s="5" t="n">
        <x:v>1.82</x:v>
      </x:c>
      <x:c r="M962" s="1" t="n">
        <x:v>1</x:v>
      </x:c>
      <x:c r="N962" s="6" t="n">
        <x:v>0.899</x:v>
      </x:c>
      <x:c r="O962" s="1" t="str">
        <x:v>합격</x:v>
      </x:c>
      <x:c r="P962" s="1"/>
      <x:c r="Q962" s="1" t="n">
        <x:v>39</x:v>
      </x:c>
      <x:c r="R962" s="1" t="str">
        <x:v>N</x:v>
      </x:c>
      <x:c r="S962" s="1" t="n">
        <x:v>0</x:v>
      </x:c>
      <x:c r="T962" s="1" t="str">
        <x:v>합격</x:v>
      </x:c>
    </x:row>
    <x:row r="963" ht="22" customHeight="1">
      <x:c r="A963" s="1" t="str">
        <x:v>R00962</x:v>
      </x:c>
      <x:c r="B963" s="4" t="n">
        <x:v>46204.52076388889</x:v>
      </x:c>
      <x:c r="C963" s="1" t="str">
        <x:v>주간</x:v>
      </x:c>
      <x:c r="D963" s="1" t="str">
        <x:v>L1</x:v>
      </x:c>
      <x:c r="E963" s="1" t="str">
        <x:v>P1</x:v>
      </x:c>
      <x:c r="F963" s="1" t="str">
        <x:v>M01</x:v>
      </x:c>
      <x:c r="G963" s="1" t="str">
        <x:v>G02</x:v>
      </x:c>
      <x:c r="H963" s="5" t="n">
        <x:v>30.94</x:v>
      </x:c>
      <x:c r="I963" s="5" t="n">
        <x:v>5.68</x:v>
      </x:c>
      <x:c r="J963" s="5" t="n">
        <x:v>47.4</x:v>
      </x:c>
      <x:c r="K963" s="5" t="n">
        <x:v>42</x:v>
      </x:c>
      <x:c r="L963" s="5" t="n">
        <x:v>1.9</x:v>
      </x:c>
      <x:c r="M963" s="1" t="n">
        <x:v>0</x:v>
      </x:c>
      <x:c r="N963" s="6" t="n">
        <x:v>0.943</x:v>
      </x:c>
      <x:c r="O963" s="1" t="str">
        <x:v>합격</x:v>
      </x:c>
      <x:c r="P963" s="1"/>
      <x:c r="Q963" s="1" t="n">
        <x:v>49</x:v>
      </x:c>
      <x:c r="R963" s="1" t="str">
        <x:v>N</x:v>
      </x:c>
      <x:c r="S963" s="1" t="n">
        <x:v>0</x:v>
      </x:c>
      <x:c r="T963" s="1" t="str">
        <x:v>합격</x:v>
      </x:c>
    </x:row>
    <x:row r="964" ht="22" customHeight="1">
      <x:c r="A964" s="1" t="str">
        <x:v>R00963</x:v>
      </x:c>
      <x:c r="B964" s="4" t="n">
        <x:v>46205.51293981481</x:v>
      </x:c>
      <x:c r="C964" s="1" t="str">
        <x:v>주간</x:v>
      </x:c>
      <x:c r="D964" s="1" t="str">
        <x:v>L1</x:v>
      </x:c>
      <x:c r="E964" s="1" t="str">
        <x:v>P1</x:v>
      </x:c>
      <x:c r="F964" s="1" t="str">
        <x:v>M01</x:v>
      </x:c>
      <x:c r="G964" s="1" t="str">
        <x:v>G03</x:v>
      </x:c>
      <x:c r="H964" s="5" t="n">
        <x:v>31.67</x:v>
      </x:c>
      <x:c r="I964" s="5" t="n">
        <x:v>5.99</x:v>
      </x:c>
      <x:c r="J964" s="5" t="n">
        <x:v>51.8</x:v>
      </x:c>
      <x:c r="K964" s="5" t="n">
        <x:v>35.2</x:v>
      </x:c>
      <x:c r="L964" s="5" t="n">
        <x:v>2.24</x:v>
      </x:c>
      <x:c r="M964" s="1" t="n">
        <x:v>1</x:v>
      </x:c>
      <x:c r="N964" s="6" t="n">
        <x:v>1.039</x:v>
      </x:c>
      <x:c r="O964" s="1" t="str">
        <x:v>합격</x:v>
      </x:c>
      <x:c r="P964" s="1"/>
      <x:c r="Q964" s="1" t="n">
        <x:v>49</x:v>
      </x:c>
      <x:c r="R964" s="1" t="str">
        <x:v>N</x:v>
      </x:c>
      <x:c r="S964" s="1" t="n">
        <x:v>0</x:v>
      </x:c>
      <x:c r="T964" s="1" t="str">
        <x:v>합격</x:v>
      </x:c>
    </x:row>
    <x:row r="965" ht="22" customHeight="1">
      <x:c r="A965" s="1" t="str">
        <x:v>R00964</x:v>
      </x:c>
      <x:c r="B965" s="4" t="n">
        <x:v>46206.0078587963</x:v>
      </x:c>
      <x:c r="C965" s="1" t="str">
        <x:v>야간</x:v>
      </x:c>
      <x:c r="D965" s="1" t="str">
        <x:v>L1</x:v>
      </x:c>
      <x:c r="E965" s="1" t="str">
        <x:v>P1</x:v>
      </x:c>
      <x:c r="F965" s="1" t="str">
        <x:v>M03</x:v>
      </x:c>
      <x:c r="G965" s="1" t="str">
        <x:v>G04</x:v>
      </x:c>
      <x:c r="H965" s="5" t="n">
        <x:v>27.93</x:v>
      </x:c>
      <x:c r="I965" s="5" t="n">
        <x:v>5.62</x:v>
      </x:c>
      <x:c r="J965" s="5" t="n">
        <x:v>58.1</x:v>
      </x:c>
      <x:c r="K965" s="5" t="n">
        <x:v>39.9</x:v>
      </x:c>
      <x:c r="L965" s="5" t="n">
        <x:v>1.72</x:v>
      </x:c>
      <x:c r="M965" s="1" t="n">
        <x:v>0</x:v>
      </x:c>
      <x:c r="N965" s="6" t="n">
        <x:v>0.865</x:v>
      </x:c>
      <x:c r="O965" s="1" t="str">
        <x:v>합격</x:v>
      </x:c>
      <x:c r="P965" s="1"/>
      <x:c r="Q965" s="1" t="n">
        <x:v>48</x:v>
      </x:c>
      <x:c r="R965" s="1" t="str">
        <x:v>N</x:v>
      </x:c>
      <x:c r="S965" s="1" t="n">
        <x:v>0</x:v>
      </x:c>
      <x:c r="T965" s="1" t="str">
        <x:v>합격</x:v>
      </x:c>
    </x:row>
    <x:row r="966" ht="22" customHeight="1">
      <x:c r="A966" s="1" t="str">
        <x:v>R00965</x:v>
      </x:c>
      <x:c r="B966" s="4" t="n">
        <x:v>46207.119097222225</x:v>
      </x:c>
      <x:c r="C966" s="1" t="str">
        <x:v>야간</x:v>
      </x:c>
      <x:c r="D966" s="1" t="str">
        <x:v>L2</x:v>
      </x:c>
      <x:c r="E966" s="1" t="str">
        <x:v>P2</x:v>
      </x:c>
      <x:c r="F966" s="1" t="str">
        <x:v>M04</x:v>
      </x:c>
      <x:c r="G966" s="1" t="str">
        <x:v>G05</x:v>
      </x:c>
      <x:c r="H966" s="5" t="n">
        <x:v>33.88</x:v>
      </x:c>
      <x:c r="I966" s="5" t="n">
        <x:v>5.78</x:v>
      </x:c>
      <x:c r="J966" s="5" t="n">
        <x:v>58.8</x:v>
      </x:c>
      <x:c r="K966" s="5" t="n">
        <x:v>39.6</x:v>
      </x:c>
      <x:c r="L966" s="5" t="n">
        <x:v>1.75</x:v>
      </x:c>
      <x:c r="M966" s="1" t="n">
        <x:v>1</x:v>
      </x:c>
      <x:c r="N966" s="6" t="n">
        <x:v>0.864</x:v>
      </x:c>
      <x:c r="O966" s="1" t="str">
        <x:v>불합격</x:v>
      </x:c>
      <x:c r="P966" s="1" t="str">
        <x:v>치수불량</x:v>
      </x:c>
      <x:c r="Q966" s="1" t="n">
        <x:v>48</x:v>
      </x:c>
      <x:c r="R966" s="1" t="str">
        <x:v>Y</x:v>
      </x:c>
      <x:c r="S966" s="1" t="n">
        <x:v>8</x:v>
      </x:c>
      <x:c r="T966" s="1" t="str">
        <x:v>재작업후합격</x:v>
      </x:c>
    </x:row>
    <x:row r="967" ht="22" customHeight="1">
      <x:c r="A967" s="1" t="str">
        <x:v>R00966</x:v>
      </x:c>
      <x:c r="B967" s="4" t="n">
        <x:v>46208.614537037036</x:v>
      </x:c>
      <x:c r="C967" s="1" t="str">
        <x:v>주간</x:v>
      </x:c>
      <x:c r="D967" s="1" t="str">
        <x:v>L1</x:v>
      </x:c>
      <x:c r="E967" s="1" t="str">
        <x:v>P1</x:v>
      </x:c>
      <x:c r="F967" s="1" t="str">
        <x:v>M03</x:v>
      </x:c>
      <x:c r="G967" s="1" t="str">
        <x:v>G06</x:v>
      </x:c>
      <x:c r="H967" s="5" t="n">
        <x:v>30.88</x:v>
      </x:c>
      <x:c r="I967" s="5" t="n">
        <x:v>5.75</x:v>
      </x:c>
      <x:c r="J967" s="5" t="n">
        <x:v>57.3</x:v>
      </x:c>
      <x:c r="K967" s="5" t="n">
        <x:v>40.9</x:v>
      </x:c>
      <x:c r="L967" s="5" t="n">
        <x:v>1.83</x:v>
      </x:c>
      <x:c r="M967" s="1" t="n">
        <x:v>1</x:v>
      </x:c>
      <x:c r="N967" s="6" t="n">
        <x:v>0.948</x:v>
      </x:c>
      <x:c r="O967" s="1" t="str">
        <x:v>합격</x:v>
      </x:c>
      <x:c r="P967" s="1"/>
      <x:c r="Q967" s="1" t="n">
        <x:v>46</x:v>
      </x:c>
      <x:c r="R967" s="1" t="str">
        <x:v>N</x:v>
      </x:c>
      <x:c r="S967" s="1" t="n">
        <x:v>0</x:v>
      </x:c>
      <x:c r="T967" s="1" t="str">
        <x:v>합격</x:v>
      </x:c>
    </x:row>
    <x:row r="968" ht="22" customHeight="1">
      <x:c r="A968" s="1" t="str">
        <x:v>R00967</x:v>
      </x:c>
      <x:c r="B968" s="4" t="n">
        <x:v>46209.35269675926</x:v>
      </x:c>
      <x:c r="C968" s="1" t="str">
        <x:v>주간</x:v>
      </x:c>
      <x:c r="D968" s="1" t="str">
        <x:v>L1</x:v>
      </x:c>
      <x:c r="E968" s="1" t="str">
        <x:v>P1</x:v>
      </x:c>
      <x:c r="F968" s="1" t="str">
        <x:v>M01</x:v>
      </x:c>
      <x:c r="G968" s="1" t="str">
        <x:v>G01</x:v>
      </x:c>
      <x:c r="H968" s="5" t="n">
        <x:v>30.1</x:v>
      </x:c>
      <x:c r="I968" s="5" t="n">
        <x:v>5.91</x:v>
      </x:c>
      <x:c r="J968" s="5" t="n">
        <x:v>51.1</x:v>
      </x:c>
      <x:c r="K968" s="5" t="n">
        <x:v>39.2</x:v>
      </x:c>
      <x:c r="L968" s="5"/>
      <x:c r="M968" s="1" t="n">
        <x:v>1</x:v>
      </x:c>
      <x:c r="N968" s="6" t="n">
        <x:v>1.034</x:v>
      </x:c>
      <x:c r="O968" s="1" t="str">
        <x:v>합격</x:v>
      </x:c>
      <x:c r="P968" s="1"/>
      <x:c r="Q968" s="1" t="n">
        <x:v>37</x:v>
      </x:c>
      <x:c r="R968" s="1" t="str">
        <x:v>N</x:v>
      </x:c>
      <x:c r="S968" s="1" t="n">
        <x:v>0</x:v>
      </x:c>
      <x:c r="T968" s="1" t="str">
        <x:v>합격</x:v>
      </x:c>
    </x:row>
    <x:row r="969" ht="22" customHeight="1">
      <x:c r="A969" s="1" t="str">
        <x:v>R00968</x:v>
      </x:c>
      <x:c r="B969" s="4" t="n">
        <x:v>46210.469513888886</x:v>
      </x:c>
      <x:c r="C969" s="1" t="str">
        <x:v>주간</x:v>
      </x:c>
      <x:c r="D969" s="1" t="str">
        <x:v>L1</x:v>
      </x:c>
      <x:c r="E969" s="1" t="str">
        <x:v>P1</x:v>
      </x:c>
      <x:c r="F969" s="1" t="str">
        <x:v>M01</x:v>
      </x:c>
      <x:c r="G969" s="1" t="str">
        <x:v>G02</x:v>
      </x:c>
      <x:c r="H969" s="5" t="n">
        <x:v>30.77</x:v>
      </x:c>
      <x:c r="I969" s="5" t="n">
        <x:v>5.63</x:v>
      </x:c>
      <x:c r="J969" s="5" t="n">
        <x:v>50.1</x:v>
      </x:c>
      <x:c r="K969" s="5" t="n">
        <x:v>36.2</x:v>
      </x:c>
      <x:c r="L969" s="5" t="n">
        <x:v>1.39</x:v>
      </x:c>
      <x:c r="M969" s="1" t="n">
        <x:v>0</x:v>
      </x:c>
      <x:c r="N969" s="6" t="n">
        <x:v>0.877</x:v>
      </x:c>
      <x:c r="O969" s="1" t="str">
        <x:v>합격</x:v>
      </x:c>
      <x:c r="P969" s="1"/>
      <x:c r="Q969" s="1" t="n">
        <x:v>46</x:v>
      </x:c>
      <x:c r="R969" s="1" t="str">
        <x:v>N</x:v>
      </x:c>
      <x:c r="S969" s="1" t="n">
        <x:v>0</x:v>
      </x:c>
      <x:c r="T969" s="1" t="str">
        <x:v>합격</x:v>
      </x:c>
    </x:row>
    <x:row r="970" ht="22" customHeight="1">
      <x:c r="A970" s="1" t="str">
        <x:v>R00969</x:v>
      </x:c>
      <x:c r="B970" s="4" t="n">
        <x:v>46211.9766087963</x:v>
      </x:c>
      <x:c r="C970" s="1" t="str">
        <x:v>야간</x:v>
      </x:c>
      <x:c r="D970" s="1" t="str">
        <x:v>L1</x:v>
      </x:c>
      <x:c r="E970" s="1" t="str">
        <x:v>P1</x:v>
      </x:c>
      <x:c r="F970" s="1" t="str">
        <x:v>M03</x:v>
      </x:c>
      <x:c r="G970" s="1" t="str">
        <x:v>G03</x:v>
      </x:c>
      <x:c r="H970" s="5" t="n">
        <x:v>27.85</x:v>
      </x:c>
      <x:c r="I970" s="5" t="n">
        <x:v>5.76</x:v>
      </x:c>
      <x:c r="J970" s="5" t="n">
        <x:v>53.7</x:v>
      </x:c>
      <x:c r="K970" s="5" t="n">
        <x:v>38.3</x:v>
      </x:c>
      <x:c r="L970" s="5" t="n">
        <x:v>2.52</x:v>
      </x:c>
      <x:c r="M970" s="1" t="n">
        <x:v>1</x:v>
      </x:c>
      <x:c r="N970" s="6" t="n">
        <x:v>0.87</x:v>
      </x:c>
      <x:c r="O970" s="1" t="str">
        <x:v>합격</x:v>
      </x:c>
      <x:c r="P970" s="1"/>
      <x:c r="Q970" s="1" t="n">
        <x:v>48</x:v>
      </x:c>
      <x:c r="R970" s="1" t="str">
        <x:v>N</x:v>
      </x:c>
      <x:c r="S970" s="1" t="n">
        <x:v>0</x:v>
      </x:c>
      <x:c r="T970" s="1" t="str">
        <x:v>합격</x:v>
      </x:c>
    </x:row>
    <x:row r="971" ht="22" customHeight="1">
      <x:c r="A971" s="1" t="str">
        <x:v>R00970</x:v>
      </x:c>
      <x:c r="B971" s="4" t="n">
        <x:v>46212.33761574074</x:v>
      </x:c>
      <x:c r="C971" s="1" t="str">
        <x:v>주간</x:v>
      </x:c>
      <x:c r="D971" s="1" t="str">
        <x:v>L2</x:v>
      </x:c>
      <x:c r="E971" s="1" t="str">
        <x:v>P2</x:v>
      </x:c>
      <x:c r="F971" s="1" t="str">
        <x:v>M02</x:v>
      </x:c>
      <x:c r="G971" s="1" t="str">
        <x:v>G04</x:v>
      </x:c>
      <x:c r="H971" s="5" t="n">
        <x:v>29.02</x:v>
      </x:c>
      <x:c r="I971" s="5" t="n">
        <x:v>5.92</x:v>
      </x:c>
      <x:c r="J971" s="5" t="n">
        <x:v>56.3</x:v>
      </x:c>
      <x:c r="K971" s="5" t="n">
        <x:v>38</x:v>
      </x:c>
      <x:c r="L971" s="5" t="n">
        <x:v>2.57</x:v>
      </x:c>
      <x:c r="M971" s="1" t="n">
        <x:v>0</x:v>
      </x:c>
      <x:c r="N971" s="6" t="n">
        <x:v>1.037</x:v>
      </x:c>
      <x:c r="O971" s="1" t="str">
        <x:v>합격</x:v>
      </x:c>
      <x:c r="P971" s="1"/>
      <x:c r="Q971" s="1" t="n">
        <x:v>45</x:v>
      </x:c>
      <x:c r="R971" s="1" t="str">
        <x:v>N</x:v>
      </x:c>
      <x:c r="S971" s="1" t="n">
        <x:v>0</x:v>
      </x:c>
      <x:c r="T971" s="1" t="str">
        <x:v>합격</x:v>
      </x:c>
    </x:row>
    <x:row r="972" ht="22" customHeight="1">
      <x:c r="A972" s="1" t="str">
        <x:v>R00971</x:v>
      </x:c>
      <x:c r="B972" s="4" t="n">
        <x:v>46213.045486111114</x:v>
      </x:c>
      <x:c r="C972" s="1" t="str">
        <x:v>야간</x:v>
      </x:c>
      <x:c r="D972" s="1" t="str">
        <x:v>L2</x:v>
      </x:c>
      <x:c r="E972" s="1" t="str">
        <x:v>P2</x:v>
      </x:c>
      <x:c r="F972" s="1" t="str">
        <x:v>M01</x:v>
      </x:c>
      <x:c r="G972" s="1" t="str">
        <x:v>G05</x:v>
      </x:c>
      <x:c r="H972" s="5" t="n">
        <x:v>30.21</x:v>
      </x:c>
      <x:c r="I972" s="5" t="n">
        <x:v>5.98</x:v>
      </x:c>
      <x:c r="J972" s="5" t="n">
        <x:v>58.4</x:v>
      </x:c>
      <x:c r="K972" s="5" t="n">
        <x:v>36.8</x:v>
      </x:c>
      <x:c r="L972" s="5" t="n">
        <x:v>2.18</x:v>
      </x:c>
      <x:c r="M972" s="1" t="n">
        <x:v>0</x:v>
      </x:c>
      <x:c r="N972" s="6" t="n">
        <x:v>0.93</x:v>
      </x:c>
      <x:c r="O972" s="1" t="str">
        <x:v>불합격</x:v>
      </x:c>
      <x:c r="P972" s="1" t="str">
        <x:v>체결불량</x:v>
      </x:c>
      <x:c r="Q972" s="1" t="n">
        <x:v>42</x:v>
      </x:c>
      <x:c r="R972" s="1" t="str">
        <x:v>Y</x:v>
      </x:c>
      <x:c r="S972" s="1" t="n">
        <x:v>8</x:v>
      </x:c>
      <x:c r="T972" s="1" t="str">
        <x:v>재작업후합격</x:v>
      </x:c>
    </x:row>
    <x:row r="973" ht="22" customHeight="1">
      <x:c r="A973" s="1" t="str">
        <x:v>R00972</x:v>
      </x:c>
      <x:c r="B973" s="4" t="n">
        <x:v>46214.62353009259</x:v>
      </x:c>
      <x:c r="C973" s="1" t="str">
        <x:v>주간</x:v>
      </x:c>
      <x:c r="D973" s="1" t="str">
        <x:v>L1</x:v>
      </x:c>
      <x:c r="E973" s="1" t="str">
        <x:v>P1</x:v>
      </x:c>
      <x:c r="F973" s="1" t="str">
        <x:v>M03</x:v>
      </x:c>
      <x:c r="G973" s="1" t="str">
        <x:v>G06</x:v>
      </x:c>
      <x:c r="H973" s="5" t="n">
        <x:v>32.76</x:v>
      </x:c>
      <x:c r="I973" s="5" t="n">
        <x:v>5.75</x:v>
      </x:c>
      <x:c r="J973" s="5" t="n">
        <x:v>55.1</x:v>
      </x:c>
      <x:c r="K973" s="5" t="n">
        <x:v>35.1</x:v>
      </x:c>
      <x:c r="L973" s="5" t="n">
        <x:v>1.39</x:v>
      </x:c>
      <x:c r="M973" s="1" t="n">
        <x:v>0</x:v>
      </x:c>
      <x:c r="N973" s="6" t="n">
        <x:v>1.034</x:v>
      </x:c>
      <x:c r="O973" s="1" t="str">
        <x:v>합격</x:v>
      </x:c>
      <x:c r="P973" s="1"/>
      <x:c r="Q973" s="1" t="n">
        <x:v>45</x:v>
      </x:c>
      <x:c r="R973" s="1" t="str">
        <x:v>N</x:v>
      </x:c>
      <x:c r="S973" s="1" t="n">
        <x:v>0</x:v>
      </x:c>
      <x:c r="T973" s="1" t="str">
        <x:v>합격</x:v>
      </x:c>
    </x:row>
    <x:row r="974" ht="22" customHeight="1">
      <x:c r="A974" s="1" t="str">
        <x:v>R00973</x:v>
      </x:c>
      <x:c r="B974" s="4" t="n">
        <x:v>46215.461701388886</x:v>
      </x:c>
      <x:c r="C974" s="1" t="str">
        <x:v>주간</x:v>
      </x:c>
      <x:c r="D974" s="1" t="str">
        <x:v>L1</x:v>
      </x:c>
      <x:c r="E974" s="1" t="str">
        <x:v>P1</x:v>
      </x:c>
      <x:c r="F974" s="1" t="str">
        <x:v>M01</x:v>
      </x:c>
      <x:c r="G974" s="1" t="str">
        <x:v>G01</x:v>
      </x:c>
      <x:c r="H974" s="5" t="n">
        <x:v>32.28</x:v>
      </x:c>
      <x:c r="I974" s="5" t="n">
        <x:v>5.86</x:v>
      </x:c>
      <x:c r="J974" s="5" t="n">
        <x:v>51.8</x:v>
      </x:c>
      <x:c r="K974" s="5" t="n">
        <x:v>37.5</x:v>
      </x:c>
      <x:c r="L974" s="5" t="n">
        <x:v>2.04</x:v>
      </x:c>
      <x:c r="M974" s="1" t="n">
        <x:v>1</x:v>
      </x:c>
      <x:c r="N974" s="6" t="n">
        <x:v>1.017</x:v>
      </x:c>
      <x:c r="O974" s="1" t="str">
        <x:v>합격</x:v>
      </x:c>
      <x:c r="P974" s="1"/>
      <x:c r="Q974" s="1" t="n">
        <x:v>48</x:v>
      </x:c>
      <x:c r="R974" s="1" t="str">
        <x:v>N</x:v>
      </x:c>
      <x:c r="S974" s="1" t="n">
        <x:v>0</x:v>
      </x:c>
      <x:c r="T974" s="1" t="str">
        <x:v>합격</x:v>
      </x:c>
    </x:row>
    <x:row r="975" ht="22" customHeight="1">
      <x:c r="A975" s="1" t="str">
        <x:v>R00974</x:v>
      </x:c>
      <x:c r="B975" s="4" t="n">
        <x:v>46216.87666666666</x:v>
      </x:c>
      <x:c r="C975" s="1" t="str">
        <x:v>야간</x:v>
      </x:c>
      <x:c r="D975" s="1" t="str">
        <x:v>L2</x:v>
      </x:c>
      <x:c r="E975" s="1" t="str">
        <x:v>P2</x:v>
      </x:c>
      <x:c r="F975" s="1" t="str">
        <x:v>M02</x:v>
      </x:c>
      <x:c r="G975" s="1" t="str">
        <x:v>G02</x:v>
      </x:c>
      <x:c r="H975" s="5" t="n">
        <x:v>32.74</x:v>
      </x:c>
      <x:c r="I975" s="5" t="n">
        <x:v>5.73</x:v>
      </x:c>
      <x:c r="J975" s="5" t="n">
        <x:v>54.3</x:v>
      </x:c>
      <x:c r="K975" s="5" t="n">
        <x:v>38.6</x:v>
      </x:c>
      <x:c r="L975" s="5" t="n">
        <x:v>1.79</x:v>
      </x:c>
      <x:c r="M975" s="1" t="n">
        <x:v>0</x:v>
      </x:c>
      <x:c r="N975" s="6" t="n">
        <x:v>1.016</x:v>
      </x:c>
      <x:c r="O975" s="1" t="str">
        <x:v>합격</x:v>
      </x:c>
      <x:c r="P975" s="1"/>
      <x:c r="Q975" s="1" t="n">
        <x:v>47</x:v>
      </x:c>
      <x:c r="R975" s="1" t="str">
        <x:v>N</x:v>
      </x:c>
      <x:c r="S975" s="1" t="n">
        <x:v>0</x:v>
      </x:c>
      <x:c r="T975" s="1" t="str">
        <x:v>합격</x:v>
      </x:c>
    </x:row>
    <x:row r="976" ht="22" customHeight="1">
      <x:c r="A976" s="1" t="str">
        <x:v>R00975</x:v>
      </x:c>
      <x:c r="B976" s="4" t="n">
        <x:v>46217.59233796296</x:v>
      </x:c>
      <x:c r="C976" s="1" t="str">
        <x:v>주간</x:v>
      </x:c>
      <x:c r="D976" s="1" t="str">
        <x:v>L2</x:v>
      </x:c>
      <x:c r="E976" s="1" t="str">
        <x:v>P2</x:v>
      </x:c>
      <x:c r="F976" s="1" t="str">
        <x:v>M02</x:v>
      </x:c>
      <x:c r="G976" s="1" t="str">
        <x:v>G03</x:v>
      </x:c>
      <x:c r="H976" s="5" t="n">
        <x:v>30.21</x:v>
      </x:c>
      <x:c r="I976" s="5" t="n">
        <x:v>5.72</x:v>
      </x:c>
      <x:c r="J976" s="5" t="n">
        <x:v>57.7</x:v>
      </x:c>
      <x:c r="K976" s="5" t="n">
        <x:v>40.8</x:v>
      </x:c>
      <x:c r="L976" s="5" t="n">
        <x:v>1.57</x:v>
      </x:c>
      <x:c r="M976" s="1" t="n">
        <x:v>0</x:v>
      </x:c>
      <x:c r="N976" s="6" t="n">
        <x:v>0.925</x:v>
      </x:c>
      <x:c r="O976" s="1" t="str">
        <x:v>합격</x:v>
      </x:c>
      <x:c r="P976" s="1"/>
      <x:c r="Q976" s="1" t="n">
        <x:v>42</x:v>
      </x:c>
      <x:c r="R976" s="1" t="str">
        <x:v>N</x:v>
      </x:c>
      <x:c r="S976" s="1" t="n">
        <x:v>0</x:v>
      </x:c>
      <x:c r="T976" s="1" t="str">
        <x:v>합격</x:v>
      </x:c>
    </x:row>
    <x:row r="977" ht="22" customHeight="1">
      <x:c r="A977" s="1" t="str">
        <x:v>R00976</x:v>
      </x:c>
      <x:c r="B977" s="4" t="n">
        <x:v>46218.448587962965</x:v>
      </x:c>
      <x:c r="C977" s="1" t="str">
        <x:v>주간</x:v>
      </x:c>
      <x:c r="D977" s="1" t="str">
        <x:v>L1</x:v>
      </x:c>
      <x:c r="E977" s="1" t="str">
        <x:v>P1</x:v>
      </x:c>
      <x:c r="F977" s="1" t="str">
        <x:v>M03</x:v>
      </x:c>
      <x:c r="G977" s="1" t="str">
        <x:v>G04</x:v>
      </x:c>
      <x:c r="H977" s="5" t="n">
        <x:v>28.87</x:v>
      </x:c>
      <x:c r="I977" s="5" t="n">
        <x:v>5.74</x:v>
      </x:c>
      <x:c r="J977" s="5" t="n">
        <x:v>50.8</x:v>
      </x:c>
      <x:c r="K977" s="5" t="n">
        <x:v>40.2</x:v>
      </x:c>
      <x:c r="L977" s="5" t="n">
        <x:v>2.01</x:v>
      </x:c>
      <x:c r="M977" s="1" t="n">
        <x:v>1</x:v>
      </x:c>
      <x:c r="N977" s="6" t="n">
        <x:v>0.927</x:v>
      </x:c>
      <x:c r="O977" s="1" t="str">
        <x:v>합격</x:v>
      </x:c>
      <x:c r="P977" s="1"/>
      <x:c r="Q977" s="1" t="n">
        <x:v>38</x:v>
      </x:c>
      <x:c r="R977" s="1" t="str">
        <x:v>N</x:v>
      </x:c>
      <x:c r="S977" s="1" t="n">
        <x:v>0</x:v>
      </x:c>
      <x:c r="T977" s="1" t="str">
        <x:v>합격</x:v>
      </x:c>
    </x:row>
    <x:row r="978" ht="22" customHeight="1">
      <x:c r="A978" s="1" t="str">
        <x:v>R00977</x:v>
      </x:c>
      <x:c r="B978" s="4" t="n">
        <x:v>46219.58509259259</x:v>
      </x:c>
      <x:c r="C978" s="1" t="str">
        <x:v>주간</x:v>
      </x:c>
      <x:c r="D978" s="1" t="str">
        <x:v>L2</x:v>
      </x:c>
      <x:c r="E978" s="1" t="str">
        <x:v>P2</x:v>
      </x:c>
      <x:c r="F978" s="1" t="str">
        <x:v>M04</x:v>
      </x:c>
      <x:c r="G978" s="1" t="str">
        <x:v>G05</x:v>
      </x:c>
      <x:c r="H978" s="5" t="n">
        <x:v>32.02</x:v>
      </x:c>
      <x:c r="I978" s="5" t="n">
        <x:v>5.74</x:v>
      </x:c>
      <x:c r="J978" s="5" t="n">
        <x:v>57</x:v>
      </x:c>
      <x:c r="K978" s="5" t="n">
        <x:v>36</x:v>
      </x:c>
      <x:c r="L978" s="5" t="n">
        <x:v>1.51</x:v>
      </x:c>
      <x:c r="M978" s="1" t="n">
        <x:v>0</x:v>
      </x:c>
      <x:c r="N978" s="6" t="n">
        <x:v>1.044</x:v>
      </x:c>
      <x:c r="O978" s="1" t="str">
        <x:v>합격</x:v>
      </x:c>
      <x:c r="P978" s="1"/>
      <x:c r="Q978" s="1" t="n">
        <x:v>43</x:v>
      </x:c>
      <x:c r="R978" s="1" t="str">
        <x:v>N</x:v>
      </x:c>
      <x:c r="S978" s="1" t="n">
        <x:v>0</x:v>
      </x:c>
      <x:c r="T978" s="1" t="str">
        <x:v>합격</x:v>
      </x:c>
    </x:row>
    <x:row r="979" ht="22" customHeight="1">
      <x:c r="A979" s="1" t="str">
        <x:v>R00978</x:v>
      </x:c>
      <x:c r="B979" s="4" t="n">
        <x:v>46220.45527777778</x:v>
      </x:c>
      <x:c r="C979" s="1" t="str">
        <x:v>주간</x:v>
      </x:c>
      <x:c r="D979" s="1" t="str">
        <x:v>L2</x:v>
      </x:c>
      <x:c r="E979" s="1" t="str">
        <x:v>P2</x:v>
      </x:c>
      <x:c r="F979" s="1" t="str">
        <x:v>M02</x:v>
      </x:c>
      <x:c r="G979" s="1" t="str">
        <x:v>G06</x:v>
      </x:c>
      <x:c r="H979" s="5" t="n">
        <x:v>30.26</x:v>
      </x:c>
      <x:c r="I979" s="5" t="n">
        <x:v>5.71</x:v>
      </x:c>
      <x:c r="J979" s="5" t="n">
        <x:v>48.9</x:v>
      </x:c>
      <x:c r="K979" s="5" t="n">
        <x:v>39.5</x:v>
      </x:c>
      <x:c r="L979" s="5" t="n">
        <x:v>2.6</x:v>
      </x:c>
      <x:c r="M979" s="1" t="n">
        <x:v>1</x:v>
      </x:c>
      <x:c r="N979" s="6" t="n">
        <x:v>0.875</x:v>
      </x:c>
      <x:c r="O979" s="1" t="str">
        <x:v>불합격</x:v>
      </x:c>
      <x:c r="P979" s="1" t="str">
        <x:v>치수불량</x:v>
      </x:c>
      <x:c r="Q979" s="1" t="n">
        <x:v>38</x:v>
      </x:c>
      <x:c r="R979" s="1" t="str">
        <x:v>Y</x:v>
      </x:c>
      <x:c r="S979" s="1" t="n">
        <x:v>8</x:v>
      </x:c>
      <x:c r="T979" s="1" t="str">
        <x:v>재작업후합격</x:v>
      </x:c>
    </x:row>
    <x:row r="980" ht="22" customHeight="1">
      <x:c r="A980" s="1" t="str">
        <x:v>R00979</x:v>
      </x:c>
      <x:c r="B980" s="4" t="n">
        <x:v>46221.08368055556</x:v>
      </x:c>
      <x:c r="C980" s="1" t="str">
        <x:v>야간</x:v>
      </x:c>
      <x:c r="D980" s="1" t="str">
        <x:v>L2</x:v>
      </x:c>
      <x:c r="E980" s="1" t="str">
        <x:v>P2</x:v>
      </x:c>
      <x:c r="F980" s="1" t="str">
        <x:v>M01</x:v>
      </x:c>
      <x:c r="G980" s="1" t="str">
        <x:v>G01</x:v>
      </x:c>
      <x:c r="H980" s="5" t="n">
        <x:v>29.57</x:v>
      </x:c>
      <x:c r="I980" s="5" t="n">
        <x:v>5.73</x:v>
      </x:c>
      <x:c r="J980" s="5" t="n">
        <x:v>51.4</x:v>
      </x:c>
      <x:c r="K980" s="5" t="n">
        <x:v>41.6</x:v>
      </x:c>
      <x:c r="L980" s="5" t="n">
        <x:v>2.29</x:v>
      </x:c>
      <x:c r="M980" s="1" t="n">
        <x:v>1</x:v>
      </x:c>
      <x:c r="N980" s="6" t="n">
        <x:v>0.939</x:v>
      </x:c>
      <x:c r="O980" s="1" t="str">
        <x:v>합격</x:v>
      </x:c>
      <x:c r="P980" s="1"/>
      <x:c r="Q980" s="1" t="n">
        <x:v>45</x:v>
      </x:c>
      <x:c r="R980" s="1" t="str">
        <x:v>N</x:v>
      </x:c>
      <x:c r="S980" s="1" t="n">
        <x:v>0</x:v>
      </x:c>
      <x:c r="T980" s="1" t="str">
        <x:v>합격</x:v>
      </x:c>
    </x:row>
    <x:row r="981" ht="22" customHeight="1">
      <x:c r="A981" s="1" t="str">
        <x:v>R00980</x:v>
      </x:c>
      <x:c r="B981" s="4" t="n">
        <x:v>46222.38165509259</x:v>
      </x:c>
      <x:c r="C981" s="1" t="str">
        <x:v>주간</x:v>
      </x:c>
      <x:c r="D981" s="1" t="str">
        <x:v>L2</x:v>
      </x:c>
      <x:c r="E981" s="1" t="str">
        <x:v>P2</x:v>
      </x:c>
      <x:c r="F981" s="1" t="str">
        <x:v>M04</x:v>
      </x:c>
      <x:c r="G981" s="1" t="str">
        <x:v>G02</x:v>
      </x:c>
      <x:c r="H981" s="5" t="n">
        <x:v>29.7</x:v>
      </x:c>
      <x:c r="I981" s="5" t="n">
        <x:v>5.72</x:v>
      </x:c>
      <x:c r="J981" s="5" t="n">
        <x:v>52.9</x:v>
      </x:c>
      <x:c r="K981" s="5" t="n">
        <x:v>40.7</x:v>
      </x:c>
      <x:c r="L981" s="5" t="n">
        <x:v>1.66</x:v>
      </x:c>
      <x:c r="M981" s="1" t="n">
        <x:v>0</x:v>
      </x:c>
      <x:c r="N981" s="6" t="n">
        <x:v>1.036</x:v>
      </x:c>
      <x:c r="O981" s="1" t="str">
        <x:v>합격</x:v>
      </x:c>
      <x:c r="P981" s="1"/>
      <x:c r="Q981" s="1" t="n">
        <x:v>43</x:v>
      </x:c>
      <x:c r="R981" s="1" t="str">
        <x:v>N</x:v>
      </x:c>
      <x:c r="S981" s="1" t="n">
        <x:v>0</x:v>
      </x:c>
      <x:c r="T981" s="1" t="str">
        <x:v>합격</x:v>
      </x:c>
    </x:row>
    <x:row r="982" ht="22" customHeight="1">
      <x:c r="A982" s="1" t="str">
        <x:v>R00981</x:v>
      </x:c>
      <x:c r="B982" s="4" t="n">
        <x:v>46223.038564814815</x:v>
      </x:c>
      <x:c r="C982" s="1" t="str">
        <x:v>야간</x:v>
      </x:c>
      <x:c r="D982" s="1" t="str">
        <x:v>L2</x:v>
      </x:c>
      <x:c r="E982" s="1" t="str">
        <x:v>P2</x:v>
      </x:c>
      <x:c r="F982" s="1" t="str">
        <x:v>M02</x:v>
      </x:c>
      <x:c r="G982" s="1" t="str">
        <x:v>G03</x:v>
      </x:c>
      <x:c r="H982" s="5" t="n">
        <x:v>32.74</x:v>
      </x:c>
      <x:c r="I982" s="5" t="n">
        <x:v>5.81</x:v>
      </x:c>
      <x:c r="J982" s="5" t="n">
        <x:v>48.9</x:v>
      </x:c>
      <x:c r="K982" s="5" t="n">
        <x:v>35.8</x:v>
      </x:c>
      <x:c r="L982" s="5" t="n">
        <x:v>1.41</x:v>
      </x:c>
      <x:c r="M982" s="1" t="n">
        <x:v>0</x:v>
      </x:c>
      <x:c r="N982" s="6" t="n">
        <x:v>0.948</x:v>
      </x:c>
      <x:c r="O982" s="1" t="str">
        <x:v>합격</x:v>
      </x:c>
      <x:c r="P982" s="1"/>
      <x:c r="Q982" s="1" t="n">
        <x:v>37</x:v>
      </x:c>
      <x:c r="R982" s="1" t="str">
        <x:v>N</x:v>
      </x:c>
      <x:c r="S982" s="1" t="n">
        <x:v>0</x:v>
      </x:c>
      <x:c r="T982" s="1" t="str">
        <x:v>합격</x:v>
      </x:c>
    </x:row>
    <x:row r="983" ht="22" customHeight="1">
      <x:c r="A983" s="1" t="str">
        <x:v>R00982</x:v>
      </x:c>
      <x:c r="B983" s="4" t="n">
        <x:v>46224.93020833333</x:v>
      </x:c>
      <x:c r="C983" s="1" t="str">
        <x:v>야간</x:v>
      </x:c>
      <x:c r="D983" s="1" t="str">
        <x:v>L1</x:v>
      </x:c>
      <x:c r="E983" s="1" t="str">
        <x:v>P1</x:v>
      </x:c>
      <x:c r="F983" s="1" t="str">
        <x:v>M04</x:v>
      </x:c>
      <x:c r="G983" s="1" t="str">
        <x:v>G04</x:v>
      </x:c>
      <x:c r="H983" s="5" t="n">
        <x:v>28.03</x:v>
      </x:c>
      <x:c r="I983" s="5" t="n">
        <x:v>5.77</x:v>
      </x:c>
      <x:c r="J983" s="5" t="n">
        <x:v>55.2</x:v>
      </x:c>
      <x:c r="K983" s="5" t="n">
        <x:v>40.2</x:v>
      </x:c>
      <x:c r="L983" s="5" t="n">
        <x:v>1.61</x:v>
      </x:c>
      <x:c r="M983" s="1" t="n">
        <x:v>1</x:v>
      </x:c>
      <x:c r="N983" s="6" t="n">
        <x:v>1.042</x:v>
      </x:c>
      <x:c r="O983" s="1" t="str">
        <x:v>합격</x:v>
      </x:c>
      <x:c r="P983" s="1"/>
      <x:c r="Q983" s="1" t="n">
        <x:v>38</x:v>
      </x:c>
      <x:c r="R983" s="1" t="str">
        <x:v>N</x:v>
      </x:c>
      <x:c r="S983" s="1" t="n">
        <x:v>0</x:v>
      </x:c>
      <x:c r="T983" s="1" t="str">
        <x:v>합격</x:v>
      </x:c>
    </x:row>
    <x:row r="984" ht="22" customHeight="1">
      <x:c r="A984" s="1" t="str">
        <x:v>R00983</x:v>
      </x:c>
      <x:c r="B984" s="4" t="n">
        <x:v>46225.9196875</x:v>
      </x:c>
      <x:c r="C984" s="1" t="str">
        <x:v>야간</x:v>
      </x:c>
      <x:c r="D984" s="1" t="str">
        <x:v>L1</x:v>
      </x:c>
      <x:c r="E984" s="1" t="str">
        <x:v>P1</x:v>
      </x:c>
      <x:c r="F984" s="1" t="str">
        <x:v>M04</x:v>
      </x:c>
      <x:c r="G984" s="1" t="str">
        <x:v>G05</x:v>
      </x:c>
      <x:c r="H984" s="5" t="n">
        <x:v>30.81</x:v>
      </x:c>
      <x:c r="I984" s="5" t="n">
        <x:v>5.79</x:v>
      </x:c>
      <x:c r="J984" s="5" t="n">
        <x:v>57.8</x:v>
      </x:c>
      <x:c r="K984" s="5" t="n">
        <x:v>38</x:v>
      </x:c>
      <x:c r="L984" s="5" t="n">
        <x:v>1.31</x:v>
      </x:c>
      <x:c r="M984" s="1" t="n">
        <x:v>0</x:v>
      </x:c>
      <x:c r="N984" s="6" t="n">
        <x:v>0.906</x:v>
      </x:c>
      <x:c r="O984" s="1" t="str">
        <x:v>합격</x:v>
      </x:c>
      <x:c r="P984" s="1"/>
      <x:c r="Q984" s="1" t="n">
        <x:v>37</x:v>
      </x:c>
      <x:c r="R984" s="1" t="str">
        <x:v>N</x:v>
      </x:c>
      <x:c r="S984" s="1" t="n">
        <x:v>0</x:v>
      </x:c>
      <x:c r="T984" s="1" t="str">
        <x:v>합격</x:v>
      </x:c>
    </x:row>
    <x:row r="985" ht="22" customHeight="1">
      <x:c r="A985" s="1" t="str">
        <x:v>R00984</x:v>
      </x:c>
      <x:c r="B985" s="4" t="n">
        <x:v>46226.8928125</x:v>
      </x:c>
      <x:c r="C985" s="1" t="str">
        <x:v>야간</x:v>
      </x:c>
      <x:c r="D985" s="1" t="str">
        <x:v>L2</x:v>
      </x:c>
      <x:c r="E985" s="1" t="str">
        <x:v>P2</x:v>
      </x:c>
      <x:c r="F985" s="1" t="str">
        <x:v>M01</x:v>
      </x:c>
      <x:c r="G985" s="1" t="str">
        <x:v>G06</x:v>
      </x:c>
      <x:c r="H985" s="5" t="n">
        <x:v>28.34</x:v>
      </x:c>
      <x:c r="I985" s="5" t="n">
        <x:v>5.83</x:v>
      </x:c>
      <x:c r="J985" s="5" t="n">
        <x:v>51.7</x:v>
      </x:c>
      <x:c r="K985" s="5" t="n">
        <x:v>41.9</x:v>
      </x:c>
      <x:c r="L985" s="5" t="n">
        <x:v>2.34</x:v>
      </x:c>
      <x:c r="M985" s="1" t="n">
        <x:v>0</x:v>
      </x:c>
      <x:c r="N985" s="6" t="n">
        <x:v>0.889</x:v>
      </x:c>
      <x:c r="O985" s="1" t="str">
        <x:v>합격</x:v>
      </x:c>
      <x:c r="P985" s="1"/>
      <x:c r="Q985" s="1" t="n">
        <x:v>47</x:v>
      </x:c>
      <x:c r="R985" s="1" t="str">
        <x:v>N</x:v>
      </x:c>
      <x:c r="S985" s="1" t="n">
        <x:v>0</x:v>
      </x:c>
      <x:c r="T985" s="1" t="str">
        <x:v>합격</x:v>
      </x:c>
    </x:row>
    <x:row r="986" ht="22" customHeight="1">
      <x:c r="A986" s="1" t="str">
        <x:v>R00985</x:v>
      </x:c>
      <x:c r="B986" s="4" t="n">
        <x:v>46227.991064814814</x:v>
      </x:c>
      <x:c r="C986" s="1" t="str">
        <x:v>야간</x:v>
      </x:c>
      <x:c r="D986" s="1" t="str">
        <x:v>L1</x:v>
      </x:c>
      <x:c r="E986" s="1" t="str">
        <x:v>P1</x:v>
      </x:c>
      <x:c r="F986" s="1" t="str">
        <x:v>M03</x:v>
      </x:c>
      <x:c r="G986" s="1" t="str">
        <x:v>G01</x:v>
      </x:c>
      <x:c r="H986" s="5" t="n">
        <x:v>29.31</x:v>
      </x:c>
      <x:c r="I986" s="5" t="n">
        <x:v>5.63</x:v>
      </x:c>
      <x:c r="J986" s="5" t="n">
        <x:v>49.6</x:v>
      </x:c>
      <x:c r="K986" s="5" t="n">
        <x:v>35.9</x:v>
      </x:c>
      <x:c r="L986" s="5" t="n">
        <x:v>1.72</x:v>
      </x:c>
      <x:c r="M986" s="1" t="n">
        <x:v>0</x:v>
      </x:c>
      <x:c r="N986" s="6" t="n">
        <x:v>0.868</x:v>
      </x:c>
      <x:c r="O986" s="1" t="str">
        <x:v>합격</x:v>
      </x:c>
      <x:c r="P986" s="1"/>
      <x:c r="Q986" s="1" t="n">
        <x:v>40</x:v>
      </x:c>
      <x:c r="R986" s="1" t="str">
        <x:v>N</x:v>
      </x:c>
      <x:c r="S986" s="1" t="n">
        <x:v>0</x:v>
      </x:c>
      <x:c r="T986" s="1" t="str">
        <x:v>합격</x:v>
      </x:c>
    </x:row>
    <x:row r="987" ht="22" customHeight="1">
      <x:c r="A987" s="1" t="str">
        <x:v>R00986</x:v>
      </x:c>
      <x:c r="B987" s="4" t="n">
        <x:v>46228.03545138889</x:v>
      </x:c>
      <x:c r="C987" s="1" t="str">
        <x:v>야간</x:v>
      </x:c>
      <x:c r="D987" s="1" t="str">
        <x:v>L2</x:v>
      </x:c>
      <x:c r="E987" s="1" t="str">
        <x:v>P2</x:v>
      </x:c>
      <x:c r="F987" s="1" t="str">
        <x:v>M01</x:v>
      </x:c>
      <x:c r="G987" s="1" t="str">
        <x:v>G02</x:v>
      </x:c>
      <x:c r="H987" s="5" t="n">
        <x:v>32.54</x:v>
      </x:c>
      <x:c r="I987" s="5" t="n">
        <x:v>5.94</x:v>
      </x:c>
      <x:c r="J987" s="5" t="n">
        <x:v>47.2</x:v>
      </x:c>
      <x:c r="K987" s="5" t="n">
        <x:v>36</x:v>
      </x:c>
      <x:c r="L987" s="5" t="n">
        <x:v>2.47</x:v>
      </x:c>
      <x:c r="M987" s="1" t="n">
        <x:v>0</x:v>
      </x:c>
      <x:c r="N987" s="6" t="n">
        <x:v>0.964</x:v>
      </x:c>
      <x:c r="O987" s="1" t="str">
        <x:v>합격</x:v>
      </x:c>
      <x:c r="P987" s="1"/>
      <x:c r="Q987" s="1" t="n">
        <x:v>46</x:v>
      </x:c>
      <x:c r="R987" s="1" t="str">
        <x:v>N</x:v>
      </x:c>
      <x:c r="S987" s="1" t="n">
        <x:v>0</x:v>
      </x:c>
      <x:c r="T987" s="1" t="str">
        <x:v>합격</x:v>
      </x:c>
    </x:row>
    <x:row r="988" ht="22" customHeight="1">
      <x:c r="A988" s="1" t="str">
        <x:v>R00987</x:v>
      </x:c>
      <x:c r="B988" s="4" t="n">
        <x:v>46229.835625</x:v>
      </x:c>
      <x:c r="C988" s="1" t="str">
        <x:v>야간</x:v>
      </x:c>
      <x:c r="D988" s="1" t="str">
        <x:v>L2</x:v>
      </x:c>
      <x:c r="E988" s="1" t="str">
        <x:v>P2</x:v>
      </x:c>
      <x:c r="F988" s="1" t="str">
        <x:v>M01</x:v>
      </x:c>
      <x:c r="G988" s="1" t="str">
        <x:v>G03</x:v>
      </x:c>
      <x:c r="H988" s="5" t="n">
        <x:v>29.83</x:v>
      </x:c>
      <x:c r="I988" s="5" t="n">
        <x:v>5.92</x:v>
      </x:c>
      <x:c r="J988" s="5" t="n">
        <x:v>51.2</x:v>
      </x:c>
      <x:c r="K988" s="5" t="n">
        <x:v>41.4</x:v>
      </x:c>
      <x:c r="L988" s="5" t="n">
        <x:v>1.51</x:v>
      </x:c>
      <x:c r="M988" s="1" t="n">
        <x:v>1</x:v>
      </x:c>
      <x:c r="N988" s="6" t="n">
        <x:v>1.014</x:v>
      </x:c>
      <x:c r="O988" s="1" t="str">
        <x:v>합격</x:v>
      </x:c>
      <x:c r="P988" s="1"/>
      <x:c r="Q988" s="1" t="n">
        <x:v>47</x:v>
      </x:c>
      <x:c r="R988" s="1" t="str">
        <x:v>N</x:v>
      </x:c>
      <x:c r="S988" s="1" t="n">
        <x:v>0</x:v>
      </x:c>
      <x:c r="T988" s="1" t="str">
        <x:v>합격</x:v>
      </x:c>
    </x:row>
    <x:row r="989" ht="22" customHeight="1">
      <x:c r="A989" s="1" t="str">
        <x:v>R00988</x:v>
      </x:c>
      <x:c r="B989" s="4" t="n">
        <x:v>46230.54116898148</x:v>
      </x:c>
      <x:c r="C989" s="1" t="str">
        <x:v>주간</x:v>
      </x:c>
      <x:c r="D989" s="1" t="str">
        <x:v>L1</x:v>
      </x:c>
      <x:c r="E989" s="1" t="str">
        <x:v>P1</x:v>
      </x:c>
      <x:c r="F989" s="1" t="str">
        <x:v>M03</x:v>
      </x:c>
      <x:c r="G989" s="1" t="str">
        <x:v>G04</x:v>
      </x:c>
      <x:c r="H989" s="5" t="n">
        <x:v>31.29</x:v>
      </x:c>
      <x:c r="I989" s="5" t="n">
        <x:v>5.81</x:v>
      </x:c>
      <x:c r="J989" s="5" t="n">
        <x:v>58.8</x:v>
      </x:c>
      <x:c r="K989" s="5" t="n">
        <x:v>36.7</x:v>
      </x:c>
      <x:c r="L989" s="5" t="n">
        <x:v>2.17</x:v>
      </x:c>
      <x:c r="M989" s="1" t="n">
        <x:v>0</x:v>
      </x:c>
      <x:c r="N989" s="6" t="n">
        <x:v>0.982</x:v>
      </x:c>
      <x:c r="O989" s="1" t="str">
        <x:v>합격</x:v>
      </x:c>
      <x:c r="P989" s="1"/>
      <x:c r="Q989" s="1" t="n">
        <x:v>40</x:v>
      </x:c>
      <x:c r="R989" s="1" t="str">
        <x:v>N</x:v>
      </x:c>
      <x:c r="S989" s="1" t="n">
        <x:v>0</x:v>
      </x:c>
      <x:c r="T989" s="1" t="str">
        <x:v>합격</x:v>
      </x:c>
    </x:row>
    <x:row r="990" ht="22" customHeight="1">
      <x:c r="A990" s="1" t="str">
        <x:v>R00989</x:v>
      </x:c>
      <x:c r="B990" s="4" t="n">
        <x:v>46231.48641203704</x:v>
      </x:c>
      <x:c r="C990" s="1" t="str">
        <x:v>주간</x:v>
      </x:c>
      <x:c r="D990" s="1" t="str">
        <x:v>L2</x:v>
      </x:c>
      <x:c r="E990" s="1" t="str">
        <x:v>P2</x:v>
      </x:c>
      <x:c r="F990" s="1" t="str">
        <x:v>M04</x:v>
      </x:c>
      <x:c r="G990" s="1" t="str">
        <x:v>G05</x:v>
      </x:c>
      <x:c r="H990" s="5" t="n">
        <x:v>31.14</x:v>
      </x:c>
      <x:c r="I990" s="5" t="n">
        <x:v>5.65</x:v>
      </x:c>
      <x:c r="J990" s="5" t="n">
        <x:v>52.1</x:v>
      </x:c>
      <x:c r="K990" s="5" t="n">
        <x:v>41.4</x:v>
      </x:c>
      <x:c r="L990" s="5" t="n">
        <x:v>2.48</x:v>
      </x:c>
      <x:c r="M990" s="1" t="n">
        <x:v>1</x:v>
      </x:c>
      <x:c r="N990" s="6" t="n">
        <x:v>0.9</x:v>
      </x:c>
      <x:c r="O990" s="1" t="str">
        <x:v>합격</x:v>
      </x:c>
      <x:c r="P990" s="1"/>
      <x:c r="Q990" s="1" t="n">
        <x:v>45</x:v>
      </x:c>
      <x:c r="R990" s="1" t="str">
        <x:v>N</x:v>
      </x:c>
      <x:c r="S990" s="1" t="n">
        <x:v>0</x:v>
      </x:c>
      <x:c r="T990" s="1" t="str">
        <x:v>합격</x:v>
      </x:c>
    </x:row>
    <x:row r="991" ht="22" customHeight="1">
      <x:c r="A991" s="1" t="str">
        <x:v>R00990</x:v>
      </x:c>
      <x:c r="B991" s="4" t="n">
        <x:v>46232.02920138889</x:v>
      </x:c>
      <x:c r="C991" s="1" t="str">
        <x:v>야간</x:v>
      </x:c>
      <x:c r="D991" s="1" t="str">
        <x:v>L1</x:v>
      </x:c>
      <x:c r="E991" s="1" t="str">
        <x:v>P1</x:v>
      </x:c>
      <x:c r="F991" s="1" t="str">
        <x:v>M03</x:v>
      </x:c>
      <x:c r="G991" s="1" t="str">
        <x:v>G06</x:v>
      </x:c>
      <x:c r="H991" s="5" t="n">
        <x:v>30.01</x:v>
      </x:c>
      <x:c r="I991" s="5" t="n">
        <x:v>5.83</x:v>
      </x:c>
      <x:c r="J991" s="5" t="n">
        <x:v>47.4</x:v>
      </x:c>
      <x:c r="K991" s="5" t="n">
        <x:v>38.1</x:v>
      </x:c>
      <x:c r="L991" s="5" t="n">
        <x:v>1.82</x:v>
      </x:c>
      <x:c r="M991" s="1" t="n">
        <x:v>1</x:v>
      </x:c>
      <x:c r="N991" s="6" t="n">
        <x:v>0.951</x:v>
      </x:c>
      <x:c r="O991" s="1" t="str">
        <x:v>합격</x:v>
      </x:c>
      <x:c r="P991" s="1"/>
      <x:c r="Q991" s="1" t="n">
        <x:v>40</x:v>
      </x:c>
      <x:c r="R991" s="1" t="str">
        <x:v>N</x:v>
      </x:c>
      <x:c r="S991" s="1" t="n">
        <x:v>0</x:v>
      </x:c>
      <x:c r="T991" s="1" t="str">
        <x:v>합격</x:v>
      </x:c>
    </x:row>
    <x:row r="992" ht="22" customHeight="1">
      <x:c r="A992" s="1" t="str">
        <x:v>R00991</x:v>
      </x:c>
      <x:c r="B992" s="4" t="n">
        <x:v>46233.07393518519</x:v>
      </x:c>
      <x:c r="C992" s="1" t="str">
        <x:v>야간</x:v>
      </x:c>
      <x:c r="D992" s="1" t="str">
        <x:v>L1</x:v>
      </x:c>
      <x:c r="E992" s="1" t="str">
        <x:v>P1</x:v>
      </x:c>
      <x:c r="F992" s="1" t="str">
        <x:v>M04</x:v>
      </x:c>
      <x:c r="G992" s="1" t="str">
        <x:v>G01</x:v>
      </x:c>
      <x:c r="H992" s="5" t="n">
        <x:v>30.85</x:v>
      </x:c>
      <x:c r="I992" s="5" t="n">
        <x:v>5.62</x:v>
      </x:c>
      <x:c r="J992" s="5" t="n">
        <x:v>47.2</x:v>
      </x:c>
      <x:c r="K992" s="5" t="n">
        <x:v>38.5</x:v>
      </x:c>
      <x:c r="L992" s="5" t="n">
        <x:v>1.88</x:v>
      </x:c>
      <x:c r="M992" s="1" t="n">
        <x:v>0</x:v>
      </x:c>
      <x:c r="N992" s="6" t="n">
        <x:v>0.903</x:v>
      </x:c>
      <x:c r="O992" s="1" t="str">
        <x:v>합격</x:v>
      </x:c>
      <x:c r="P992" s="1"/>
      <x:c r="Q992" s="1" t="n">
        <x:v>47</x:v>
      </x:c>
      <x:c r="R992" s="1" t="str">
        <x:v>N</x:v>
      </x:c>
      <x:c r="S992" s="1" t="n">
        <x:v>0</x:v>
      </x:c>
      <x:c r="T992" s="1" t="str">
        <x:v>합격</x:v>
      </x:c>
    </x:row>
    <x:row r="993" ht="22" customHeight="1">
      <x:c r="A993" s="1" t="str">
        <x:v>R00992</x:v>
      </x:c>
      <x:c r="B993" s="4" t="n">
        <x:v>46234.12255787037</x:v>
      </x:c>
      <x:c r="C993" s="1" t="str">
        <x:v>야간</x:v>
      </x:c>
      <x:c r="D993" s="1" t="str">
        <x:v>L2</x:v>
      </x:c>
      <x:c r="E993" s="1" t="str">
        <x:v>P2</x:v>
      </x:c>
      <x:c r="F993" s="1" t="str">
        <x:v>M02</x:v>
      </x:c>
      <x:c r="G993" s="1" t="str">
        <x:v>G02</x:v>
      </x:c>
      <x:c r="H993" s="5" t="n">
        <x:v>31.14</x:v>
      </x:c>
      <x:c r="I993" s="5" t="n">
        <x:v>5.81</x:v>
      </x:c>
      <x:c r="J993" s="5" t="n">
        <x:v>52.9</x:v>
      </x:c>
      <x:c r="K993" s="5" t="n">
        <x:v>38.6</x:v>
      </x:c>
      <x:c r="L993" s="5" t="n">
        <x:v>2.55</x:v>
      </x:c>
      <x:c r="M993" s="1" t="n">
        <x:v>0</x:v>
      </x:c>
      <x:c r="N993" s="6" t="n">
        <x:v>0.941</x:v>
      </x:c>
      <x:c r="O993" s="1" t="str">
        <x:v>합격</x:v>
      </x:c>
      <x:c r="P993" s="1"/>
      <x:c r="Q993" s="1" t="n">
        <x:v>45</x:v>
      </x:c>
      <x:c r="R993" s="1" t="str">
        <x:v>N</x:v>
      </x:c>
      <x:c r="S993" s="1" t="n">
        <x:v>0</x:v>
      </x:c>
      <x:c r="T993" s="1" t="str">
        <x:v>합격</x:v>
      </x:c>
    </x:row>
    <x:row r="994" ht="22" customHeight="1">
      <x:c r="A994" s="1" t="str">
        <x:v>R00993</x:v>
      </x:c>
      <x:c r="B994" s="4" t="n">
        <x:v>46204.42644675926</x:v>
      </x:c>
      <x:c r="C994" s="1" t="str">
        <x:v>주간</x:v>
      </x:c>
      <x:c r="D994" s="1" t="str">
        <x:v>L1</x:v>
      </x:c>
      <x:c r="E994" s="1" t="str">
        <x:v>P1</x:v>
      </x:c>
      <x:c r="F994" s="1" t="str">
        <x:v>M03</x:v>
      </x:c>
      <x:c r="G994" s="1" t="str">
        <x:v>G03</x:v>
      </x:c>
      <x:c r="H994" s="5" t="n">
        <x:v>31.26</x:v>
      </x:c>
      <x:c r="I994" s="5" t="n">
        <x:v>5.87</x:v>
      </x:c>
      <x:c r="J994" s="5" t="n">
        <x:v>50.5</x:v>
      </x:c>
      <x:c r="K994" s="5" t="n">
        <x:v>39.1</x:v>
      </x:c>
      <x:c r="L994" s="5" t="n">
        <x:v>1.51</x:v>
      </x:c>
      <x:c r="M994" s="1" t="n">
        <x:v>1</x:v>
      </x:c>
      <x:c r="N994" s="6" t="n">
        <x:v>1.02</x:v>
      </x:c>
      <x:c r="O994" s="1" t="str">
        <x:v>합격</x:v>
      </x:c>
      <x:c r="P994" s="1"/>
      <x:c r="Q994" s="1" t="n">
        <x:v>42</x:v>
      </x:c>
      <x:c r="R994" s="1" t="str">
        <x:v>N</x:v>
      </x:c>
      <x:c r="S994" s="1" t="n">
        <x:v>0</x:v>
      </x:c>
      <x:c r="T994" s="1" t="str">
        <x:v>합격</x:v>
      </x:c>
    </x:row>
    <x:row r="995" ht="22" customHeight="1">
      <x:c r="A995" s="1" t="str">
        <x:v>R00994</x:v>
      </x:c>
      <x:c r="B995" s="4" t="n">
        <x:v>46205.62520833333</x:v>
      </x:c>
      <x:c r="C995" s="1" t="str">
        <x:v>주간</x:v>
      </x:c>
      <x:c r="D995" s="1" t="str">
        <x:v>L1</x:v>
      </x:c>
      <x:c r="E995" s="1" t="str">
        <x:v>P1</x:v>
      </x:c>
      <x:c r="F995" s="1" t="str">
        <x:v>M03</x:v>
      </x:c>
      <x:c r="G995" s="1" t="str">
        <x:v>G04</x:v>
      </x:c>
      <x:c r="H995" s="5" t="n">
        <x:v>31.71</x:v>
      </x:c>
      <x:c r="I995" s="5" t="n">
        <x:v>5.84</x:v>
      </x:c>
      <x:c r="J995" s="5" t="n">
        <x:v>53.1</x:v>
      </x:c>
      <x:c r="K995" s="5" t="n">
        <x:v>38.1</x:v>
      </x:c>
      <x:c r="L995" s="5" t="n">
        <x:v>2.12</x:v>
      </x:c>
      <x:c r="M995" s="1" t="n">
        <x:v>1</x:v>
      </x:c>
      <x:c r="N995" s="6" t="n">
        <x:v>0.897</x:v>
      </x:c>
      <x:c r="O995" s="1" t="str">
        <x:v>합격</x:v>
      </x:c>
      <x:c r="P995" s="1"/>
      <x:c r="Q995" s="1" t="n">
        <x:v>46</x:v>
      </x:c>
      <x:c r="R995" s="1" t="str">
        <x:v>N</x:v>
      </x:c>
      <x:c r="S995" s="1" t="n">
        <x:v>0</x:v>
      </x:c>
      <x:c r="T995" s="1" t="str">
        <x:v>합격</x:v>
      </x:c>
    </x:row>
    <x:row r="996" ht="22" customHeight="1">
      <x:c r="A996" s="1" t="str">
        <x:v>R00995</x:v>
      </x:c>
      <x:c r="B996" s="4" t="n">
        <x:v>46206.33456018518</x:v>
      </x:c>
      <x:c r="C996" s="1" t="str">
        <x:v>주간</x:v>
      </x:c>
      <x:c r="D996" s="1" t="str">
        <x:v>L2</x:v>
      </x:c>
      <x:c r="E996" s="1" t="str">
        <x:v>P2</x:v>
      </x:c>
      <x:c r="F996" s="1" t="str">
        <x:v>M04</x:v>
      </x:c>
      <x:c r="G996" s="1" t="str">
        <x:v>G05</x:v>
      </x:c>
      <x:c r="H996" s="5" t="n">
        <x:v>28</x:v>
      </x:c>
      <x:c r="I996" s="5" t="n">
        <x:v>5.69</x:v>
      </x:c>
      <x:c r="J996" s="5" t="n">
        <x:v>55.1</x:v>
      </x:c>
      <x:c r="K996" s="5" t="n">
        <x:v>35.6</x:v>
      </x:c>
      <x:c r="L996" s="5" t="n">
        <x:v>1.52</x:v>
      </x:c>
      <x:c r="M996" s="1" t="n">
        <x:v>1</x:v>
      </x:c>
      <x:c r="N996" s="6" t="n">
        <x:v>0.942</x:v>
      </x:c>
      <x:c r="O996" s="1" t="str">
        <x:v>합격</x:v>
      </x:c>
      <x:c r="P996" s="1"/>
      <x:c r="Q996" s="1" t="n">
        <x:v>41</x:v>
      </x:c>
      <x:c r="R996" s="1" t="str">
        <x:v>N</x:v>
      </x:c>
      <x:c r="S996" s="1" t="n">
        <x:v>0</x:v>
      </x:c>
      <x:c r="T996" s="1" t="str">
        <x:v>합격</x:v>
      </x:c>
    </x:row>
    <x:row r="997" ht="22" customHeight="1">
      <x:c r="A997" s="1" t="str">
        <x:v>R00996</x:v>
      </x:c>
      <x:c r="B997" s="4" t="n">
        <x:v>46207.41612268519</x:v>
      </x:c>
      <x:c r="C997" s="1" t="str">
        <x:v>주간</x:v>
      </x:c>
      <x:c r="D997" s="1" t="str">
        <x:v>L1</x:v>
      </x:c>
      <x:c r="E997" s="1" t="str">
        <x:v>P1</x:v>
      </x:c>
      <x:c r="F997" s="1" t="str">
        <x:v>M01</x:v>
      </x:c>
      <x:c r="G997" s="1" t="str">
        <x:v>G06</x:v>
      </x:c>
      <x:c r="H997" s="5" t="n">
        <x:v>30.55</x:v>
      </x:c>
      <x:c r="I997" s="5" t="n">
        <x:v>5.82</x:v>
      </x:c>
      <x:c r="J997" s="5" t="n">
        <x:v>58.3</x:v>
      </x:c>
      <x:c r="K997" s="5" t="n">
        <x:v>36</x:v>
      </x:c>
      <x:c r="L997" s="5" t="n">
        <x:v>1.91</x:v>
      </x:c>
      <x:c r="M997" s="1" t="n">
        <x:v>0</x:v>
      </x:c>
      <x:c r="N997" s="6" t="n">
        <x:v>0.903</x:v>
      </x:c>
      <x:c r="O997" s="1" t="str">
        <x:v>합격</x:v>
      </x:c>
      <x:c r="P997" s="1"/>
      <x:c r="Q997" s="1" t="n">
        <x:v>44</x:v>
      </x:c>
      <x:c r="R997" s="1" t="str">
        <x:v>N</x:v>
      </x:c>
      <x:c r="S997" s="1" t="n">
        <x:v>0</x:v>
      </x:c>
      <x:c r="T997" s="1" t="str">
        <x:v>합격</x:v>
      </x:c>
    </x:row>
    <x:row r="998" ht="22" customHeight="1">
      <x:c r="A998" s="1" t="str">
        <x:v>R00997</x:v>
      </x:c>
      <x:c r="B998" s="4" t="n">
        <x:v>46208.62396990741</x:v>
      </x:c>
      <x:c r="C998" s="1" t="str">
        <x:v>주간</x:v>
      </x:c>
      <x:c r="D998" s="1" t="str">
        <x:v>L1</x:v>
      </x:c>
      <x:c r="E998" s="1" t="str">
        <x:v>P1</x:v>
      </x:c>
      <x:c r="F998" s="1" t="str">
        <x:v>M03</x:v>
      </x:c>
      <x:c r="G998" s="1" t="str">
        <x:v>G01</x:v>
      </x:c>
      <x:c r="H998" s="5" t="n">
        <x:v>30.69</x:v>
      </x:c>
      <x:c r="I998" s="5" t="n">
        <x:v>5.98</x:v>
      </x:c>
      <x:c r="J998" s="5" t="n">
        <x:v>48.8</x:v>
      </x:c>
      <x:c r="K998" s="5" t="n">
        <x:v>35.6</x:v>
      </x:c>
      <x:c r="L998" s="5" t="n">
        <x:v>1.5</x:v>
      </x:c>
      <x:c r="M998" s="1" t="n">
        <x:v>1</x:v>
      </x:c>
      <x:c r="N998" s="6" t="n">
        <x:v>0.895</x:v>
      </x:c>
      <x:c r="O998" s="1" t="str">
        <x:v>합격</x:v>
      </x:c>
      <x:c r="P998" s="1"/>
      <x:c r="Q998" s="1" t="n">
        <x:v>49</x:v>
      </x:c>
      <x:c r="R998" s="1" t="str">
        <x:v>N</x:v>
      </x:c>
      <x:c r="S998" s="1" t="n">
        <x:v>0</x:v>
      </x:c>
      <x:c r="T998" s="1" t="str">
        <x:v>합격</x:v>
      </x:c>
    </x:row>
    <x:row r="999" ht="22" customHeight="1">
      <x:c r="A999" s="1" t="str">
        <x:v>R00998</x:v>
      </x:c>
      <x:c r="B999" s="4" t="n">
        <x:v>46209.102430555555</x:v>
      </x:c>
      <x:c r="C999" s="1" t="str">
        <x:v>야간</x:v>
      </x:c>
      <x:c r="D999" s="1" t="str">
        <x:v>L2</x:v>
      </x:c>
      <x:c r="E999" s="1" t="str">
        <x:v>P2</x:v>
      </x:c>
      <x:c r="F999" s="1" t="str">
        <x:v>M02</x:v>
      </x:c>
      <x:c r="G999" s="1" t="str">
        <x:v>G02</x:v>
      </x:c>
      <x:c r="H999" s="5" t="n">
        <x:v>28.59</x:v>
      </x:c>
      <x:c r="I999" s="5" t="n">
        <x:v>6</x:v>
      </x:c>
      <x:c r="J999" s="5" t="n">
        <x:v>58.3</x:v>
      </x:c>
      <x:c r="K999" s="5" t="n">
        <x:v>37.3</x:v>
      </x:c>
      <x:c r="L999" s="5" t="n">
        <x:v>2.47</x:v>
      </x:c>
      <x:c r="M999" s="1" t="n">
        <x:v>0</x:v>
      </x:c>
      <x:c r="N999" s="6" t="n">
        <x:v>0.902</x:v>
      </x:c>
      <x:c r="O999" s="1" t="str">
        <x:v>합격</x:v>
      </x:c>
      <x:c r="P999" s="1"/>
      <x:c r="Q999" s="1" t="n">
        <x:v>36</x:v>
      </x:c>
      <x:c r="R999" s="1" t="str">
        <x:v>N</x:v>
      </x:c>
      <x:c r="S999" s="1" t="n">
        <x:v>0</x:v>
      </x:c>
      <x:c r="T999" s="1" t="str">
        <x:v>합격</x:v>
      </x:c>
    </x:row>
    <x:row r="1000" ht="22" customHeight="1">
      <x:c r="A1000" s="1" t="str">
        <x:v>R00999</x:v>
      </x:c>
      <x:c r="B1000" s="4" t="n">
        <x:v>46210.140497685185</x:v>
      </x:c>
      <x:c r="C1000" s="1" t="str">
        <x:v>야간</x:v>
      </x:c>
      <x:c r="D1000" s="1" t="str">
        <x:v>L1</x:v>
      </x:c>
      <x:c r="E1000" s="1" t="str">
        <x:v>P1</x:v>
      </x:c>
      <x:c r="F1000" s="1" t="str">
        <x:v>M04</x:v>
      </x:c>
      <x:c r="G1000" s="1" t="str">
        <x:v>G03</x:v>
      </x:c>
      <x:c r="H1000" s="5" t="n">
        <x:v>28.13</x:v>
      </x:c>
      <x:c r="I1000" s="5" t="n">
        <x:v>5.96</x:v>
      </x:c>
      <x:c r="J1000" s="5" t="n">
        <x:v>49</x:v>
      </x:c>
      <x:c r="K1000" s="5" t="n">
        <x:v>41.7</x:v>
      </x:c>
      <x:c r="L1000" s="5" t="n">
        <x:v>2.44</x:v>
      </x:c>
      <x:c r="M1000" s="1" t="n">
        <x:v>0</x:v>
      </x:c>
      <x:c r="N1000" s="6" t="n">
        <x:v>1.01</x:v>
      </x:c>
      <x:c r="O1000" s="1" t="str">
        <x:v>합격</x:v>
      </x:c>
      <x:c r="P1000" s="1"/>
      <x:c r="Q1000" s="1" t="n">
        <x:v>41</x:v>
      </x:c>
      <x:c r="R1000" s="1" t="str">
        <x:v>N</x:v>
      </x:c>
      <x:c r="S1000" s="1" t="n">
        <x:v>0</x:v>
      </x:c>
      <x:c r="T1000" s="1" t="str">
        <x:v>합격</x:v>
      </x:c>
    </x:row>
    <x:row r="1001" ht="22" customHeight="1">
      <x:c r="A1001" s="1" t="str">
        <x:v>R01000</x:v>
      </x:c>
      <x:c r="B1001" s="4" t="n">
        <x:v>46211.09087962963</x:v>
      </x:c>
      <x:c r="C1001" s="1" t="str">
        <x:v>야간</x:v>
      </x:c>
      <x:c r="D1001" s="1" t="str">
        <x:v>L1</x:v>
      </x:c>
      <x:c r="E1001" s="1" t="str">
        <x:v>P1</x:v>
      </x:c>
      <x:c r="F1001" s="1" t="str">
        <x:v>M03</x:v>
      </x:c>
      <x:c r="G1001" s="1" t="str">
        <x:v>G04</x:v>
      </x:c>
      <x:c r="H1001" s="5" t="n">
        <x:v>29.04</x:v>
      </x:c>
      <x:c r="I1001" s="5" t="n">
        <x:v>5.67</x:v>
      </x:c>
      <x:c r="J1001" s="5" t="n">
        <x:v>48.9</x:v>
      </x:c>
      <x:c r="K1001" s="5" t="n">
        <x:v>35.2</x:v>
      </x:c>
      <x:c r="L1001" s="5" t="n">
        <x:v>1.77</x:v>
      </x:c>
      <x:c r="M1001" s="1" t="n">
        <x:v>1</x:v>
      </x:c>
      <x:c r="N1001" s="6" t="n">
        <x:v>0.883</x:v>
      </x:c>
      <x:c r="O1001" s="1" t="str">
        <x:v>불합격</x:v>
      </x:c>
      <x:c r="P1001" s="1" t="str">
        <x:v>작동불량</x:v>
      </x:c>
      <x:c r="Q1001" s="1" t="n">
        <x:v>49</x:v>
      </x:c>
      <x:c r="R1001" s="1" t="str">
        <x:v>Y</x:v>
      </x:c>
      <x:c r="S1001" s="1" t="n">
        <x:v>7</x:v>
      </x:c>
      <x:c r="T1001" s="1" t="str">
        <x:v>재작업후합격</x:v>
      </x:c>
    </x:row>
    <x:row r="1002" ht="22" customHeight="1">
      <x:c r="A1002" s="1" t="str">
        <x:v>R01001</x:v>
      </x:c>
      <x:c r="B1002" s="4" t="n">
        <x:v>46212.5265162037</x:v>
      </x:c>
      <x:c r="C1002" s="1" t="str">
        <x:v>주간</x:v>
      </x:c>
      <x:c r="D1002" s="1" t="str">
        <x:v>L2</x:v>
      </x:c>
      <x:c r="E1002" s="1" t="str">
        <x:v>P2</x:v>
      </x:c>
      <x:c r="F1002" s="1" t="str">
        <x:v>M04</x:v>
      </x:c>
      <x:c r="G1002" s="1" t="str">
        <x:v>G05</x:v>
      </x:c>
      <x:c r="H1002" s="5" t="n">
        <x:v>30.26</x:v>
      </x:c>
      <x:c r="I1002" s="5" t="n">
        <x:v>5.69</x:v>
      </x:c>
      <x:c r="J1002" s="5" t="n">
        <x:v>51.7</x:v>
      </x:c>
      <x:c r="K1002" s="5" t="n">
        <x:v>35.2</x:v>
      </x:c>
      <x:c r="L1002" s="5" t="n">
        <x:v>1.99</x:v>
      </x:c>
      <x:c r="M1002" s="1" t="n">
        <x:v>0</x:v>
      </x:c>
      <x:c r="N1002" s="6" t="n">
        <x:v>0.952</x:v>
      </x:c>
      <x:c r="O1002" s="1" t="str">
        <x:v>합격</x:v>
      </x:c>
      <x:c r="P1002" s="1"/>
      <x:c r="Q1002" s="1" t="n">
        <x:v>36</x:v>
      </x:c>
      <x:c r="R1002" s="1" t="str">
        <x:v>N</x:v>
      </x:c>
      <x:c r="S1002" s="1" t="n">
        <x:v>0</x:v>
      </x:c>
      <x:c r="T1002" s="1" t="str">
        <x:v>합격</x:v>
      </x:c>
    </x:row>
    <x:row r="1003" ht="22" customHeight="1">
      <x:c r="A1003" s="1" t="str">
        <x:v>R01002</x:v>
      </x:c>
      <x:c r="B1003" s="4" t="n">
        <x:v>46213.37746527778</x:v>
      </x:c>
      <x:c r="C1003" s="1" t="str">
        <x:v>주간</x:v>
      </x:c>
      <x:c r="D1003" s="1" t="str">
        <x:v>L2</x:v>
      </x:c>
      <x:c r="E1003" s="1" t="str">
        <x:v>P2</x:v>
      </x:c>
      <x:c r="F1003" s="1" t="str">
        <x:v>M02</x:v>
      </x:c>
      <x:c r="G1003" s="1" t="str">
        <x:v>G06</x:v>
      </x:c>
      <x:c r="H1003" s="5" t="n">
        <x:v>31.73</x:v>
      </x:c>
      <x:c r="I1003" s="5" t="n">
        <x:v>5.92</x:v>
      </x:c>
      <x:c r="J1003" s="5" t="n">
        <x:v>48.9</x:v>
      </x:c>
      <x:c r="K1003" s="5" t="n">
        <x:v>41.3</x:v>
      </x:c>
      <x:c r="L1003" s="5" t="n">
        <x:v>2.51</x:v>
      </x:c>
      <x:c r="M1003" s="1" t="n">
        <x:v>0</x:v>
      </x:c>
      <x:c r="N1003" s="6" t="n">
        <x:v>0.87</x:v>
      </x:c>
      <x:c r="O1003" s="1" t="str">
        <x:v>합격</x:v>
      </x:c>
      <x:c r="P1003" s="1"/>
      <x:c r="Q1003" s="1" t="n">
        <x:v>48</x:v>
      </x:c>
      <x:c r="R1003" s="1" t="str">
        <x:v>N</x:v>
      </x:c>
      <x:c r="S1003" s="1" t="n">
        <x:v>0</x:v>
      </x:c>
      <x:c r="T1003" s="1" t="str">
        <x:v>합격</x:v>
      </x:c>
    </x:row>
    <x:row r="1004" ht="22" customHeight="1">
      <x:c r="A1004" s="1" t="str">
        <x:v>R01003</x:v>
      </x:c>
      <x:c r="B1004" s="4" t="n">
        <x:v>46214.97017361111</x:v>
      </x:c>
      <x:c r="C1004" s="1" t="str">
        <x:v>야간</x:v>
      </x:c>
      <x:c r="D1004" s="1" t="str">
        <x:v>L1</x:v>
      </x:c>
      <x:c r="E1004" s="1" t="str">
        <x:v>P1</x:v>
      </x:c>
      <x:c r="F1004" s="1" t="str">
        <x:v>M03</x:v>
      </x:c>
      <x:c r="G1004" s="1" t="str">
        <x:v>G01</x:v>
      </x:c>
      <x:c r="H1004" s="5" t="n">
        <x:v>33.64</x:v>
      </x:c>
      <x:c r="I1004" s="5" t="n">
        <x:v>5.97</x:v>
      </x:c>
      <x:c r="J1004" s="5" t="n">
        <x:v>51.8</x:v>
      </x:c>
      <x:c r="K1004" s="5" t="n">
        <x:v>36.2</x:v>
      </x:c>
      <x:c r="L1004" s="5" t="n">
        <x:v>1.66</x:v>
      </x:c>
      <x:c r="M1004" s="1" t="n">
        <x:v>1</x:v>
      </x:c>
      <x:c r="N1004" s="6" t="n">
        <x:v>0.922</x:v>
      </x:c>
      <x:c r="O1004" s="1" t="str">
        <x:v>합격</x:v>
      </x:c>
      <x:c r="P1004" s="1"/>
      <x:c r="Q1004" s="1" t="n">
        <x:v>36</x:v>
      </x:c>
      <x:c r="R1004" s="1" t="str">
        <x:v>N</x:v>
      </x:c>
      <x:c r="S1004" s="1" t="n">
        <x:v>0</x:v>
      </x:c>
      <x:c r="T1004" s="1" t="str">
        <x:v>합격</x:v>
      </x:c>
    </x:row>
    <x:row r="1005" ht="22" customHeight="1">
      <x:c r="A1005" s="1" t="str">
        <x:v>R01004</x:v>
      </x:c>
      <x:c r="B1005" s="4" t="n">
        <x:v>46215.93238425926</x:v>
      </x:c>
      <x:c r="C1005" s="1" t="str">
        <x:v>야간</x:v>
      </x:c>
      <x:c r="D1005" s="1" t="str">
        <x:v>L1</x:v>
      </x:c>
      <x:c r="E1005" s="1" t="str">
        <x:v>P1</x:v>
      </x:c>
      <x:c r="F1005" s="1" t="str">
        <x:v>M04</x:v>
      </x:c>
      <x:c r="G1005" s="1" t="str">
        <x:v>G02</x:v>
      </x:c>
      <x:c r="H1005" s="5" t="n">
        <x:v>31.28</x:v>
      </x:c>
      <x:c r="I1005" s="5" t="n">
        <x:v>5.74</x:v>
      </x:c>
      <x:c r="J1005" s="5" t="n">
        <x:v>52.2</x:v>
      </x:c>
      <x:c r="K1005" s="5" t="n">
        <x:v>39.8</x:v>
      </x:c>
      <x:c r="L1005" s="5" t="n">
        <x:v>1.38</x:v>
      </x:c>
      <x:c r="M1005" s="1" t="n">
        <x:v>0</x:v>
      </x:c>
      <x:c r="N1005" s="6" t="n">
        <x:v>0.988</x:v>
      </x:c>
      <x:c r="O1005" s="1" t="str">
        <x:v>합격</x:v>
      </x:c>
      <x:c r="P1005" s="1"/>
      <x:c r="Q1005" s="1" t="n">
        <x:v>35</x:v>
      </x:c>
      <x:c r="R1005" s="1" t="str">
        <x:v>N</x:v>
      </x:c>
      <x:c r="S1005" s="1" t="n">
        <x:v>0</x:v>
      </x:c>
      <x:c r="T1005" s="1" t="str">
        <x:v>합격</x:v>
      </x:c>
    </x:row>
    <x:row r="1006" ht="22" customHeight="1">
      <x:c r="A1006" s="1" t="str">
        <x:v>R01005</x:v>
      </x:c>
      <x:c r="B1006" s="4" t="n">
        <x:v>46216.39929398148</x:v>
      </x:c>
      <x:c r="C1006" s="1" t="str">
        <x:v>주간</x:v>
      </x:c>
      <x:c r="D1006" s="1" t="str">
        <x:v>L2</x:v>
      </x:c>
      <x:c r="E1006" s="1" t="str">
        <x:v>P2</x:v>
      </x:c>
      <x:c r="F1006" s="1" t="str">
        <x:v>M02</x:v>
      </x:c>
      <x:c r="G1006" s="1" t="str">
        <x:v>G03</x:v>
      </x:c>
      <x:c r="H1006" s="5" t="n">
        <x:v>32.07</x:v>
      </x:c>
      <x:c r="I1006" s="5" t="n">
        <x:v>5.97</x:v>
      </x:c>
      <x:c r="J1006" s="5" t="n">
        <x:v>53.9</x:v>
      </x:c>
      <x:c r="K1006" s="5" t="n">
        <x:v>41.7</x:v>
      </x:c>
      <x:c r="L1006" s="5" t="n">
        <x:v>2.22</x:v>
      </x:c>
      <x:c r="M1006" s="1" t="n">
        <x:v>1</x:v>
      </x:c>
      <x:c r="N1006" s="6" t="n">
        <x:v>0.966</x:v>
      </x:c>
      <x:c r="O1006" s="1" t="str">
        <x:v>합격</x:v>
      </x:c>
      <x:c r="P1006" s="1"/>
      <x:c r="Q1006" s="1" t="n">
        <x:v>39</x:v>
      </x:c>
      <x:c r="R1006" s="1" t="str">
        <x:v>N</x:v>
      </x:c>
      <x:c r="S1006" s="1" t="n">
        <x:v>0</x:v>
      </x:c>
      <x:c r="T1006" s="1" t="str">
        <x:v>합격</x:v>
      </x:c>
    </x:row>
    <x:row r="1007" ht="22" customHeight="1">
      <x:c r="A1007" s="1" t="str">
        <x:v>R01006</x:v>
      </x:c>
      <x:c r="B1007" s="4" t="n">
        <x:v>46217.91579861111</x:v>
      </x:c>
      <x:c r="C1007" s="1" t="str">
        <x:v>야간</x:v>
      </x:c>
      <x:c r="D1007" s="1" t="str">
        <x:v>L1</x:v>
      </x:c>
      <x:c r="E1007" s="1" t="str">
        <x:v>P1</x:v>
      </x:c>
      <x:c r="F1007" s="1" t="str">
        <x:v>M04</x:v>
      </x:c>
      <x:c r="G1007" s="1" t="str">
        <x:v>G04</x:v>
      </x:c>
      <x:c r="H1007" s="5" t="n">
        <x:v>32.55</x:v>
      </x:c>
      <x:c r="I1007" s="5" t="n">
        <x:v>5.87</x:v>
      </x:c>
      <x:c r="J1007" s="5" t="n">
        <x:v>52.1</x:v>
      </x:c>
      <x:c r="K1007" s="5" t="n">
        <x:v>40.1</x:v>
      </x:c>
      <x:c r="L1007" s="5" t="n">
        <x:v>2.33</x:v>
      </x:c>
      <x:c r="M1007" s="1" t="n">
        <x:v>1</x:v>
      </x:c>
      <x:c r="N1007" s="6" t="n">
        <x:v>1.047</x:v>
      </x:c>
      <x:c r="O1007" s="1" t="str">
        <x:v>합격</x:v>
      </x:c>
      <x:c r="P1007" s="1"/>
      <x:c r="Q1007" s="1" t="n">
        <x:v>47</x:v>
      </x:c>
      <x:c r="R1007" s="1" t="str">
        <x:v>N</x:v>
      </x:c>
      <x:c r="S1007" s="1" t="n">
        <x:v>0</x:v>
      </x:c>
      <x:c r="T1007" s="1" t="str">
        <x:v>합격</x:v>
      </x:c>
    </x:row>
    <x:row r="1008" ht="22" customHeight="1">
      <x:c r="A1008" s="1" t="str">
        <x:v>R01007</x:v>
      </x:c>
      <x:c r="B1008" s="4" t="n">
        <x:v>46218.160046296296</x:v>
      </x:c>
      <x:c r="C1008" s="1" t="str">
        <x:v>야간</x:v>
      </x:c>
      <x:c r="D1008" s="1" t="str">
        <x:v>L2</x:v>
      </x:c>
      <x:c r="E1008" s="1" t="str">
        <x:v>P2</x:v>
      </x:c>
      <x:c r="F1008" s="1" t="str">
        <x:v>M01</x:v>
      </x:c>
      <x:c r="G1008" s="1" t="str">
        <x:v>G05</x:v>
      </x:c>
      <x:c r="H1008" s="5" t="n">
        <x:v>29.57</x:v>
      </x:c>
      <x:c r="I1008" s="5" t="n">
        <x:v>5.69</x:v>
      </x:c>
      <x:c r="J1008" s="5" t="n">
        <x:v>57.4</x:v>
      </x:c>
      <x:c r="K1008" s="5" t="n">
        <x:v>42</x:v>
      </x:c>
      <x:c r="L1008" s="5" t="n">
        <x:v>2.09</x:v>
      </x:c>
      <x:c r="M1008" s="1" t="n">
        <x:v>0</x:v>
      </x:c>
      <x:c r="N1008" s="6" t="n">
        <x:v>0.979</x:v>
      </x:c>
      <x:c r="O1008" s="1" t="str">
        <x:v>합격</x:v>
      </x:c>
      <x:c r="P1008" s="1"/>
      <x:c r="Q1008" s="1" t="n">
        <x:v>38</x:v>
      </x:c>
      <x:c r="R1008" s="1" t="str">
        <x:v>N</x:v>
      </x:c>
      <x:c r="S1008" s="1" t="n">
        <x:v>0</x:v>
      </x:c>
      <x:c r="T1008" s="1" t="str">
        <x:v>합격</x:v>
      </x:c>
    </x:row>
    <x:row r="1009" ht="22" customHeight="1">
      <x:c r="A1009" s="1" t="str">
        <x:v>R01008</x:v>
      </x:c>
      <x:c r="B1009" s="4" t="n">
        <x:v>46219.38547453703</x:v>
      </x:c>
      <x:c r="C1009" s="1" t="str">
        <x:v>주간</x:v>
      </x:c>
      <x:c r="D1009" s="1" t="str">
        <x:v>L2</x:v>
      </x:c>
      <x:c r="E1009" s="1" t="str">
        <x:v>P2</x:v>
      </x:c>
      <x:c r="F1009" s="1" t="str">
        <x:v>M02</x:v>
      </x:c>
      <x:c r="G1009" s="1" t="str">
        <x:v>G06</x:v>
      </x:c>
      <x:c r="H1009" s="5" t="n">
        <x:v>27.99</x:v>
      </x:c>
      <x:c r="I1009" s="5" t="n">
        <x:v>5.96</x:v>
      </x:c>
      <x:c r="J1009" s="5" t="n">
        <x:v>51</x:v>
      </x:c>
      <x:c r="K1009" s="5" t="n">
        <x:v>41.9</x:v>
      </x:c>
      <x:c r="L1009" s="5" t="n">
        <x:v>2.24</x:v>
      </x:c>
      <x:c r="M1009" s="1" t="n">
        <x:v>0</x:v>
      </x:c>
      <x:c r="N1009" s="6" t="n">
        <x:v>1.034</x:v>
      </x:c>
      <x:c r="O1009" s="1" t="str">
        <x:v>합격</x:v>
      </x:c>
      <x:c r="P1009" s="1"/>
      <x:c r="Q1009" s="1" t="n">
        <x:v>39</x:v>
      </x:c>
      <x:c r="R1009" s="1" t="str">
        <x:v>N</x:v>
      </x:c>
      <x:c r="S1009" s="1" t="n">
        <x:v>0</x:v>
      </x:c>
      <x:c r="T1009" s="1" t="str">
        <x:v>합격</x:v>
      </x:c>
    </x:row>
    <x:row r="1010" ht="22" customHeight="1">
      <x:c r="A1010" s="1" t="str">
        <x:v>R01009</x:v>
      </x:c>
      <x:c r="B1010" s="4" t="n">
        <x:v>46220.95459490741</x:v>
      </x:c>
      <x:c r="C1010" s="1" t="str">
        <x:v>야간</x:v>
      </x:c>
      <x:c r="D1010" s="1" t="str">
        <x:v>L2</x:v>
      </x:c>
      <x:c r="E1010" s="1" t="str">
        <x:v>P2</x:v>
      </x:c>
      <x:c r="F1010" s="1" t="str">
        <x:v>M02</x:v>
      </x:c>
      <x:c r="G1010" s="1" t="str">
        <x:v>G01</x:v>
      </x:c>
      <x:c r="H1010" s="5" t="n">
        <x:v>32.15</x:v>
      </x:c>
      <x:c r="I1010" s="5" t="n">
        <x:v>5.75</x:v>
      </x:c>
      <x:c r="J1010" s="5" t="n">
        <x:v>53.8</x:v>
      </x:c>
      <x:c r="K1010" s="5" t="n">
        <x:v>36.5</x:v>
      </x:c>
      <x:c r="L1010" s="5" t="n">
        <x:v>1.38</x:v>
      </x:c>
      <x:c r="M1010" s="1" t="n">
        <x:v>0</x:v>
      </x:c>
      <x:c r="N1010" s="6" t="n">
        <x:v>0.897</x:v>
      </x:c>
      <x:c r="O1010" s="1" t="str">
        <x:v>합격</x:v>
      </x:c>
      <x:c r="P1010" s="1"/>
      <x:c r="Q1010" s="1" t="n">
        <x:v>40</x:v>
      </x:c>
      <x:c r="R1010" s="1" t="str">
        <x:v>N</x:v>
      </x:c>
      <x:c r="S1010" s="1" t="n">
        <x:v>0</x:v>
      </x:c>
      <x:c r="T1010" s="1" t="str">
        <x:v>합격</x:v>
      </x:c>
    </x:row>
    <x:row r="1011" ht="22" customHeight="1">
      <x:c r="A1011" s="1" t="str">
        <x:v>R01010</x:v>
      </x:c>
      <x:c r="B1011" s="4" t="n">
        <x:v>46221.01974537037</x:v>
      </x:c>
      <x:c r="C1011" s="1" t="str">
        <x:v>야간</x:v>
      </x:c>
      <x:c r="D1011" s="1" t="str">
        <x:v>L2</x:v>
      </x:c>
      <x:c r="E1011" s="1" t="str">
        <x:v>P2</x:v>
      </x:c>
      <x:c r="F1011" s="1" t="str">
        <x:v>M02</x:v>
      </x:c>
      <x:c r="G1011" s="1" t="str">
        <x:v>G02</x:v>
      </x:c>
      <x:c r="H1011" s="5" t="n">
        <x:v>31.19</x:v>
      </x:c>
      <x:c r="I1011" s="5" t="n">
        <x:v>5.67</x:v>
      </x:c>
      <x:c r="J1011" s="5" t="n">
        <x:v>54.4</x:v>
      </x:c>
      <x:c r="K1011" s="5" t="n">
        <x:v>38.3</x:v>
      </x:c>
      <x:c r="L1011" s="5" t="n">
        <x:v>1.34</x:v>
      </x:c>
      <x:c r="M1011" s="1" t="n">
        <x:v>0</x:v>
      </x:c>
      <x:c r="N1011" s="6" t="n">
        <x:v>0.937</x:v>
      </x:c>
      <x:c r="O1011" s="1" t="str">
        <x:v>합격</x:v>
      </x:c>
      <x:c r="P1011" s="1"/>
      <x:c r="Q1011" s="1" t="n">
        <x:v>38</x:v>
      </x:c>
      <x:c r="R1011" s="1" t="str">
        <x:v>N</x:v>
      </x:c>
      <x:c r="S1011" s="1" t="n">
        <x:v>0</x:v>
      </x:c>
      <x:c r="T1011" s="1" t="str">
        <x:v>합격</x:v>
      </x:c>
    </x:row>
    <x:row r="1012" ht="22" customHeight="1">
      <x:c r="A1012" s="1" t="str">
        <x:v>R01011</x:v>
      </x:c>
      <x:c r="B1012" s="4" t="n">
        <x:v>46222.88201388889</x:v>
      </x:c>
      <x:c r="C1012" s="1" t="str">
        <x:v>야간</x:v>
      </x:c>
      <x:c r="D1012" s="1" t="str">
        <x:v>L1</x:v>
      </x:c>
      <x:c r="E1012" s="1" t="str">
        <x:v>P1</x:v>
      </x:c>
      <x:c r="F1012" s="1" t="str">
        <x:v>M04</x:v>
      </x:c>
      <x:c r="G1012" s="1" t="str">
        <x:v>G03</x:v>
      </x:c>
      <x:c r="H1012" s="5" t="n">
        <x:v>30.74</x:v>
      </x:c>
      <x:c r="I1012" s="5" t="n">
        <x:v>5.74</x:v>
      </x:c>
      <x:c r="J1012" s="5" t="n">
        <x:v>58.8</x:v>
      </x:c>
      <x:c r="K1012" s="5" t="n">
        <x:v>40.2</x:v>
      </x:c>
      <x:c r="L1012" s="5" t="n">
        <x:v>1.73</x:v>
      </x:c>
      <x:c r="M1012" s="1" t="n">
        <x:v>0</x:v>
      </x:c>
      <x:c r="N1012" s="6" t="n">
        <x:v>0.997</x:v>
      </x:c>
      <x:c r="O1012" s="1" t="str">
        <x:v>합격</x:v>
      </x:c>
      <x:c r="P1012" s="1"/>
      <x:c r="Q1012" s="1" t="n">
        <x:v>47</x:v>
      </x:c>
      <x:c r="R1012" s="1" t="str">
        <x:v>N</x:v>
      </x:c>
      <x:c r="S1012" s="1" t="n">
        <x:v>0</x:v>
      </x:c>
      <x:c r="T1012" s="1" t="str">
        <x:v>합격</x:v>
      </x:c>
    </x:row>
    <x:row r="1013" ht="22" customHeight="1">
      <x:c r="A1013" s="1" t="str">
        <x:v>R01012</x:v>
      </x:c>
      <x:c r="B1013" s="4" t="n">
        <x:v>46223.40372685185</x:v>
      </x:c>
      <x:c r="C1013" s="1" t="str">
        <x:v>주간</x:v>
      </x:c>
      <x:c r="D1013" s="1" t="str">
        <x:v>L1</x:v>
      </x:c>
      <x:c r="E1013" s="1" t="str">
        <x:v>P1</x:v>
      </x:c>
      <x:c r="F1013" s="1" t="str">
        <x:v>M03</x:v>
      </x:c>
      <x:c r="G1013" s="1" t="str">
        <x:v>G04</x:v>
      </x:c>
      <x:c r="H1013" s="5" t="n">
        <x:v>32.33</x:v>
      </x:c>
      <x:c r="I1013" s="5" t="n">
        <x:v>5.74</x:v>
      </x:c>
      <x:c r="J1013" s="5" t="n">
        <x:v>52.9</x:v>
      </x:c>
      <x:c r="K1013" s="5" t="n">
        <x:v>40.6</x:v>
      </x:c>
      <x:c r="L1013" s="5" t="n">
        <x:v>1.91</x:v>
      </x:c>
      <x:c r="M1013" s="1" t="n">
        <x:v>0</x:v>
      </x:c>
      <x:c r="N1013" s="6" t="n">
        <x:v>0.967</x:v>
      </x:c>
      <x:c r="O1013" s="1" t="str">
        <x:v>합격</x:v>
      </x:c>
      <x:c r="P1013" s="1"/>
      <x:c r="Q1013" s="1" t="n">
        <x:v>42</x:v>
      </x:c>
      <x:c r="R1013" s="1" t="str">
        <x:v>N</x:v>
      </x:c>
      <x:c r="S1013" s="1" t="n">
        <x:v>0</x:v>
      </x:c>
      <x:c r="T1013" s="1" t="str">
        <x:v>합격</x:v>
      </x:c>
    </x:row>
    <x:row r="1014" ht="22" customHeight="1">
      <x:c r="A1014" s="1" t="str">
        <x:v>R01013</x:v>
      </x:c>
      <x:c r="B1014" s="4" t="n">
        <x:v>46224.059016203704</x:v>
      </x:c>
      <x:c r="C1014" s="1" t="str">
        <x:v>야간</x:v>
      </x:c>
      <x:c r="D1014" s="1" t="str">
        <x:v>L2</x:v>
      </x:c>
      <x:c r="E1014" s="1" t="str">
        <x:v>P2</x:v>
      </x:c>
      <x:c r="F1014" s="1" t="str">
        <x:v>M02</x:v>
      </x:c>
      <x:c r="G1014" s="1" t="str">
        <x:v>G05</x:v>
      </x:c>
      <x:c r="H1014" s="5" t="n">
        <x:v>27.4</x:v>
      </x:c>
      <x:c r="I1014" s="5" t="n">
        <x:v>5.94</x:v>
      </x:c>
      <x:c r="J1014" s="5" t="n">
        <x:v>54.3</x:v>
      </x:c>
      <x:c r="K1014" s="5" t="n">
        <x:v>35</x:v>
      </x:c>
      <x:c r="L1014" s="5" t="n">
        <x:v>1.5</x:v>
      </x:c>
      <x:c r="M1014" s="1" t="n">
        <x:v>1</x:v>
      </x:c>
      <x:c r="N1014" s="6" t="n">
        <x:v>0.888</x:v>
      </x:c>
      <x:c r="O1014" s="1" t="str">
        <x:v>합격</x:v>
      </x:c>
      <x:c r="P1014" s="1"/>
      <x:c r="Q1014" s="1" t="n">
        <x:v>37</x:v>
      </x:c>
      <x:c r="R1014" s="1" t="str">
        <x:v>N</x:v>
      </x:c>
      <x:c r="S1014" s="1" t="n">
        <x:v>0</x:v>
      </x:c>
      <x:c r="T1014" s="1" t="str">
        <x:v>합격</x:v>
      </x:c>
    </x:row>
    <x:row r="1015" ht="22" customHeight="1">
      <x:c r="A1015" s="1" t="str">
        <x:v>R01014</x:v>
      </x:c>
      <x:c r="B1015" s="4" t="n">
        <x:v>46225.42920138889</x:v>
      </x:c>
      <x:c r="C1015" s="1" t="str">
        <x:v>주간</x:v>
      </x:c>
      <x:c r="D1015" s="1" t="str">
        <x:v>L2</x:v>
      </x:c>
      <x:c r="E1015" s="1" t="str">
        <x:v>P2</x:v>
      </x:c>
      <x:c r="F1015" s="1" t="str">
        <x:v>M02</x:v>
      </x:c>
      <x:c r="G1015" s="1" t="str">
        <x:v>G06</x:v>
      </x:c>
      <x:c r="H1015" s="5" t="n">
        <x:v>30.72</x:v>
      </x:c>
      <x:c r="I1015" s="5" t="n">
        <x:v>5.67</x:v>
      </x:c>
      <x:c r="J1015" s="5" t="n">
        <x:v>48.7</x:v>
      </x:c>
      <x:c r="K1015" s="5" t="n">
        <x:v>37.6</x:v>
      </x:c>
      <x:c r="L1015" s="5" t="n">
        <x:v>2.55</x:v>
      </x:c>
      <x:c r="M1015" s="1" t="n">
        <x:v>0</x:v>
      </x:c>
      <x:c r="N1015" s="6" t="n">
        <x:v>0.925</x:v>
      </x:c>
      <x:c r="O1015" s="1" t="str">
        <x:v>합격</x:v>
      </x:c>
      <x:c r="P1015" s="1"/>
      <x:c r="Q1015" s="1" t="n">
        <x:v>35</x:v>
      </x:c>
      <x:c r="R1015" s="1" t="str">
        <x:v>N</x:v>
      </x:c>
      <x:c r="S1015" s="1" t="n">
        <x:v>0</x:v>
      </x:c>
      <x:c r="T1015" s="1" t="str">
        <x:v>합격</x:v>
      </x:c>
    </x:row>
    <x:row r="1016" ht="22" customHeight="1">
      <x:c r="A1016" s="1" t="str">
        <x:v>R01015</x:v>
      </x:c>
      <x:c r="B1016" s="4" t="n">
        <x:v>46226.59747685185</x:v>
      </x:c>
      <x:c r="C1016" s="1" t="str">
        <x:v>주간</x:v>
      </x:c>
      <x:c r="D1016" s="1" t="str">
        <x:v>L1</x:v>
      </x:c>
      <x:c r="E1016" s="1" t="str">
        <x:v>P1</x:v>
      </x:c>
      <x:c r="F1016" s="1" t="str">
        <x:v>M03</x:v>
      </x:c>
      <x:c r="G1016" s="1" t="str">
        <x:v>G01</x:v>
      </x:c>
      <x:c r="H1016" s="5" t="n">
        <x:v>29.5</x:v>
      </x:c>
      <x:c r="I1016" s="5" t="n">
        <x:v>5.95</x:v>
      </x:c>
      <x:c r="J1016" s="5" t="n">
        <x:v>58.7</x:v>
      </x:c>
      <x:c r="K1016" s="5" t="n">
        <x:v>35.5</x:v>
      </x:c>
      <x:c r="L1016" s="5" t="n">
        <x:v>2.57</x:v>
      </x:c>
      <x:c r="M1016" s="1" t="n">
        <x:v>0</x:v>
      </x:c>
      <x:c r="N1016" s="6" t="n">
        <x:v>0.98</x:v>
      </x:c>
      <x:c r="O1016" s="1" t="str">
        <x:v>합격</x:v>
      </x:c>
      <x:c r="P1016" s="1"/>
      <x:c r="Q1016" s="1" t="n">
        <x:v>40</x:v>
      </x:c>
      <x:c r="R1016" s="1" t="str">
        <x:v>N</x:v>
      </x:c>
      <x:c r="S1016" s="1" t="n">
        <x:v>0</x:v>
      </x:c>
      <x:c r="T1016" s="1" t="str">
        <x:v>합격</x:v>
      </x:c>
    </x:row>
    <x:row r="1017" ht="22" customHeight="1">
      <x:c r="A1017" s="1" t="str">
        <x:v>R01016</x:v>
      </x:c>
      <x:c r="B1017" s="4" t="n">
        <x:v>46227.84122685185</x:v>
      </x:c>
      <x:c r="C1017" s="1" t="str">
        <x:v>야간</x:v>
      </x:c>
      <x:c r="D1017" s="1" t="str">
        <x:v>L1</x:v>
      </x:c>
      <x:c r="E1017" s="1" t="str">
        <x:v>P1</x:v>
      </x:c>
      <x:c r="F1017" s="1" t="str">
        <x:v>M04</x:v>
      </x:c>
      <x:c r="G1017" s="1" t="str">
        <x:v>G02</x:v>
      </x:c>
      <x:c r="H1017" s="5" t="n">
        <x:v>27.43</x:v>
      </x:c>
      <x:c r="I1017" s="5" t="n">
        <x:v>5.86</x:v>
      </x:c>
      <x:c r="J1017" s="5" t="n">
        <x:v>52.5</x:v>
      </x:c>
      <x:c r="K1017" s="5" t="n">
        <x:v>35.6</x:v>
      </x:c>
      <x:c r="L1017" s="5" t="n">
        <x:v>1.79</x:v>
      </x:c>
      <x:c r="M1017" s="1" t="n">
        <x:v>0</x:v>
      </x:c>
      <x:c r="N1017" s="6" t="n">
        <x:v>0.907</x:v>
      </x:c>
      <x:c r="O1017" s="1" t="str">
        <x:v>합격</x:v>
      </x:c>
      <x:c r="P1017" s="1"/>
      <x:c r="Q1017" s="1" t="n">
        <x:v>35</x:v>
      </x:c>
      <x:c r="R1017" s="1" t="str">
        <x:v>N</x:v>
      </x:c>
      <x:c r="S1017" s="1" t="n">
        <x:v>0</x:v>
      </x:c>
      <x:c r="T1017" s="1" t="str">
        <x:v>합격</x:v>
      </x:c>
    </x:row>
    <x:row r="1018" ht="22" customHeight="1">
      <x:c r="A1018" s="1" t="str">
        <x:v>R01017</x:v>
      </x:c>
      <x:c r="B1018" s="4" t="n">
        <x:v>46228.65526620371</x:v>
      </x:c>
      <x:c r="C1018" s="1" t="str">
        <x:v>주간</x:v>
      </x:c>
      <x:c r="D1018" s="1" t="str">
        <x:v>L2</x:v>
      </x:c>
      <x:c r="E1018" s="1" t="str">
        <x:v>P2</x:v>
      </x:c>
      <x:c r="F1018" s="1" t="str">
        <x:v>M04</x:v>
      </x:c>
      <x:c r="G1018" s="1" t="str">
        <x:v>G03</x:v>
      </x:c>
      <x:c r="H1018" s="5" t="n">
        <x:v>29.47</x:v>
      </x:c>
      <x:c r="I1018" s="5" t="n">
        <x:v>5.87</x:v>
      </x:c>
      <x:c r="J1018" s="5" t="n">
        <x:v>58</x:v>
      </x:c>
      <x:c r="K1018" s="5" t="n">
        <x:v>38.2</x:v>
      </x:c>
      <x:c r="L1018" s="5"/>
      <x:c r="M1018" s="1" t="n">
        <x:v>0</x:v>
      </x:c>
      <x:c r="N1018" s="6" t="n">
        <x:v>0.993</x:v>
      </x:c>
      <x:c r="O1018" s="1" t="str">
        <x:v>합격</x:v>
      </x:c>
      <x:c r="P1018" s="1"/>
      <x:c r="Q1018" s="1" t="n">
        <x:v>43</x:v>
      </x:c>
      <x:c r="R1018" s="1" t="str">
        <x:v>N</x:v>
      </x:c>
      <x:c r="S1018" s="1" t="n">
        <x:v>0</x:v>
      </x:c>
      <x:c r="T1018" s="1" t="str">
        <x:v>합격</x:v>
      </x:c>
    </x:row>
    <x:row r="1019" ht="22" customHeight="1">
      <x:c r="A1019" s="1" t="str">
        <x:v>R01018</x:v>
      </x:c>
      <x:c r="B1019" s="4" t="n">
        <x:v>46229.45365740741</x:v>
      </x:c>
      <x:c r="C1019" s="1" t="str">
        <x:v>주간</x:v>
      </x:c>
      <x:c r="D1019" s="1" t="str">
        <x:v>L1</x:v>
      </x:c>
      <x:c r="E1019" s="1" t="str">
        <x:v>P1</x:v>
      </x:c>
      <x:c r="F1019" s="1" t="str">
        <x:v>M01</x:v>
      </x:c>
      <x:c r="G1019" s="1" t="str">
        <x:v>G04</x:v>
      </x:c>
      <x:c r="H1019" s="5" t="n">
        <x:v>32.3</x:v>
      </x:c>
      <x:c r="I1019" s="5" t="n">
        <x:v>5.91</x:v>
      </x:c>
      <x:c r="J1019" s="5" t="n">
        <x:v>50.4</x:v>
      </x:c>
      <x:c r="K1019" s="5" t="n">
        <x:v>35.6</x:v>
      </x:c>
      <x:c r="L1019" s="5" t="n">
        <x:v>1.4</x:v>
      </x:c>
      <x:c r="M1019" s="1" t="n">
        <x:v>1</x:v>
      </x:c>
      <x:c r="N1019" s="6" t="n">
        <x:v>1.018</x:v>
      </x:c>
      <x:c r="O1019" s="1" t="str">
        <x:v>합격</x:v>
      </x:c>
      <x:c r="P1019" s="1"/>
      <x:c r="Q1019" s="1" t="n">
        <x:v>47</x:v>
      </x:c>
      <x:c r="R1019" s="1" t="str">
        <x:v>N</x:v>
      </x:c>
      <x:c r="S1019" s="1" t="n">
        <x:v>0</x:v>
      </x:c>
      <x:c r="T1019" s="1" t="str">
        <x:v>합격</x:v>
      </x:c>
    </x:row>
    <x:row r="1020" ht="22" customHeight="1">
      <x:c r="A1020" s="1" t="str">
        <x:v>R01019</x:v>
      </x:c>
      <x:c r="B1020" s="4" t="n">
        <x:v>46230.90122685185</x:v>
      </x:c>
      <x:c r="C1020" s="1" t="str">
        <x:v>야간</x:v>
      </x:c>
      <x:c r="D1020" s="1" t="str">
        <x:v>L2</x:v>
      </x:c>
      <x:c r="E1020" s="1" t="str">
        <x:v>P2</x:v>
      </x:c>
      <x:c r="F1020" s="1" t="str">
        <x:v>M01</x:v>
      </x:c>
      <x:c r="G1020" s="1" t="str">
        <x:v>G05</x:v>
      </x:c>
      <x:c r="H1020" s="5" t="n">
        <x:v>31.44</x:v>
      </x:c>
      <x:c r="I1020" s="5" t="n">
        <x:v>5.76</x:v>
      </x:c>
      <x:c r="J1020" s="5" t="n">
        <x:v>59</x:v>
      </x:c>
      <x:c r="K1020" s="5" t="n">
        <x:v>35.3</x:v>
      </x:c>
      <x:c r="L1020" s="5" t="n">
        <x:v>2.47</x:v>
      </x:c>
      <x:c r="M1020" s="1" t="n">
        <x:v>1</x:v>
      </x:c>
      <x:c r="N1020" s="6" t="n">
        <x:v>0.876</x:v>
      </x:c>
      <x:c r="O1020" s="1" t="str">
        <x:v>합격</x:v>
      </x:c>
      <x:c r="P1020" s="1"/>
      <x:c r="Q1020" s="1" t="n">
        <x:v>43</x:v>
      </x:c>
      <x:c r="R1020" s="1" t="str">
        <x:v>N</x:v>
      </x:c>
      <x:c r="S1020" s="1" t="n">
        <x:v>0</x:v>
      </x:c>
      <x:c r="T1020" s="1" t="str">
        <x:v>합격</x:v>
      </x:c>
    </x:row>
    <x:row r="1021" ht="22" customHeight="1">
      <x:c r="A1021" s="1" t="str">
        <x:v>R01020</x:v>
      </x:c>
      <x:c r="B1021" s="4" t="n">
        <x:v>46231.02315972222</x:v>
      </x:c>
      <x:c r="C1021" s="1" t="str">
        <x:v>야간</x:v>
      </x:c>
      <x:c r="D1021" s="1" t="str">
        <x:v>L1</x:v>
      </x:c>
      <x:c r="E1021" s="1" t="str">
        <x:v>P1</x:v>
      </x:c>
      <x:c r="F1021" s="1" t="str">
        <x:v>M04</x:v>
      </x:c>
      <x:c r="G1021" s="1" t="str">
        <x:v>G06</x:v>
      </x:c>
      <x:c r="H1021" s="5" t="n">
        <x:v>27.62</x:v>
      </x:c>
      <x:c r="I1021" s="5" t="n">
        <x:v>5.7</x:v>
      </x:c>
      <x:c r="J1021" s="5" t="n">
        <x:v>50.2</x:v>
      </x:c>
      <x:c r="K1021" s="5" t="n">
        <x:v>40.1</x:v>
      </x:c>
      <x:c r="L1021" s="5" t="n">
        <x:v>1.3</x:v>
      </x:c>
      <x:c r="M1021" s="1" t="n">
        <x:v>1</x:v>
      </x:c>
      <x:c r="N1021" s="6" t="n">
        <x:v>0.935</x:v>
      </x:c>
      <x:c r="O1021" s="1" t="str">
        <x:v>합격</x:v>
      </x:c>
      <x:c r="P1021" s="1"/>
      <x:c r="Q1021" s="1" t="n">
        <x:v>38</x:v>
      </x:c>
      <x:c r="R1021" s="1" t="str">
        <x:v>N</x:v>
      </x:c>
      <x:c r="S1021" s="1" t="n">
        <x:v>0</x:v>
      </x:c>
      <x:c r="T1021" s="1" t="str">
        <x:v>합격</x:v>
      </x:c>
    </x:row>
    <x:row r="1022" ht="22" customHeight="1">
      <x:c r="A1022" s="1" t="str">
        <x:v>R01021</x:v>
      </x:c>
      <x:c r="B1022" s="4" t="n">
        <x:v>46232.8975</x:v>
      </x:c>
      <x:c r="C1022" s="1" t="str">
        <x:v>야간</x:v>
      </x:c>
      <x:c r="D1022" s="1" t="str">
        <x:v>L1</x:v>
      </x:c>
      <x:c r="E1022" s="1" t="str">
        <x:v>P1</x:v>
      </x:c>
      <x:c r="F1022" s="1" t="str">
        <x:v>M04</x:v>
      </x:c>
      <x:c r="G1022" s="1" t="str">
        <x:v>G01</x:v>
      </x:c>
      <x:c r="H1022" s="5" t="n">
        <x:v>29.87</x:v>
      </x:c>
      <x:c r="I1022" s="5" t="n">
        <x:v>5.63</x:v>
      </x:c>
      <x:c r="J1022" s="5" t="n">
        <x:v>51</x:v>
      </x:c>
      <x:c r="K1022" s="5" t="n">
        <x:v>40.7</x:v>
      </x:c>
      <x:c r="L1022" s="5" t="n">
        <x:v>2.37</x:v>
      </x:c>
      <x:c r="M1022" s="1" t="n">
        <x:v>0</x:v>
      </x:c>
      <x:c r="N1022" s="6" t="n">
        <x:v>0.891</x:v>
      </x:c>
      <x:c r="O1022" s="1" t="str">
        <x:v>합격</x:v>
      </x:c>
      <x:c r="P1022" s="1"/>
      <x:c r="Q1022" s="1" t="n">
        <x:v>44</x:v>
      </x:c>
      <x:c r="R1022" s="1" t="str">
        <x:v>N</x:v>
      </x:c>
      <x:c r="S1022" s="1" t="n">
        <x:v>0</x:v>
      </x:c>
      <x:c r="T1022" s="1" t="str">
        <x:v>합격</x:v>
      </x:c>
    </x:row>
    <x:row r="1023" ht="22" customHeight="1">
      <x:c r="A1023" s="1" t="str">
        <x:v>R01022</x:v>
      </x:c>
      <x:c r="B1023" s="4" t="n">
        <x:v>46233.372141203705</x:v>
      </x:c>
      <x:c r="C1023" s="1" t="str">
        <x:v>주간</x:v>
      </x:c>
      <x:c r="D1023" s="1" t="str">
        <x:v>L2</x:v>
      </x:c>
      <x:c r="E1023" s="1" t="str">
        <x:v>P2</x:v>
      </x:c>
      <x:c r="F1023" s="1" t="str">
        <x:v>M04</x:v>
      </x:c>
      <x:c r="G1023" s="1" t="str">
        <x:v>G02</x:v>
      </x:c>
      <x:c r="H1023" s="5" t="n">
        <x:v>32.49</x:v>
      </x:c>
      <x:c r="I1023" s="5" t="n">
        <x:v>5.97</x:v>
      </x:c>
      <x:c r="J1023" s="5" t="n">
        <x:v>51.8</x:v>
      </x:c>
      <x:c r="K1023" s="5" t="n">
        <x:v>35.7</x:v>
      </x:c>
      <x:c r="L1023" s="5" t="n">
        <x:v>1.97</x:v>
      </x:c>
      <x:c r="M1023" s="1" t="n">
        <x:v>0</x:v>
      </x:c>
      <x:c r="N1023" s="6" t="n">
        <x:v>0.954</x:v>
      </x:c>
      <x:c r="O1023" s="1" t="str">
        <x:v>합격</x:v>
      </x:c>
      <x:c r="P1023" s="1"/>
      <x:c r="Q1023" s="1" t="n">
        <x:v>38</x:v>
      </x:c>
      <x:c r="R1023" s="1" t="str">
        <x:v>N</x:v>
      </x:c>
      <x:c r="S1023" s="1" t="n">
        <x:v>0</x:v>
      </x:c>
      <x:c r="T1023" s="1" t="str">
        <x:v>합격</x:v>
      </x:c>
    </x:row>
    <x:row r="1024" ht="22" customHeight="1">
      <x:c r="A1024" s="1" t="str">
        <x:v>R01023</x:v>
      </x:c>
      <x:c r="B1024" s="4" t="n">
        <x:v>46234.8924537037</x:v>
      </x:c>
      <x:c r="C1024" s="1" t="str">
        <x:v>야간</x:v>
      </x:c>
      <x:c r="D1024" s="1" t="str">
        <x:v>L2</x:v>
      </x:c>
      <x:c r="E1024" s="1" t="str">
        <x:v>P2</x:v>
      </x:c>
      <x:c r="F1024" s="1" t="str">
        <x:v>M01</x:v>
      </x:c>
      <x:c r="G1024" s="1" t="str">
        <x:v>G03</x:v>
      </x:c>
      <x:c r="H1024" s="5" t="n">
        <x:v>31.68</x:v>
      </x:c>
      <x:c r="I1024" s="5" t="n">
        <x:v>5.81</x:v>
      </x:c>
      <x:c r="J1024" s="5" t="n">
        <x:v>55</x:v>
      </x:c>
      <x:c r="K1024" s="5" t="n">
        <x:v>40.4</x:v>
      </x:c>
      <x:c r="L1024" s="5" t="n">
        <x:v>2.33</x:v>
      </x:c>
      <x:c r="M1024" s="1" t="n">
        <x:v>0</x:v>
      </x:c>
      <x:c r="N1024" s="6" t="n">
        <x:v>0.949</x:v>
      </x:c>
      <x:c r="O1024" s="1" t="str">
        <x:v>합격</x:v>
      </x:c>
      <x:c r="P1024" s="1"/>
      <x:c r="Q1024" s="1" t="n">
        <x:v>41</x:v>
      </x:c>
      <x:c r="R1024" s="1" t="str">
        <x:v>N</x:v>
      </x:c>
      <x:c r="S1024" s="1" t="n">
        <x:v>0</x:v>
      </x:c>
      <x:c r="T1024" s="1" t="str">
        <x:v>합격</x:v>
      </x:c>
    </x:row>
    <x:row r="1025" ht="22" customHeight="1">
      <x:c r="A1025" s="1" t="str">
        <x:v>R01024</x:v>
      </x:c>
      <x:c r="B1025" s="4" t="n">
        <x:v>46204.897881944446</x:v>
      </x:c>
      <x:c r="C1025" s="1" t="str">
        <x:v>야간</x:v>
      </x:c>
      <x:c r="D1025" s="1" t="str">
        <x:v>L1</x:v>
      </x:c>
      <x:c r="E1025" s="1" t="str">
        <x:v>P1</x:v>
      </x:c>
      <x:c r="F1025" s="1" t="str">
        <x:v>M03</x:v>
      </x:c>
      <x:c r="G1025" s="1" t="str">
        <x:v>G04</x:v>
      </x:c>
      <x:c r="H1025" s="5" t="n">
        <x:v>32.74</x:v>
      </x:c>
      <x:c r="I1025" s="5" t="n">
        <x:v>5.91</x:v>
      </x:c>
      <x:c r="J1025" s="5" t="n">
        <x:v>58.2</x:v>
      </x:c>
      <x:c r="K1025" s="5" t="n">
        <x:v>41.2</x:v>
      </x:c>
      <x:c r="L1025" s="5" t="n">
        <x:v>2.28</x:v>
      </x:c>
      <x:c r="M1025" s="1" t="n">
        <x:v>0</x:v>
      </x:c>
      <x:c r="N1025" s="6" t="n">
        <x:v>0.926</x:v>
      </x:c>
      <x:c r="O1025" s="1" t="str">
        <x:v>불합격</x:v>
      </x:c>
      <x:c r="P1025" s="1" t="str">
        <x:v>외관불량</x:v>
      </x:c>
      <x:c r="Q1025" s="1" t="n">
        <x:v>44</x:v>
      </x:c>
      <x:c r="R1025" s="1" t="str">
        <x:v>Y</x:v>
      </x:c>
      <x:c r="S1025" s="1" t="n">
        <x:v>7</x:v>
      </x:c>
      <x:c r="T1025" s="1" t="str">
        <x:v>재작업후합격</x:v>
      </x:c>
    </x:row>
    <x:row r="1026" ht="22" customHeight="1">
      <x:c r="A1026" s="1" t="str">
        <x:v>R01025</x:v>
      </x:c>
      <x:c r="B1026" s="4" t="n">
        <x:v>46205.451574074075</x:v>
      </x:c>
      <x:c r="C1026" s="1" t="str">
        <x:v>주간</x:v>
      </x:c>
      <x:c r="D1026" s="1" t="str">
        <x:v>L2</x:v>
      </x:c>
      <x:c r="E1026" s="1" t="str">
        <x:v>P2</x:v>
      </x:c>
      <x:c r="F1026" s="1" t="str">
        <x:v>M02</x:v>
      </x:c>
      <x:c r="G1026" s="1" t="str">
        <x:v>G05</x:v>
      </x:c>
      <x:c r="H1026" s="5" t="n">
        <x:v>30.49</x:v>
      </x:c>
      <x:c r="I1026" s="5" t="n">
        <x:v>5.92</x:v>
      </x:c>
      <x:c r="J1026" s="5" t="n">
        <x:v>56.5</x:v>
      </x:c>
      <x:c r="K1026" s="5" t="n">
        <x:v>41.2</x:v>
      </x:c>
      <x:c r="L1026" s="5" t="n">
        <x:v>1.59</x:v>
      </x:c>
      <x:c r="M1026" s="1" t="n">
        <x:v>1</x:v>
      </x:c>
      <x:c r="N1026" s="6" t="n">
        <x:v>1.01</x:v>
      </x:c>
      <x:c r="O1026" s="1" t="str">
        <x:v>합격</x:v>
      </x:c>
      <x:c r="P1026" s="1"/>
      <x:c r="Q1026" s="1" t="n">
        <x:v>36</x:v>
      </x:c>
      <x:c r="R1026" s="1" t="str">
        <x:v>N</x:v>
      </x:c>
      <x:c r="S1026" s="1" t="n">
        <x:v>0</x:v>
      </x:c>
      <x:c r="T1026" s="1" t="str">
        <x:v>합격</x:v>
      </x:c>
    </x:row>
    <x:row r="1027" ht="22" customHeight="1">
      <x:c r="A1027" s="1" t="str">
        <x:v>R01026</x:v>
      </x:c>
      <x:c r="B1027" s="4" t="n">
        <x:v>46206.448171296295</x:v>
      </x:c>
      <x:c r="C1027" s="1" t="str">
        <x:v>주간</x:v>
      </x:c>
      <x:c r="D1027" s="1" t="str">
        <x:v>L2</x:v>
      </x:c>
      <x:c r="E1027" s="1" t="str">
        <x:v>P2</x:v>
      </x:c>
      <x:c r="F1027" s="1" t="str">
        <x:v>M02</x:v>
      </x:c>
      <x:c r="G1027" s="1" t="str">
        <x:v>G06</x:v>
      </x:c>
      <x:c r="H1027" s="5" t="n">
        <x:v>29.08</x:v>
      </x:c>
      <x:c r="I1027" s="5" t="n">
        <x:v>5.75</x:v>
      </x:c>
      <x:c r="J1027" s="5" t="n">
        <x:v>48.9</x:v>
      </x:c>
      <x:c r="K1027" s="5" t="n">
        <x:v>39.8</x:v>
      </x:c>
      <x:c r="L1027" s="5" t="n">
        <x:v>2.51</x:v>
      </x:c>
      <x:c r="M1027" s="1" t="n">
        <x:v>1</x:v>
      </x:c>
      <x:c r="N1027" s="6" t="n">
        <x:v>0.915</x:v>
      </x:c>
      <x:c r="O1027" s="1" t="str">
        <x:v>합격</x:v>
      </x:c>
      <x:c r="P1027" s="1"/>
      <x:c r="Q1027" s="1" t="n">
        <x:v>40</x:v>
      </x:c>
      <x:c r="R1027" s="1" t="str">
        <x:v>N</x:v>
      </x:c>
      <x:c r="S1027" s="1" t="n">
        <x:v>0</x:v>
      </x:c>
      <x:c r="T1027" s="1" t="str">
        <x:v>합격</x:v>
      </x:c>
    </x:row>
    <x:row r="1028" ht="22" customHeight="1">
      <x:c r="A1028" s="1" t="str">
        <x:v>R01027</x:v>
      </x:c>
      <x:c r="B1028" s="4" t="n">
        <x:v>46207.14534722222</x:v>
      </x:c>
      <x:c r="C1028" s="1" t="str">
        <x:v>야간</x:v>
      </x:c>
      <x:c r="D1028" s="1" t="str">
        <x:v>L2</x:v>
      </x:c>
      <x:c r="E1028" s="1" t="str">
        <x:v>P2</x:v>
      </x:c>
      <x:c r="F1028" s="1" t="str">
        <x:v>M02</x:v>
      </x:c>
      <x:c r="G1028" s="1" t="str">
        <x:v>G01</x:v>
      </x:c>
      <x:c r="H1028" s="5" t="n">
        <x:v>27.72</x:v>
      </x:c>
      <x:c r="I1028" s="5" t="n">
        <x:v>5.64</x:v>
      </x:c>
      <x:c r="J1028" s="5" t="n">
        <x:v>53.2</x:v>
      </x:c>
      <x:c r="K1028" s="5" t="n">
        <x:v>40.1</x:v>
      </x:c>
      <x:c r="L1028" s="5" t="n">
        <x:v>2.67</x:v>
      </x:c>
      <x:c r="M1028" s="1" t="n">
        <x:v>0</x:v>
      </x:c>
      <x:c r="N1028" s="6" t="n">
        <x:v>0.883</x:v>
      </x:c>
      <x:c r="O1028" s="1" t="str">
        <x:v>합격</x:v>
      </x:c>
      <x:c r="P1028" s="1"/>
      <x:c r="Q1028" s="1" t="n">
        <x:v>49</x:v>
      </x:c>
      <x:c r="R1028" s="1" t="str">
        <x:v>N</x:v>
      </x:c>
      <x:c r="S1028" s="1" t="n">
        <x:v>0</x:v>
      </x:c>
      <x:c r="T1028" s="1" t="str">
        <x:v>합격</x:v>
      </x:c>
    </x:row>
    <x:row r="1029" ht="22" customHeight="1">
      <x:c r="A1029" s="1" t="str">
        <x:v>R01028</x:v>
      </x:c>
      <x:c r="B1029" s="4" t="n">
        <x:v>46208.53388888889</x:v>
      </x:c>
      <x:c r="C1029" s="1" t="str">
        <x:v>주간</x:v>
      </x:c>
      <x:c r="D1029" s="1" t="str">
        <x:v>L1</x:v>
      </x:c>
      <x:c r="E1029" s="1" t="str">
        <x:v>P1</x:v>
      </x:c>
      <x:c r="F1029" s="1" t="str">
        <x:v>M01</x:v>
      </x:c>
      <x:c r="G1029" s="1" t="str">
        <x:v>G02</x:v>
      </x:c>
      <x:c r="H1029" s="5" t="n">
        <x:v>27.49</x:v>
      </x:c>
      <x:c r="I1029" s="5" t="n">
        <x:v>5.97</x:v>
      </x:c>
      <x:c r="J1029" s="5" t="n">
        <x:v>50</x:v>
      </x:c>
      <x:c r="K1029" s="5" t="n">
        <x:v>41.6</x:v>
      </x:c>
      <x:c r="L1029" s="5" t="n">
        <x:v>2.54</x:v>
      </x:c>
      <x:c r="M1029" s="1" t="n">
        <x:v>1</x:v>
      </x:c>
      <x:c r="N1029" s="6" t="n">
        <x:v>1</x:v>
      </x:c>
      <x:c r="O1029" s="1" t="str">
        <x:v>합격</x:v>
      </x:c>
      <x:c r="P1029" s="1"/>
      <x:c r="Q1029" s="1" t="n">
        <x:v>45</x:v>
      </x:c>
      <x:c r="R1029" s="1" t="str">
        <x:v>N</x:v>
      </x:c>
      <x:c r="S1029" s="1" t="n">
        <x:v>0</x:v>
      </x:c>
      <x:c r="T1029" s="1" t="str">
        <x:v>합격</x:v>
      </x:c>
    </x:row>
    <x:row r="1030" ht="22" customHeight="1">
      <x:c r="A1030" s="1" t="str">
        <x:v>R01029</x:v>
      </x:c>
      <x:c r="B1030" s="4" t="n">
        <x:v>46209.63260416667</x:v>
      </x:c>
      <x:c r="C1030" s="1" t="str">
        <x:v>주간</x:v>
      </x:c>
      <x:c r="D1030" s="1" t="str">
        <x:v>L2</x:v>
      </x:c>
      <x:c r="E1030" s="1" t="str">
        <x:v>P2</x:v>
      </x:c>
      <x:c r="F1030" s="1" t="str">
        <x:v>M02</x:v>
      </x:c>
      <x:c r="G1030" s="1" t="str">
        <x:v>G03</x:v>
      </x:c>
      <x:c r="H1030" s="5" t="n">
        <x:v>28.46</x:v>
      </x:c>
      <x:c r="I1030" s="5" t="n">
        <x:v>5.78</x:v>
      </x:c>
      <x:c r="J1030" s="5" t="n">
        <x:v>50.9</x:v>
      </x:c>
      <x:c r="K1030" s="5" t="n">
        <x:v>37.5</x:v>
      </x:c>
      <x:c r="L1030" s="5" t="n">
        <x:v>2.28</x:v>
      </x:c>
      <x:c r="M1030" s="1" t="n">
        <x:v>1</x:v>
      </x:c>
      <x:c r="N1030" s="6" t="n">
        <x:v>0.855</x:v>
      </x:c>
      <x:c r="O1030" s="1" t="str">
        <x:v>합격</x:v>
      </x:c>
      <x:c r="P1030" s="1"/>
      <x:c r="Q1030" s="1" t="n">
        <x:v>45</x:v>
      </x:c>
      <x:c r="R1030" s="1" t="str">
        <x:v>N</x:v>
      </x:c>
      <x:c r="S1030" s="1" t="n">
        <x:v>0</x:v>
      </x:c>
      <x:c r="T1030" s="1" t="str">
        <x:v>합격</x:v>
      </x:c>
    </x:row>
    <x:row r="1031" ht="22" customHeight="1">
      <x:c r="A1031" s="1" t="str">
        <x:v>R01030</x:v>
      </x:c>
      <x:c r="B1031" s="4" t="n">
        <x:v>46210.403020833335</x:v>
      </x:c>
      <x:c r="C1031" s="1" t="str">
        <x:v>주간</x:v>
      </x:c>
      <x:c r="D1031" s="1" t="str">
        <x:v>L1</x:v>
      </x:c>
      <x:c r="E1031" s="1" t="str">
        <x:v>P1</x:v>
      </x:c>
      <x:c r="F1031" s="1" t="str">
        <x:v>M01</x:v>
      </x:c>
      <x:c r="G1031" s="1" t="str">
        <x:v>G04</x:v>
      </x:c>
      <x:c r="H1031" s="5" t="n">
        <x:v>27.82</x:v>
      </x:c>
      <x:c r="I1031" s="5" t="n">
        <x:v>5.99</x:v>
      </x:c>
      <x:c r="J1031" s="5" t="n">
        <x:v>47.1</x:v>
      </x:c>
      <x:c r="K1031" s="5" t="n">
        <x:v>36.1</x:v>
      </x:c>
      <x:c r="L1031" s="5" t="n">
        <x:v>1.46</x:v>
      </x:c>
      <x:c r="M1031" s="1" t="n">
        <x:v>1</x:v>
      </x:c>
      <x:c r="N1031" s="6" t="n">
        <x:v>0.991</x:v>
      </x:c>
      <x:c r="O1031" s="1" t="str">
        <x:v>합격</x:v>
      </x:c>
      <x:c r="P1031" s="1"/>
      <x:c r="Q1031" s="1" t="n">
        <x:v>40</x:v>
      </x:c>
      <x:c r="R1031" s="1" t="str">
        <x:v>N</x:v>
      </x:c>
      <x:c r="S1031" s="1" t="n">
        <x:v>0</x:v>
      </x:c>
      <x:c r="T1031" s="1" t="str">
        <x:v>합격</x:v>
      </x:c>
    </x:row>
    <x:row r="1032" ht="22" customHeight="1">
      <x:c r="A1032" s="1" t="str">
        <x:v>R01031</x:v>
      </x:c>
      <x:c r="B1032" s="4" t="n">
        <x:v>46211.629155092596</x:v>
      </x:c>
      <x:c r="C1032" s="1" t="str">
        <x:v>주간</x:v>
      </x:c>
      <x:c r="D1032" s="1" t="str">
        <x:v>L1</x:v>
      </x:c>
      <x:c r="E1032" s="1" t="str">
        <x:v>P1</x:v>
      </x:c>
      <x:c r="F1032" s="1" t="str">
        <x:v>M01</x:v>
      </x:c>
      <x:c r="G1032" s="1" t="str">
        <x:v>G05</x:v>
      </x:c>
      <x:c r="H1032" s="5" t="n">
        <x:v>28.24</x:v>
      </x:c>
      <x:c r="I1032" s="5" t="n">
        <x:v>5.69</x:v>
      </x:c>
      <x:c r="J1032" s="5" t="n">
        <x:v>56.3</x:v>
      </x:c>
      <x:c r="K1032" s="5" t="n">
        <x:v>35.8</x:v>
      </x:c>
      <x:c r="L1032" s="5" t="n">
        <x:v>1.51</x:v>
      </x:c>
      <x:c r="M1032" s="1" t="n">
        <x:v>0</x:v>
      </x:c>
      <x:c r="N1032" s="6" t="n">
        <x:v>0.967</x:v>
      </x:c>
      <x:c r="O1032" s="1" t="str">
        <x:v>합격</x:v>
      </x:c>
      <x:c r="P1032" s="1"/>
      <x:c r="Q1032" s="1" t="n">
        <x:v>46</x:v>
      </x:c>
      <x:c r="R1032" s="1" t="str">
        <x:v>N</x:v>
      </x:c>
      <x:c r="S1032" s="1" t="n">
        <x:v>0</x:v>
      </x:c>
      <x:c r="T1032" s="1" t="str">
        <x:v>합격</x:v>
      </x:c>
    </x:row>
    <x:row r="1033" ht="22" customHeight="1">
      <x:c r="A1033" s="1" t="str">
        <x:v>R01032</x:v>
      </x:c>
      <x:c r="B1033" s="4" t="n">
        <x:v>46212.44428240741</x:v>
      </x:c>
      <x:c r="C1033" s="1" t="str">
        <x:v>주간</x:v>
      </x:c>
      <x:c r="D1033" s="1" t="str">
        <x:v>L1</x:v>
      </x:c>
      <x:c r="E1033" s="1" t="str">
        <x:v>P1</x:v>
      </x:c>
      <x:c r="F1033" s="1" t="str">
        <x:v>M01</x:v>
      </x:c>
      <x:c r="G1033" s="1" t="str">
        <x:v>G06</x:v>
      </x:c>
      <x:c r="H1033" s="5" t="n">
        <x:v>29.99</x:v>
      </x:c>
      <x:c r="I1033" s="5" t="n">
        <x:v>5.61</x:v>
      </x:c>
      <x:c r="J1033" s="5" t="n">
        <x:v>57.5</x:v>
      </x:c>
      <x:c r="K1033" s="5" t="n">
        <x:v>36.6</x:v>
      </x:c>
      <x:c r="L1033" s="5" t="n">
        <x:v>1.59</x:v>
      </x:c>
      <x:c r="M1033" s="1" t="n">
        <x:v>0</x:v>
      </x:c>
      <x:c r="N1033" s="6" t="n">
        <x:v>0.916</x:v>
      </x:c>
      <x:c r="O1033" s="1" t="str">
        <x:v>합격</x:v>
      </x:c>
      <x:c r="P1033" s="1"/>
      <x:c r="Q1033" s="1" t="n">
        <x:v>38</x:v>
      </x:c>
      <x:c r="R1033" s="1" t="str">
        <x:v>N</x:v>
      </x:c>
      <x:c r="S1033" s="1" t="n">
        <x:v>0</x:v>
      </x:c>
      <x:c r="T1033" s="1" t="str">
        <x:v>합격</x:v>
      </x:c>
    </x:row>
    <x:row r="1034" ht="22" customHeight="1">
      <x:c r="A1034" s="1" t="str">
        <x:v>R01033</x:v>
      </x:c>
      <x:c r="B1034" s="4" t="n">
        <x:v>46213.43167824074</x:v>
      </x:c>
      <x:c r="C1034" s="1" t="str">
        <x:v>주간</x:v>
      </x:c>
      <x:c r="D1034" s="1" t="str">
        <x:v>L1</x:v>
      </x:c>
      <x:c r="E1034" s="1" t="str">
        <x:v>P1</x:v>
      </x:c>
      <x:c r="F1034" s="1" t="str">
        <x:v>M03</x:v>
      </x:c>
      <x:c r="G1034" s="1" t="str">
        <x:v>G01</x:v>
      </x:c>
      <x:c r="H1034" s="5" t="n">
        <x:v>30.31</x:v>
      </x:c>
      <x:c r="I1034" s="5" t="n">
        <x:v>5.83</x:v>
      </x:c>
      <x:c r="J1034" s="5" t="n">
        <x:v>55.2</x:v>
      </x:c>
      <x:c r="K1034" s="5" t="n">
        <x:v>35.2</x:v>
      </x:c>
      <x:c r="L1034" s="5" t="n">
        <x:v>2.22</x:v>
      </x:c>
      <x:c r="M1034" s="1" t="n">
        <x:v>1</x:v>
      </x:c>
      <x:c r="N1034" s="6" t="n">
        <x:v>0.882</x:v>
      </x:c>
      <x:c r="O1034" s="1" t="str">
        <x:v>합격</x:v>
      </x:c>
      <x:c r="P1034" s="1"/>
      <x:c r="Q1034" s="1" t="n">
        <x:v>45</x:v>
      </x:c>
      <x:c r="R1034" s="1" t="str">
        <x:v>N</x:v>
      </x:c>
      <x:c r="S1034" s="1" t="n">
        <x:v>0</x:v>
      </x:c>
      <x:c r="T1034" s="1" t="str">
        <x:v>합격</x:v>
      </x:c>
    </x:row>
    <x:row r="1035" ht="22" customHeight="1">
      <x:c r="A1035" s="1" t="str">
        <x:v>R01034</x:v>
      </x:c>
      <x:c r="B1035" s="4" t="n">
        <x:v>46214.615</x:v>
      </x:c>
      <x:c r="C1035" s="1" t="str">
        <x:v>주간</x:v>
      </x:c>
      <x:c r="D1035" s="1" t="str">
        <x:v>L1</x:v>
      </x:c>
      <x:c r="E1035" s="1" t="str">
        <x:v>P1</x:v>
      </x:c>
      <x:c r="F1035" s="1" t="str">
        <x:v>M03</x:v>
      </x:c>
      <x:c r="G1035" s="1" t="str">
        <x:v>G02</x:v>
      </x:c>
      <x:c r="H1035" s="5" t="n">
        <x:v>32.13</x:v>
      </x:c>
      <x:c r="I1035" s="5" t="n">
        <x:v>5.8</x:v>
      </x:c>
      <x:c r="J1035" s="5" t="n">
        <x:v>51.7</x:v>
      </x:c>
      <x:c r="K1035" s="5" t="n">
        <x:v>40.4</x:v>
      </x:c>
      <x:c r="L1035" s="5" t="n">
        <x:v>1.98</x:v>
      </x:c>
      <x:c r="M1035" s="1" t="n">
        <x:v>1</x:v>
      </x:c>
      <x:c r="N1035" s="6" t="n">
        <x:v>1.038</x:v>
      </x:c>
      <x:c r="O1035" s="1" t="str">
        <x:v>합격</x:v>
      </x:c>
      <x:c r="P1035" s="1"/>
      <x:c r="Q1035" s="1" t="n">
        <x:v>35</x:v>
      </x:c>
      <x:c r="R1035" s="1" t="str">
        <x:v>N</x:v>
      </x:c>
      <x:c r="S1035" s="1" t="n">
        <x:v>0</x:v>
      </x:c>
      <x:c r="T1035" s="1" t="str">
        <x:v>합격</x:v>
      </x:c>
    </x:row>
    <x:row r="1036" ht="22" customHeight="1">
      <x:c r="A1036" s="1" t="str">
        <x:v>R01035</x:v>
      </x:c>
      <x:c r="B1036" s="4" t="n">
        <x:v>46215.42461805556</x:v>
      </x:c>
      <x:c r="C1036" s="1" t="str">
        <x:v>주간</x:v>
      </x:c>
      <x:c r="D1036" s="1" t="str">
        <x:v>L1</x:v>
      </x:c>
      <x:c r="E1036" s="1" t="str">
        <x:v>P1</x:v>
      </x:c>
      <x:c r="F1036" s="1" t="str">
        <x:v>M03</x:v>
      </x:c>
      <x:c r="G1036" s="1" t="str">
        <x:v>G03</x:v>
      </x:c>
      <x:c r="H1036" s="5" t="n">
        <x:v>30.74</x:v>
      </x:c>
      <x:c r="I1036" s="5" t="n">
        <x:v>5.66</x:v>
      </x:c>
      <x:c r="J1036" s="5" t="n">
        <x:v>49</x:v>
      </x:c>
      <x:c r="K1036" s="5" t="n">
        <x:v>40.2</x:v>
      </x:c>
      <x:c r="L1036" s="5" t="n">
        <x:v>2.58</x:v>
      </x:c>
      <x:c r="M1036" s="1" t="n">
        <x:v>1</x:v>
      </x:c>
      <x:c r="N1036" s="6" t="n">
        <x:v>1.024</x:v>
      </x:c>
      <x:c r="O1036" s="1" t="str">
        <x:v>합격</x:v>
      </x:c>
      <x:c r="P1036" s="1"/>
      <x:c r="Q1036" s="1" t="n">
        <x:v>46</x:v>
      </x:c>
      <x:c r="R1036" s="1" t="str">
        <x:v>N</x:v>
      </x:c>
      <x:c r="S1036" s="1" t="n">
        <x:v>0</x:v>
      </x:c>
      <x:c r="T1036" s="1" t="str">
        <x:v>합격</x:v>
      </x:c>
    </x:row>
    <x:row r="1037" ht="22" customHeight="1">
      <x:c r="A1037" s="1" t="str">
        <x:v>R01036</x:v>
      </x:c>
      <x:c r="B1037" s="4" t="n">
        <x:v>46216.00815972222</x:v>
      </x:c>
      <x:c r="C1037" s="1" t="str">
        <x:v>야간</x:v>
      </x:c>
      <x:c r="D1037" s="1" t="str">
        <x:v>L1</x:v>
      </x:c>
      <x:c r="E1037" s="1" t="str">
        <x:v>P1</x:v>
      </x:c>
      <x:c r="F1037" s="1" t="str">
        <x:v>M04</x:v>
      </x:c>
      <x:c r="G1037" s="1" t="str">
        <x:v>G04</x:v>
      </x:c>
      <x:c r="H1037" s="5" t="n">
        <x:v>30.72</x:v>
      </x:c>
      <x:c r="I1037" s="5" t="n">
        <x:v>5.72</x:v>
      </x:c>
      <x:c r="J1037" s="5" t="n">
        <x:v>57.3</x:v>
      </x:c>
      <x:c r="K1037" s="5" t="n">
        <x:v>36.1</x:v>
      </x:c>
      <x:c r="L1037" s="5" t="n">
        <x:v>1.97</x:v>
      </x:c>
      <x:c r="M1037" s="1" t="n">
        <x:v>1</x:v>
      </x:c>
      <x:c r="N1037" s="6" t="n">
        <x:v>0.988</x:v>
      </x:c>
      <x:c r="O1037" s="1" t="str">
        <x:v>합격</x:v>
      </x:c>
      <x:c r="P1037" s="1"/>
      <x:c r="Q1037" s="1" t="n">
        <x:v>38</x:v>
      </x:c>
      <x:c r="R1037" s="1" t="str">
        <x:v>N</x:v>
      </x:c>
      <x:c r="S1037" s="1" t="n">
        <x:v>0</x:v>
      </x:c>
      <x:c r="T1037" s="1" t="str">
        <x:v>합격</x:v>
      </x:c>
    </x:row>
    <x:row r="1038" ht="22" customHeight="1">
      <x:c r="A1038" s="1" t="str">
        <x:v>R01037</x:v>
      </x:c>
      <x:c r="B1038" s="4" t="n">
        <x:v>46217.5369212963</x:v>
      </x:c>
      <x:c r="C1038" s="1" t="str">
        <x:v>주간</x:v>
      </x:c>
      <x:c r="D1038" s="1" t="str">
        <x:v>L2</x:v>
      </x:c>
      <x:c r="E1038" s="1" t="str">
        <x:v>P2</x:v>
      </x:c>
      <x:c r="F1038" s="1" t="str">
        <x:v>M02</x:v>
      </x:c>
      <x:c r="G1038" s="1" t="str">
        <x:v>G05</x:v>
      </x:c>
      <x:c r="H1038" s="5" t="n">
        <x:v>29.88</x:v>
      </x:c>
      <x:c r="I1038" s="5" t="n">
        <x:v>5.86</x:v>
      </x:c>
      <x:c r="J1038" s="5" t="n">
        <x:v>54.3</x:v>
      </x:c>
      <x:c r="K1038" s="5" t="n">
        <x:v>37.1</x:v>
      </x:c>
      <x:c r="L1038" s="5" t="n">
        <x:v>2.11</x:v>
      </x:c>
      <x:c r="M1038" s="1" t="n">
        <x:v>1</x:v>
      </x:c>
      <x:c r="N1038" s="6" t="n">
        <x:v>0.992</x:v>
      </x:c>
      <x:c r="O1038" s="1" t="str">
        <x:v>합격</x:v>
      </x:c>
      <x:c r="P1038" s="1"/>
      <x:c r="Q1038" s="1" t="n">
        <x:v>42</x:v>
      </x:c>
      <x:c r="R1038" s="1" t="str">
        <x:v>N</x:v>
      </x:c>
      <x:c r="S1038" s="1" t="n">
        <x:v>0</x:v>
      </x:c>
      <x:c r="T1038" s="1" t="str">
        <x:v>합격</x:v>
      </x:c>
    </x:row>
    <x:row r="1039" ht="22" customHeight="1">
      <x:c r="A1039" s="1" t="str">
        <x:v>R01038</x:v>
      </x:c>
      <x:c r="B1039" s="4" t="n">
        <x:v>46218.41611111111</x:v>
      </x:c>
      <x:c r="C1039" s="1" t="str">
        <x:v>주간</x:v>
      </x:c>
      <x:c r="D1039" s="1" t="str">
        <x:v>L2</x:v>
      </x:c>
      <x:c r="E1039" s="1" t="str">
        <x:v>P2</x:v>
      </x:c>
      <x:c r="F1039" s="1" t="str">
        <x:v>M02</x:v>
      </x:c>
      <x:c r="G1039" s="1" t="str">
        <x:v>G06</x:v>
      </x:c>
      <x:c r="H1039" s="5" t="n">
        <x:v>31.21</x:v>
      </x:c>
      <x:c r="I1039" s="5" t="n">
        <x:v>5.84</x:v>
      </x:c>
      <x:c r="J1039" s="5" t="n">
        <x:v>50.7</x:v>
      </x:c>
      <x:c r="K1039" s="5" t="n">
        <x:v>37.3</x:v>
      </x:c>
      <x:c r="L1039" s="5" t="n">
        <x:v>2.34</x:v>
      </x:c>
      <x:c r="M1039" s="1" t="n">
        <x:v>1</x:v>
      </x:c>
      <x:c r="N1039" s="6" t="n">
        <x:v>1.017</x:v>
      </x:c>
      <x:c r="O1039" s="1" t="str">
        <x:v>합격</x:v>
      </x:c>
      <x:c r="P1039" s="1"/>
      <x:c r="Q1039" s="1" t="n">
        <x:v>41</x:v>
      </x:c>
      <x:c r="R1039" s="1" t="str">
        <x:v>N</x:v>
      </x:c>
      <x:c r="S1039" s="1" t="n">
        <x:v>0</x:v>
      </x:c>
      <x:c r="T1039" s="1" t="str">
        <x:v>합격</x:v>
      </x:c>
    </x:row>
    <x:row r="1040" ht="22" customHeight="1">
      <x:c r="A1040" s="1" t="str">
        <x:v>R01039</x:v>
      </x:c>
      <x:c r="B1040" s="4" t="n">
        <x:v>46219.844560185185</x:v>
      </x:c>
      <x:c r="C1040" s="1" t="str">
        <x:v>야간</x:v>
      </x:c>
      <x:c r="D1040" s="1" t="str">
        <x:v>L2</x:v>
      </x:c>
      <x:c r="E1040" s="1" t="str">
        <x:v>P2</x:v>
      </x:c>
      <x:c r="F1040" s="1" t="str">
        <x:v>M01</x:v>
      </x:c>
      <x:c r="G1040" s="1" t="str">
        <x:v>G01</x:v>
      </x:c>
      <x:c r="H1040" s="5" t="n">
        <x:v>28.59</x:v>
      </x:c>
      <x:c r="I1040" s="5" t="n">
        <x:v>5.76</x:v>
      </x:c>
      <x:c r="J1040" s="5" t="n">
        <x:v>50.8</x:v>
      </x:c>
      <x:c r="K1040" s="5" t="n">
        <x:v>37.4</x:v>
      </x:c>
      <x:c r="L1040" s="5" t="n">
        <x:v>1.53</x:v>
      </x:c>
      <x:c r="M1040" s="1" t="n">
        <x:v>1</x:v>
      </x:c>
      <x:c r="N1040" s="6" t="n">
        <x:v>0.856</x:v>
      </x:c>
      <x:c r="O1040" s="1" t="str">
        <x:v>합격</x:v>
      </x:c>
      <x:c r="P1040" s="1"/>
      <x:c r="Q1040" s="1" t="n">
        <x:v>38</x:v>
      </x:c>
      <x:c r="R1040" s="1" t="str">
        <x:v>N</x:v>
      </x:c>
      <x:c r="S1040" s="1" t="n">
        <x:v>0</x:v>
      </x:c>
      <x:c r="T1040" s="1" t="str">
        <x:v>합격</x:v>
      </x:c>
    </x:row>
    <x:row r="1041" ht="22" customHeight="1">
      <x:c r="A1041" s="1" t="str">
        <x:v>R01040</x:v>
      </x:c>
      <x:c r="B1041" s="4" t="n">
        <x:v>46220.38431712963</x:v>
      </x:c>
      <x:c r="C1041" s="1" t="str">
        <x:v>주간</x:v>
      </x:c>
      <x:c r="D1041" s="1" t="str">
        <x:v>L1</x:v>
      </x:c>
      <x:c r="E1041" s="1" t="str">
        <x:v>P1</x:v>
      </x:c>
      <x:c r="F1041" s="1" t="str">
        <x:v>M03</x:v>
      </x:c>
      <x:c r="G1041" s="1" t="str">
        <x:v>G02</x:v>
      </x:c>
      <x:c r="H1041" s="5" t="n">
        <x:v>30.3</x:v>
      </x:c>
      <x:c r="I1041" s="5" t="n">
        <x:v>5.61</x:v>
      </x:c>
      <x:c r="J1041" s="5" t="n">
        <x:v>52.4</x:v>
      </x:c>
      <x:c r="K1041" s="5" t="n">
        <x:v>40.3</x:v>
      </x:c>
      <x:c r="L1041" s="5" t="n">
        <x:v>2.44</x:v>
      </x:c>
      <x:c r="M1041" s="1" t="n">
        <x:v>1</x:v>
      </x:c>
      <x:c r="N1041" s="6" t="n">
        <x:v>0.877</x:v>
      </x:c>
      <x:c r="O1041" s="1" t="str">
        <x:v>합격</x:v>
      </x:c>
      <x:c r="P1041" s="1"/>
      <x:c r="Q1041" s="1" t="n">
        <x:v>44</x:v>
      </x:c>
      <x:c r="R1041" s="1" t="str">
        <x:v>N</x:v>
      </x:c>
      <x:c r="S1041" s="1" t="n">
        <x:v>0</x:v>
      </x:c>
      <x:c r="T1041" s="1" t="str">
        <x:v>합격</x:v>
      </x:c>
    </x:row>
    <x:row r="1042" ht="22" customHeight="1">
      <x:c r="A1042" s="1" t="str">
        <x:v>R01041</x:v>
      </x:c>
      <x:c r="B1042" s="4" t="n">
        <x:v>46221.48224537037</x:v>
      </x:c>
      <x:c r="C1042" s="1" t="str">
        <x:v>주간</x:v>
      </x:c>
      <x:c r="D1042" s="1" t="str">
        <x:v>L1</x:v>
      </x:c>
      <x:c r="E1042" s="1" t="str">
        <x:v>P1</x:v>
      </x:c>
      <x:c r="F1042" s="1" t="str">
        <x:v>M03</x:v>
      </x:c>
      <x:c r="G1042" s="1" t="str">
        <x:v>G03</x:v>
      </x:c>
      <x:c r="H1042" s="5" t="n">
        <x:v>32.35</x:v>
      </x:c>
      <x:c r="I1042" s="5" t="n">
        <x:v>5.72</x:v>
      </x:c>
      <x:c r="J1042" s="5" t="n">
        <x:v>48.2</x:v>
      </x:c>
      <x:c r="K1042" s="5" t="n">
        <x:v>37.8</x:v>
      </x:c>
      <x:c r="L1042" s="5" t="n">
        <x:v>1.66</x:v>
      </x:c>
      <x:c r="M1042" s="1" t="n">
        <x:v>1</x:v>
      </x:c>
      <x:c r="N1042" s="6" t="n">
        <x:v>1.044</x:v>
      </x:c>
      <x:c r="O1042" s="1" t="str">
        <x:v>합격</x:v>
      </x:c>
      <x:c r="P1042" s="1"/>
      <x:c r="Q1042" s="1" t="n">
        <x:v>46</x:v>
      </x:c>
      <x:c r="R1042" s="1" t="str">
        <x:v>N</x:v>
      </x:c>
      <x:c r="S1042" s="1" t="n">
        <x:v>0</x:v>
      </x:c>
      <x:c r="T1042" s="1" t="str">
        <x:v>합격</x:v>
      </x:c>
    </x:row>
    <x:row r="1043" ht="22" customHeight="1">
      <x:c r="A1043" s="1" t="str">
        <x:v>R01042</x:v>
      </x:c>
      <x:c r="B1043" s="4" t="n">
        <x:v>46222.06957175926</x:v>
      </x:c>
      <x:c r="C1043" s="1" t="str">
        <x:v>야간</x:v>
      </x:c>
      <x:c r="D1043" s="1" t="str">
        <x:v>L2</x:v>
      </x:c>
      <x:c r="E1043" s="1" t="str">
        <x:v>P2</x:v>
      </x:c>
      <x:c r="F1043" s="1" t="str">
        <x:v>M02</x:v>
      </x:c>
      <x:c r="G1043" s="1" t="str">
        <x:v>G04</x:v>
      </x:c>
      <x:c r="H1043" s="5" t="n">
        <x:v>30.11</x:v>
      </x:c>
      <x:c r="I1043" s="5" t="n">
        <x:v>5.88</x:v>
      </x:c>
      <x:c r="J1043" s="5" t="n">
        <x:v>54.5</x:v>
      </x:c>
      <x:c r="K1043" s="5" t="n">
        <x:v>35.8</x:v>
      </x:c>
      <x:c r="L1043" s="5" t="n">
        <x:v>2.69</x:v>
      </x:c>
      <x:c r="M1043" s="1" t="n">
        <x:v>1</x:v>
      </x:c>
      <x:c r="N1043" s="6" t="n">
        <x:v>0.858</x:v>
      </x:c>
      <x:c r="O1043" s="1" t="str">
        <x:v>합격</x:v>
      </x:c>
      <x:c r="P1043" s="1"/>
      <x:c r="Q1043" s="1" t="n">
        <x:v>38</x:v>
      </x:c>
      <x:c r="R1043" s="1" t="str">
        <x:v>N</x:v>
      </x:c>
      <x:c r="S1043" s="1" t="n">
        <x:v>0</x:v>
      </x:c>
      <x:c r="T1043" s="1" t="str">
        <x:v>합격</x:v>
      </x:c>
    </x:row>
    <x:row r="1044" ht="22" customHeight="1">
      <x:c r="A1044" s="1" t="str">
        <x:v>R01043</x:v>
      </x:c>
      <x:c r="B1044" s="4" t="n">
        <x:v>46223.40597222222</x:v>
      </x:c>
      <x:c r="C1044" s="1" t="str">
        <x:v>주간</x:v>
      </x:c>
      <x:c r="D1044" s="1" t="str">
        <x:v>L1</x:v>
      </x:c>
      <x:c r="E1044" s="1" t="str">
        <x:v>P1</x:v>
      </x:c>
      <x:c r="F1044" s="1" t="str">
        <x:v>M02</x:v>
      </x:c>
      <x:c r="G1044" s="1" t="str">
        <x:v>G05</x:v>
      </x:c>
      <x:c r="H1044" s="5" t="n">
        <x:v>33.63</x:v>
      </x:c>
      <x:c r="I1044" s="5" t="n">
        <x:v>6</x:v>
      </x:c>
      <x:c r="J1044" s="5" t="n">
        <x:v>54.1</x:v>
      </x:c>
      <x:c r="K1044" s="5" t="n">
        <x:v>38.5</x:v>
      </x:c>
      <x:c r="L1044" s="5" t="n">
        <x:v>1.8</x:v>
      </x:c>
      <x:c r="M1044" s="1" t="n">
        <x:v>0</x:v>
      </x:c>
      <x:c r="N1044" s="6" t="n">
        <x:v>0.876</x:v>
      </x:c>
      <x:c r="O1044" s="1" t="str">
        <x:v>불합격</x:v>
      </x:c>
      <x:c r="P1044" s="1" t="str">
        <x:v>외관불량</x:v>
      </x:c>
      <x:c r="Q1044" s="1" t="n">
        <x:v>36</x:v>
      </x:c>
      <x:c r="R1044" s="1" t="str">
        <x:v>Y</x:v>
      </x:c>
      <x:c r="S1044" s="1" t="n">
        <x:v>7</x:v>
      </x:c>
      <x:c r="T1044" s="1" t="str">
        <x:v>재작업후합격</x:v>
      </x:c>
    </x:row>
    <x:row r="1045" ht="22" customHeight="1">
      <x:c r="A1045" s="1" t="str">
        <x:v>R01044</x:v>
      </x:c>
      <x:c r="B1045" s="4" t="n">
        <x:v>46224.5841087963</x:v>
      </x:c>
      <x:c r="C1045" s="1" t="str">
        <x:v>주간</x:v>
      </x:c>
      <x:c r="D1045" s="1" t="str">
        <x:v>L1</x:v>
      </x:c>
      <x:c r="E1045" s="1" t="str">
        <x:v>P1</x:v>
      </x:c>
      <x:c r="F1045" s="1" t="str">
        <x:v>M01</x:v>
      </x:c>
      <x:c r="G1045" s="1" t="str">
        <x:v>G06</x:v>
      </x:c>
      <x:c r="H1045" s="5" t="n">
        <x:v>28.62</x:v>
      </x:c>
      <x:c r="I1045" s="5" t="n">
        <x:v>5.89</x:v>
      </x:c>
      <x:c r="J1045" s="5" t="n">
        <x:v>57.9</x:v>
      </x:c>
      <x:c r="K1045" s="5" t="n">
        <x:v>37.9</x:v>
      </x:c>
      <x:c r="L1045" s="5" t="n">
        <x:v>1.86</x:v>
      </x:c>
      <x:c r="M1045" s="1" t="n">
        <x:v>1</x:v>
      </x:c>
      <x:c r="N1045" s="6" t="n">
        <x:v>0.969</x:v>
      </x:c>
      <x:c r="O1045" s="1" t="str">
        <x:v>합격</x:v>
      </x:c>
      <x:c r="P1045" s="1"/>
      <x:c r="Q1045" s="1" t="n">
        <x:v>47</x:v>
      </x:c>
      <x:c r="R1045" s="1" t="str">
        <x:v>N</x:v>
      </x:c>
      <x:c r="S1045" s="1" t="n">
        <x:v>0</x:v>
      </x:c>
      <x:c r="T1045" s="1" t="str">
        <x:v>합격</x:v>
      </x:c>
    </x:row>
    <x:row r="1046" ht="22" customHeight="1">
      <x:c r="A1046" s="1" t="str">
        <x:v>R01045</x:v>
      </x:c>
      <x:c r="B1046" s="4" t="n">
        <x:v>46225.49820601852</x:v>
      </x:c>
      <x:c r="C1046" s="1" t="str">
        <x:v>주간</x:v>
      </x:c>
      <x:c r="D1046" s="1" t="str">
        <x:v>L1</x:v>
      </x:c>
      <x:c r="E1046" s="1" t="str">
        <x:v>P1</x:v>
      </x:c>
      <x:c r="F1046" s="1" t="str">
        <x:v>M01</x:v>
      </x:c>
      <x:c r="G1046" s="1" t="str">
        <x:v>G01</x:v>
      </x:c>
      <x:c r="H1046" s="5" t="n">
        <x:v>31.02</x:v>
      </x:c>
      <x:c r="I1046" s="5" t="n">
        <x:v>5.9</x:v>
      </x:c>
      <x:c r="J1046" s="5" t="n">
        <x:v>47.2</x:v>
      </x:c>
      <x:c r="K1046" s="5" t="n">
        <x:v>37.5</x:v>
      </x:c>
      <x:c r="L1046" s="5" t="n">
        <x:v>1.93</x:v>
      </x:c>
      <x:c r="M1046" s="1" t="n">
        <x:v>0</x:v>
      </x:c>
      <x:c r="N1046" s="6" t="n">
        <x:v>1.024</x:v>
      </x:c>
      <x:c r="O1046" s="1" t="str">
        <x:v>합격</x:v>
      </x:c>
      <x:c r="P1046" s="1"/>
      <x:c r="Q1046" s="1" t="n">
        <x:v>35</x:v>
      </x:c>
      <x:c r="R1046" s="1" t="str">
        <x:v>N</x:v>
      </x:c>
      <x:c r="S1046" s="1" t="n">
        <x:v>0</x:v>
      </x:c>
      <x:c r="T1046" s="1" t="str">
        <x:v>합격</x:v>
      </x:c>
    </x:row>
    <x:row r="1047" ht="22" customHeight="1">
      <x:c r="A1047" s="1" t="str">
        <x:v>R01046</x:v>
      </x:c>
      <x:c r="B1047" s="4" t="n">
        <x:v>46226.164305555554</x:v>
      </x:c>
      <x:c r="C1047" s="1" t="str">
        <x:v>야간</x:v>
      </x:c>
      <x:c r="D1047" s="1" t="str">
        <x:v>L1</x:v>
      </x:c>
      <x:c r="E1047" s="1" t="str">
        <x:v>P1</x:v>
      </x:c>
      <x:c r="F1047" s="1" t="str">
        <x:v>M03</x:v>
      </x:c>
      <x:c r="G1047" s="1" t="str">
        <x:v>G02</x:v>
      </x:c>
      <x:c r="H1047" s="5" t="n">
        <x:v>30.3</x:v>
      </x:c>
      <x:c r="I1047" s="5" t="n">
        <x:v>5.91</x:v>
      </x:c>
      <x:c r="J1047" s="5" t="n">
        <x:v>51.2</x:v>
      </x:c>
      <x:c r="K1047" s="5" t="n">
        <x:v>40.8</x:v>
      </x:c>
      <x:c r="L1047" s="5" t="n">
        <x:v>2.22</x:v>
      </x:c>
      <x:c r="M1047" s="1" t="n">
        <x:v>0</x:v>
      </x:c>
      <x:c r="N1047" s="6" t="n">
        <x:v>0.851</x:v>
      </x:c>
      <x:c r="O1047" s="1" t="str">
        <x:v>합격</x:v>
      </x:c>
      <x:c r="P1047" s="1"/>
      <x:c r="Q1047" s="1" t="n">
        <x:v>41</x:v>
      </x:c>
      <x:c r="R1047" s="1" t="str">
        <x:v>N</x:v>
      </x:c>
      <x:c r="S1047" s="1" t="n">
        <x:v>0</x:v>
      </x:c>
      <x:c r="T1047" s="1" t="str">
        <x:v>합격</x:v>
      </x:c>
    </x:row>
    <x:row r="1048" ht="22" customHeight="1">
      <x:c r="A1048" s="1" t="str">
        <x:v>R01047</x:v>
      </x:c>
      <x:c r="B1048" s="4" t="n">
        <x:v>46227.023680555554</x:v>
      </x:c>
      <x:c r="C1048" s="1" t="str">
        <x:v>야간</x:v>
      </x:c>
      <x:c r="D1048" s="1" t="str">
        <x:v>L1</x:v>
      </x:c>
      <x:c r="E1048" s="1" t="str">
        <x:v>P1</x:v>
      </x:c>
      <x:c r="F1048" s="1" t="str">
        <x:v>M03</x:v>
      </x:c>
      <x:c r="G1048" s="1" t="str">
        <x:v>G03</x:v>
      </x:c>
      <x:c r="H1048" s="5" t="n">
        <x:v>33.84</x:v>
      </x:c>
      <x:c r="I1048" s="5" t="n">
        <x:v>5.85</x:v>
      </x:c>
      <x:c r="J1048" s="5" t="n">
        <x:v>58.6</x:v>
      </x:c>
      <x:c r="K1048" s="5" t="n">
        <x:v>41.8</x:v>
      </x:c>
      <x:c r="L1048" s="5" t="n">
        <x:v>1.93</x:v>
      </x:c>
      <x:c r="M1048" s="1" t="n">
        <x:v>1</x:v>
      </x:c>
      <x:c r="N1048" s="6" t="n">
        <x:v>0.918</x:v>
      </x:c>
      <x:c r="O1048" s="1" t="str">
        <x:v>합격</x:v>
      </x:c>
      <x:c r="P1048" s="1"/>
      <x:c r="Q1048" s="1" t="n">
        <x:v>41</x:v>
      </x:c>
      <x:c r="R1048" s="1" t="str">
        <x:v>N</x:v>
      </x:c>
      <x:c r="S1048" s="1" t="n">
        <x:v>0</x:v>
      </x:c>
      <x:c r="T1048" s="1" t="str">
        <x:v>합격</x:v>
      </x:c>
    </x:row>
    <x:row r="1049" ht="22" customHeight="1">
      <x:c r="A1049" s="1" t="str">
        <x:v>R01048</x:v>
      </x:c>
      <x:c r="B1049" s="4" t="n">
        <x:v>46228.62892361111</x:v>
      </x:c>
      <x:c r="C1049" s="1" t="str">
        <x:v>주간</x:v>
      </x:c>
      <x:c r="D1049" s="1" t="str">
        <x:v>L1</x:v>
      </x:c>
      <x:c r="E1049" s="1" t="str">
        <x:v>P1</x:v>
      </x:c>
      <x:c r="F1049" s="1" t="str">
        <x:v>M01</x:v>
      </x:c>
      <x:c r="G1049" s="1" t="str">
        <x:v>G04</x:v>
      </x:c>
      <x:c r="H1049" s="5" t="n">
        <x:v>29.07</x:v>
      </x:c>
      <x:c r="I1049" s="5" t="n">
        <x:v>5.91</x:v>
      </x:c>
      <x:c r="J1049" s="5" t="n">
        <x:v>54.7</x:v>
      </x:c>
      <x:c r="K1049" s="5" t="n">
        <x:v>40.2</x:v>
      </x:c>
      <x:c r="L1049" s="5" t="n">
        <x:v>2.1</x:v>
      </x:c>
      <x:c r="M1049" s="1" t="n">
        <x:v>1</x:v>
      </x:c>
      <x:c r="N1049" s="6" t="n">
        <x:v>1.027</x:v>
      </x:c>
      <x:c r="O1049" s="1" t="str">
        <x:v>합격</x:v>
      </x:c>
      <x:c r="P1049" s="1"/>
      <x:c r="Q1049" s="1" t="n">
        <x:v>49</x:v>
      </x:c>
      <x:c r="R1049" s="1" t="str">
        <x:v>N</x:v>
      </x:c>
      <x:c r="S1049" s="1" t="n">
        <x:v>0</x:v>
      </x:c>
      <x:c r="T1049" s="1" t="str">
        <x:v>합격</x:v>
      </x:c>
    </x:row>
    <x:row r="1050" ht="22" customHeight="1">
      <x:c r="A1050" s="1" t="str">
        <x:v>R01049</x:v>
      </x:c>
      <x:c r="B1050" s="4" t="n">
        <x:v>46229.554664351854</x:v>
      </x:c>
      <x:c r="C1050" s="1" t="str">
        <x:v>주간</x:v>
      </x:c>
      <x:c r="D1050" s="1" t="str">
        <x:v>L1</x:v>
      </x:c>
      <x:c r="E1050" s="1" t="str">
        <x:v>P1</x:v>
      </x:c>
      <x:c r="F1050" s="1" t="str">
        <x:v>M03</x:v>
      </x:c>
      <x:c r="G1050" s="1" t="str">
        <x:v>G05</x:v>
      </x:c>
      <x:c r="H1050" s="5" t="n">
        <x:v>32.13</x:v>
      </x:c>
      <x:c r="I1050" s="5" t="n">
        <x:v>5.67</x:v>
      </x:c>
      <x:c r="J1050" s="5" t="n">
        <x:v>55.2</x:v>
      </x:c>
      <x:c r="K1050" s="5" t="n">
        <x:v>35.4</x:v>
      </x:c>
      <x:c r="L1050" s="5" t="n">
        <x:v>1.33</x:v>
      </x:c>
      <x:c r="M1050" s="1" t="n">
        <x:v>0</x:v>
      </x:c>
      <x:c r="N1050" s="6" t="n">
        <x:v>0.93</x:v>
      </x:c>
      <x:c r="O1050" s="1" t="str">
        <x:v>합격</x:v>
      </x:c>
      <x:c r="P1050" s="1"/>
      <x:c r="Q1050" s="1" t="n">
        <x:v>40</x:v>
      </x:c>
      <x:c r="R1050" s="1" t="str">
        <x:v>N</x:v>
      </x:c>
      <x:c r="S1050" s="1" t="n">
        <x:v>0</x:v>
      </x:c>
      <x:c r="T1050" s="1" t="str">
        <x:v>합격</x:v>
      </x:c>
    </x:row>
    <x:row r="1051" ht="22" customHeight="1">
      <x:c r="A1051" s="1" t="str">
        <x:v>R01050</x:v>
      </x:c>
      <x:c r="B1051" s="4" t="n">
        <x:v>46230.63355324074</x:v>
      </x:c>
      <x:c r="C1051" s="1" t="str">
        <x:v>주간</x:v>
      </x:c>
      <x:c r="D1051" s="1" t="str">
        <x:v>L2</x:v>
      </x:c>
      <x:c r="E1051" s="1" t="str">
        <x:v>P2</x:v>
      </x:c>
      <x:c r="F1051" s="1" t="str">
        <x:v>M04</x:v>
      </x:c>
      <x:c r="G1051" s="1" t="str">
        <x:v>G06</x:v>
      </x:c>
      <x:c r="H1051" s="5" t="n">
        <x:v>29.93</x:v>
      </x:c>
      <x:c r="I1051" s="5" t="n">
        <x:v>5.6</x:v>
      </x:c>
      <x:c r="J1051" s="5" t="n">
        <x:v>56</x:v>
      </x:c>
      <x:c r="K1051" s="5" t="n">
        <x:v>39.3</x:v>
      </x:c>
      <x:c r="L1051" s="5" t="n">
        <x:v>1.45</x:v>
      </x:c>
      <x:c r="M1051" s="1" t="n">
        <x:v>1</x:v>
      </x:c>
      <x:c r="N1051" s="6" t="n">
        <x:v>0.924</x:v>
      </x:c>
      <x:c r="O1051" s="1" t="str">
        <x:v>합격</x:v>
      </x:c>
      <x:c r="P1051" s="1"/>
      <x:c r="Q1051" s="1" t="n">
        <x:v>43</x:v>
      </x:c>
      <x:c r="R1051" s="1" t="str">
        <x:v>N</x:v>
      </x:c>
      <x:c r="S1051" s="1" t="n">
        <x:v>0</x:v>
      </x:c>
      <x:c r="T1051" s="1" t="str">
        <x:v>합격</x:v>
      </x:c>
    </x:row>
    <x:row r="1052" ht="22" customHeight="1">
      <x:c r="A1052" s="1" t="str">
        <x:v>R01051</x:v>
      </x:c>
      <x:c r="B1052" s="4" t="n">
        <x:v>46231.83693287037</x:v>
      </x:c>
      <x:c r="C1052" s="1" t="str">
        <x:v>야간</x:v>
      </x:c>
      <x:c r="D1052" s="1" t="str">
        <x:v>L1</x:v>
      </x:c>
      <x:c r="E1052" s="1" t="str">
        <x:v>P1</x:v>
      </x:c>
      <x:c r="F1052" s="1" t="str">
        <x:v>M03</x:v>
      </x:c>
      <x:c r="G1052" s="1" t="str">
        <x:v>G01</x:v>
      </x:c>
      <x:c r="H1052" s="5" t="n">
        <x:v>32.64</x:v>
      </x:c>
      <x:c r="I1052" s="5" t="n">
        <x:v>5.88</x:v>
      </x:c>
      <x:c r="J1052" s="5" t="n">
        <x:v>49.1</x:v>
      </x:c>
      <x:c r="K1052" s="5" t="n">
        <x:v>41.9</x:v>
      </x:c>
      <x:c r="L1052" s="5" t="n">
        <x:v>1.58</x:v>
      </x:c>
      <x:c r="M1052" s="1" t="n">
        <x:v>0</x:v>
      </x:c>
      <x:c r="N1052" s="6" t="n">
        <x:v>0.88</x:v>
      </x:c>
      <x:c r="O1052" s="1" t="str">
        <x:v>합격</x:v>
      </x:c>
      <x:c r="P1052" s="1"/>
      <x:c r="Q1052" s="1" t="n">
        <x:v>40</x:v>
      </x:c>
      <x:c r="R1052" s="1" t="str">
        <x:v>N</x:v>
      </x:c>
      <x:c r="S1052" s="1" t="n">
        <x:v>0</x:v>
      </x:c>
      <x:c r="T1052" s="1" t="str">
        <x:v>합격</x:v>
      </x:c>
    </x:row>
    <x:row r="1053" ht="22" customHeight="1">
      <x:c r="A1053" s="1" t="str">
        <x:v>R01052</x:v>
      </x:c>
      <x:c r="B1053" s="4" t="n">
        <x:v>46232.3415625</x:v>
      </x:c>
      <x:c r="C1053" s="1" t="str">
        <x:v>주간</x:v>
      </x:c>
      <x:c r="D1053" s="1" t="str">
        <x:v>L2</x:v>
      </x:c>
      <x:c r="E1053" s="1" t="str">
        <x:v>P2</x:v>
      </x:c>
      <x:c r="F1053" s="1" t="str">
        <x:v>M04</x:v>
      </x:c>
      <x:c r="G1053" s="1" t="str">
        <x:v>G02</x:v>
      </x:c>
      <x:c r="H1053" s="5" t="n">
        <x:v>32.42</x:v>
      </x:c>
      <x:c r="I1053" s="5" t="n">
        <x:v>5.92</x:v>
      </x:c>
      <x:c r="J1053" s="5" t="n">
        <x:v>55.7</x:v>
      </x:c>
      <x:c r="K1053" s="5" t="n">
        <x:v>41.3</x:v>
      </x:c>
      <x:c r="L1053" s="5" t="n">
        <x:v>1.45</x:v>
      </x:c>
      <x:c r="M1053" s="1" t="n">
        <x:v>1</x:v>
      </x:c>
      <x:c r="N1053" s="6" t="n">
        <x:v>0.906</x:v>
      </x:c>
      <x:c r="O1053" s="1" t="str">
        <x:v>합격</x:v>
      </x:c>
      <x:c r="P1053" s="1"/>
      <x:c r="Q1053" s="1" t="n">
        <x:v>45</x:v>
      </x:c>
      <x:c r="R1053" s="1" t="str">
        <x:v>N</x:v>
      </x:c>
      <x:c r="S1053" s="1" t="n">
        <x:v>0</x:v>
      </x:c>
      <x:c r="T1053" s="1" t="str">
        <x:v>합격</x:v>
      </x:c>
    </x:row>
    <x:row r="1054" ht="22" customHeight="1">
      <x:c r="A1054" s="1" t="str">
        <x:v>R01053</x:v>
      </x:c>
      <x:c r="B1054" s="4" t="n">
        <x:v>46233.157430555555</x:v>
      </x:c>
      <x:c r="C1054" s="1" t="str">
        <x:v>야간</x:v>
      </x:c>
      <x:c r="D1054" s="1" t="str">
        <x:v>L2</x:v>
      </x:c>
      <x:c r="E1054" s="1" t="str">
        <x:v>P2</x:v>
      </x:c>
      <x:c r="F1054" s="1" t="str">
        <x:v>M02</x:v>
      </x:c>
      <x:c r="G1054" s="1" t="str">
        <x:v>G03</x:v>
      </x:c>
      <x:c r="H1054" s="5" t="n">
        <x:v>28.33</x:v>
      </x:c>
      <x:c r="I1054" s="5" t="n">
        <x:v>5.82</x:v>
      </x:c>
      <x:c r="J1054" s="5" t="n">
        <x:v>51.5</x:v>
      </x:c>
      <x:c r="K1054" s="5" t="n">
        <x:v>39.5</x:v>
      </x:c>
      <x:c r="L1054" s="5" t="n">
        <x:v>1.81</x:v>
      </x:c>
      <x:c r="M1054" s="1" t="n">
        <x:v>0</x:v>
      </x:c>
      <x:c r="N1054" s="6" t="n">
        <x:v>0.952</x:v>
      </x:c>
      <x:c r="O1054" s="1" t="str">
        <x:v>합격</x:v>
      </x:c>
      <x:c r="P1054" s="1"/>
      <x:c r="Q1054" s="1" t="n">
        <x:v>42</x:v>
      </x:c>
      <x:c r="R1054" s="1" t="str">
        <x:v>N</x:v>
      </x:c>
      <x:c r="S1054" s="1" t="n">
        <x:v>0</x:v>
      </x:c>
      <x:c r="T1054" s="1" t="str">
        <x:v>합격</x:v>
      </x:c>
    </x:row>
    <x:row r="1055" ht="22" customHeight="1">
      <x:c r="A1055" s="1" t="str">
        <x:v>R01054</x:v>
      </x:c>
      <x:c r="B1055" s="4" t="n">
        <x:v>46234.94758101852</x:v>
      </x:c>
      <x:c r="C1055" s="1" t="str">
        <x:v>야간</x:v>
      </x:c>
      <x:c r="D1055" s="1" t="str">
        <x:v>L1</x:v>
      </x:c>
      <x:c r="E1055" s="1" t="str">
        <x:v>P1</x:v>
      </x:c>
      <x:c r="F1055" s="1" t="str">
        <x:v>M03</x:v>
      </x:c>
      <x:c r="G1055" s="1" t="str">
        <x:v>G04</x:v>
      </x:c>
      <x:c r="H1055" s="5" t="n">
        <x:v>30.79</x:v>
      </x:c>
      <x:c r="I1055" s="5" t="n">
        <x:v>5.86</x:v>
      </x:c>
      <x:c r="J1055" s="5" t="n">
        <x:v>51.1</x:v>
      </x:c>
      <x:c r="K1055" s="5" t="n">
        <x:v>36.3</x:v>
      </x:c>
      <x:c r="L1055" s="5" t="n">
        <x:v>2.4</x:v>
      </x:c>
      <x:c r="M1055" s="1" t="n">
        <x:v>0</x:v>
      </x:c>
      <x:c r="N1055" s="6" t="n">
        <x:v>0.897</x:v>
      </x:c>
      <x:c r="O1055" s="1" t="str">
        <x:v>합격</x:v>
      </x:c>
      <x:c r="P1055" s="1"/>
      <x:c r="Q1055" s="1" t="n">
        <x:v>46</x:v>
      </x:c>
      <x:c r="R1055" s="1" t="str">
        <x:v>N</x:v>
      </x:c>
      <x:c r="S1055" s="1" t="n">
        <x:v>0</x:v>
      </x:c>
      <x:c r="T1055" s="1" t="str">
        <x:v>합격</x:v>
      </x:c>
    </x:row>
    <x:row r="1056" ht="22" customHeight="1">
      <x:c r="A1056" s="1" t="str">
        <x:v>R01055</x:v>
      </x:c>
      <x:c r="B1056" s="4" t="n">
        <x:v>46204.056122685186</x:v>
      </x:c>
      <x:c r="C1056" s="1" t="str">
        <x:v>야간</x:v>
      </x:c>
      <x:c r="D1056" s="1" t="str">
        <x:v>L1</x:v>
      </x:c>
      <x:c r="E1056" s="1" t="str">
        <x:v>P1</x:v>
      </x:c>
      <x:c r="F1056" s="1" t="str">
        <x:v>M03</x:v>
      </x:c>
      <x:c r="G1056" s="1" t="str">
        <x:v>G05</x:v>
      </x:c>
      <x:c r="H1056" s="5" t="n">
        <x:v>33.34</x:v>
      </x:c>
      <x:c r="I1056" s="5" t="n">
        <x:v>5.93</x:v>
      </x:c>
      <x:c r="J1056" s="5" t="n">
        <x:v>54.1</x:v>
      </x:c>
      <x:c r="K1056" s="5" t="n">
        <x:v>40.6</x:v>
      </x:c>
      <x:c r="L1056" s="5" t="n">
        <x:v>1.65</x:v>
      </x:c>
      <x:c r="M1056" s="1" t="n">
        <x:v>0</x:v>
      </x:c>
      <x:c r="N1056" s="6" t="n">
        <x:v>0.887</x:v>
      </x:c>
      <x:c r="O1056" s="1" t="str">
        <x:v>합격</x:v>
      </x:c>
      <x:c r="P1056" s="1"/>
      <x:c r="Q1056" s="1" t="n">
        <x:v>44</x:v>
      </x:c>
      <x:c r="R1056" s="1" t="str">
        <x:v>N</x:v>
      </x:c>
      <x:c r="S1056" s="1" t="n">
        <x:v>0</x:v>
      </x:c>
      <x:c r="T1056" s="1" t="str">
        <x:v>합격</x:v>
      </x:c>
    </x:row>
    <x:row r="1057" ht="22" customHeight="1">
      <x:c r="A1057" s="1" t="str">
        <x:v>R01056</x:v>
      </x:c>
      <x:c r="B1057" s="4" t="n">
        <x:v>46205.6556712963</x:v>
      </x:c>
      <x:c r="C1057" s="1" t="str">
        <x:v>주간</x:v>
      </x:c>
      <x:c r="D1057" s="1" t="str">
        <x:v>L1</x:v>
      </x:c>
      <x:c r="E1057" s="1" t="str">
        <x:v>P1</x:v>
      </x:c>
      <x:c r="F1057" s="1" t="str">
        <x:v>M01</x:v>
      </x:c>
      <x:c r="G1057" s="1" t="str">
        <x:v>G06</x:v>
      </x:c>
      <x:c r="H1057" s="5" t="n">
        <x:v>31.59</x:v>
      </x:c>
      <x:c r="I1057" s="5" t="n">
        <x:v>5.6</x:v>
      </x:c>
      <x:c r="J1057" s="5" t="n">
        <x:v>55.3</x:v>
      </x:c>
      <x:c r="K1057" s="5" t="n">
        <x:v>36.8</x:v>
      </x:c>
      <x:c r="L1057" s="5" t="n">
        <x:v>1.38</x:v>
      </x:c>
      <x:c r="M1057" s="1" t="n">
        <x:v>1</x:v>
      </x:c>
      <x:c r="N1057" s="6" t="n">
        <x:v>1.007</x:v>
      </x:c>
      <x:c r="O1057" s="1" t="str">
        <x:v>합격</x:v>
      </x:c>
      <x:c r="P1057" s="1"/>
      <x:c r="Q1057" s="1" t="n">
        <x:v>36</x:v>
      </x:c>
      <x:c r="R1057" s="1" t="str">
        <x:v>N</x:v>
      </x:c>
      <x:c r="S1057" s="1" t="n">
        <x:v>0</x:v>
      </x:c>
      <x:c r="T1057" s="1" t="str">
        <x:v>합격</x:v>
      </x:c>
    </x:row>
    <x:row r="1058" ht="22" customHeight="1">
      <x:c r="A1058" s="1" t="str">
        <x:v>R01057</x:v>
      </x:c>
      <x:c r="B1058" s="4" t="n">
        <x:v>46206.651724537034</x:v>
      </x:c>
      <x:c r="C1058" s="1" t="str">
        <x:v>주간</x:v>
      </x:c>
      <x:c r="D1058" s="1" t="str">
        <x:v>L2</x:v>
      </x:c>
      <x:c r="E1058" s="1" t="str">
        <x:v>P2</x:v>
      </x:c>
      <x:c r="F1058" s="1" t="str">
        <x:v>M02</x:v>
      </x:c>
      <x:c r="G1058" s="1" t="str">
        <x:v>G01</x:v>
      </x:c>
      <x:c r="H1058" s="5" t="n">
        <x:v>30.55</x:v>
      </x:c>
      <x:c r="I1058" s="5" t="n">
        <x:v>5.66</x:v>
      </x:c>
      <x:c r="J1058" s="5" t="n">
        <x:v>54.5</x:v>
      </x:c>
      <x:c r="K1058" s="5" t="n">
        <x:v>37.1</x:v>
      </x:c>
      <x:c r="L1058" s="5" t="n">
        <x:v>1.51</x:v>
      </x:c>
      <x:c r="M1058" s="1" t="n">
        <x:v>0</x:v>
      </x:c>
      <x:c r="N1058" s="6" t="n">
        <x:v>0.922</x:v>
      </x:c>
      <x:c r="O1058" s="1" t="str">
        <x:v>합격</x:v>
      </x:c>
      <x:c r="P1058" s="1"/>
      <x:c r="Q1058" s="1" t="n">
        <x:v>44</x:v>
      </x:c>
      <x:c r="R1058" s="1" t="str">
        <x:v>N</x:v>
      </x:c>
      <x:c r="S1058" s="1" t="n">
        <x:v>0</x:v>
      </x:c>
      <x:c r="T1058" s="1" t="str">
        <x:v>합격</x:v>
      </x:c>
    </x:row>
    <x:row r="1059" ht="22" customHeight="1">
      <x:c r="A1059" s="1" t="str">
        <x:v>R01058</x:v>
      </x:c>
      <x:c r="B1059" s="4" t="n">
        <x:v>46207.41568287037</x:v>
      </x:c>
      <x:c r="C1059" s="1" t="str">
        <x:v>주간</x:v>
      </x:c>
      <x:c r="D1059" s="1" t="str">
        <x:v>L1</x:v>
      </x:c>
      <x:c r="E1059" s="1" t="str">
        <x:v>P1</x:v>
      </x:c>
      <x:c r="F1059" s="1" t="str">
        <x:v>M01</x:v>
      </x:c>
      <x:c r="G1059" s="1" t="str">
        <x:v>G02</x:v>
      </x:c>
      <x:c r="H1059" s="5" t="n">
        <x:v>30.59</x:v>
      </x:c>
      <x:c r="I1059" s="5" t="n">
        <x:v>5.85</x:v>
      </x:c>
      <x:c r="J1059" s="5" t="n">
        <x:v>55.7</x:v>
      </x:c>
      <x:c r="K1059" s="5" t="n">
        <x:v>38.1</x:v>
      </x:c>
      <x:c r="L1059" s="5" t="n">
        <x:v>2.3</x:v>
      </x:c>
      <x:c r="M1059" s="1" t="n">
        <x:v>1</x:v>
      </x:c>
      <x:c r="N1059" s="6" t="n">
        <x:v>0.976</x:v>
      </x:c>
      <x:c r="O1059" s="1" t="str">
        <x:v>합격</x:v>
      </x:c>
      <x:c r="P1059" s="1"/>
      <x:c r="Q1059" s="1" t="n">
        <x:v>44</x:v>
      </x:c>
      <x:c r="R1059" s="1" t="str">
        <x:v>N</x:v>
      </x:c>
      <x:c r="S1059" s="1" t="n">
        <x:v>0</x:v>
      </x:c>
      <x:c r="T1059" s="1" t="str">
        <x:v>합격</x:v>
      </x:c>
    </x:row>
    <x:row r="1060" ht="22" customHeight="1">
      <x:c r="A1060" s="1" t="str">
        <x:v>R01059</x:v>
      </x:c>
      <x:c r="B1060" s="4" t="n">
        <x:v>46208.35298611111</x:v>
      </x:c>
      <x:c r="C1060" s="1" t="str">
        <x:v>주간</x:v>
      </x:c>
      <x:c r="D1060" s="1" t="str">
        <x:v>L2</x:v>
      </x:c>
      <x:c r="E1060" s="1" t="str">
        <x:v>P2</x:v>
      </x:c>
      <x:c r="F1060" s="1" t="str">
        <x:v>M02</x:v>
      </x:c>
      <x:c r="G1060" s="1" t="str">
        <x:v>G03</x:v>
      </x:c>
      <x:c r="H1060" s="5" t="n">
        <x:v>28.98</x:v>
      </x:c>
      <x:c r="I1060" s="5" t="n">
        <x:v>5.96</x:v>
      </x:c>
      <x:c r="J1060" s="5" t="n">
        <x:v>48</x:v>
      </x:c>
      <x:c r="K1060" s="5" t="n">
        <x:v>39.6</x:v>
      </x:c>
      <x:c r="L1060" s="5" t="n">
        <x:v>2.46</x:v>
      </x:c>
      <x:c r="M1060" s="1" t="n">
        <x:v>1</x:v>
      </x:c>
      <x:c r="N1060" s="6" t="n">
        <x:v>0.979</x:v>
      </x:c>
      <x:c r="O1060" s="1" t="str">
        <x:v>합격</x:v>
      </x:c>
      <x:c r="P1060" s="1"/>
      <x:c r="Q1060" s="1" t="n">
        <x:v>49</x:v>
      </x:c>
      <x:c r="R1060" s="1" t="str">
        <x:v>N</x:v>
      </x:c>
      <x:c r="S1060" s="1" t="n">
        <x:v>0</x:v>
      </x:c>
      <x:c r="T1060" s="1" t="str">
        <x:v>합격</x:v>
      </x:c>
    </x:row>
    <x:row r="1061" ht="22" customHeight="1">
      <x:c r="A1061" s="1" t="str">
        <x:v>R01060</x:v>
      </x:c>
      <x:c r="B1061" s="4" t="n">
        <x:v>46209.42020833334</x:v>
      </x:c>
      <x:c r="C1061" s="1" t="str">
        <x:v>주간</x:v>
      </x:c>
      <x:c r="D1061" s="1" t="str">
        <x:v>L1</x:v>
      </x:c>
      <x:c r="E1061" s="1" t="str">
        <x:v>P1</x:v>
      </x:c>
      <x:c r="F1061" s="1" t="str">
        <x:v>M01</x:v>
      </x:c>
      <x:c r="G1061" s="1" t="str">
        <x:v>G04</x:v>
      </x:c>
      <x:c r="H1061" s="5" t="n">
        <x:v>32.24</x:v>
      </x:c>
      <x:c r="I1061" s="5" t="n">
        <x:v>5.75</x:v>
      </x:c>
      <x:c r="J1061" s="5" t="n">
        <x:v>48.1</x:v>
      </x:c>
      <x:c r="K1061" s="5" t="n">
        <x:v>39.2</x:v>
      </x:c>
      <x:c r="L1061" s="5" t="n">
        <x:v>1.72</x:v>
      </x:c>
      <x:c r="M1061" s="1" t="n">
        <x:v>0</x:v>
      </x:c>
      <x:c r="N1061" s="6" t="n">
        <x:v>0.932</x:v>
      </x:c>
      <x:c r="O1061" s="1" t="str">
        <x:v>합격</x:v>
      </x:c>
      <x:c r="P1061" s="1"/>
      <x:c r="Q1061" s="1" t="n">
        <x:v>45</x:v>
      </x:c>
      <x:c r="R1061" s="1" t="str">
        <x:v>N</x:v>
      </x:c>
      <x:c r="S1061" s="1" t="n">
        <x:v>0</x:v>
      </x:c>
      <x:c r="T1061" s="1" t="str">
        <x:v>합격</x:v>
      </x:c>
    </x:row>
    <x:row r="1062" ht="22" customHeight="1">
      <x:c r="A1062" s="1" t="str">
        <x:v>R01061</x:v>
      </x:c>
      <x:c r="B1062" s="4" t="n">
        <x:v>46210.661087962966</x:v>
      </x:c>
      <x:c r="C1062" s="1" t="str">
        <x:v>주간</x:v>
      </x:c>
      <x:c r="D1062" s="1" t="str">
        <x:v>L2</x:v>
      </x:c>
      <x:c r="E1062" s="1" t="str">
        <x:v>P2</x:v>
      </x:c>
      <x:c r="F1062" s="1" t="str">
        <x:v>M02</x:v>
      </x:c>
      <x:c r="G1062" s="1" t="str">
        <x:v>G05</x:v>
      </x:c>
      <x:c r="H1062" s="5" t="n">
        <x:v>27.69</x:v>
      </x:c>
      <x:c r="I1062" s="5" t="n">
        <x:v>5.72</x:v>
      </x:c>
      <x:c r="J1062" s="5" t="n">
        <x:v>49.3</x:v>
      </x:c>
      <x:c r="K1062" s="5" t="n">
        <x:v>37</x:v>
      </x:c>
      <x:c r="L1062" s="5" t="n">
        <x:v>1.89</x:v>
      </x:c>
      <x:c r="M1062" s="1" t="n">
        <x:v>0</x:v>
      </x:c>
      <x:c r="N1062" s="6" t="n">
        <x:v>1.027</x:v>
      </x:c>
      <x:c r="O1062" s="1" t="str">
        <x:v>합격</x:v>
      </x:c>
      <x:c r="P1062" s="1"/>
      <x:c r="Q1062" s="1" t="n">
        <x:v>42</x:v>
      </x:c>
      <x:c r="R1062" s="1" t="str">
        <x:v>N</x:v>
      </x:c>
      <x:c r="S1062" s="1" t="n">
        <x:v>0</x:v>
      </x:c>
      <x:c r="T1062" s="1" t="str">
        <x:v>합격</x:v>
      </x:c>
    </x:row>
    <x:row r="1063" ht="22" customHeight="1">
      <x:c r="A1063" s="1" t="str">
        <x:v>R01062</x:v>
      </x:c>
      <x:c r="B1063" s="4" t="n">
        <x:v>46211.65899305556</x:v>
      </x:c>
      <x:c r="C1063" s="1" t="str">
        <x:v>주간</x:v>
      </x:c>
      <x:c r="D1063" s="1" t="str">
        <x:v>L2</x:v>
      </x:c>
      <x:c r="E1063" s="1" t="str">
        <x:v>P2</x:v>
      </x:c>
      <x:c r="F1063" s="1" t="str">
        <x:v>M02</x:v>
      </x:c>
      <x:c r="G1063" s="1" t="str">
        <x:v>G06</x:v>
      </x:c>
      <x:c r="H1063" s="5" t="n">
        <x:v>28.95</x:v>
      </x:c>
      <x:c r="I1063" s="5" t="n">
        <x:v>5.78</x:v>
      </x:c>
      <x:c r="J1063" s="5" t="n">
        <x:v>58.1</x:v>
      </x:c>
      <x:c r="K1063" s="5" t="n">
        <x:v>37.7</x:v>
      </x:c>
      <x:c r="L1063" s="5" t="n">
        <x:v>1.73</x:v>
      </x:c>
      <x:c r="M1063" s="1" t="n">
        <x:v>1</x:v>
      </x:c>
      <x:c r="N1063" s="6" t="n">
        <x:v>0.856</x:v>
      </x:c>
      <x:c r="O1063" s="1" t="str">
        <x:v>합격</x:v>
      </x:c>
      <x:c r="P1063" s="1"/>
      <x:c r="Q1063" s="1" t="n">
        <x:v>44</x:v>
      </x:c>
      <x:c r="R1063" s="1" t="str">
        <x:v>N</x:v>
      </x:c>
      <x:c r="S1063" s="1" t="n">
        <x:v>0</x:v>
      </x:c>
      <x:c r="T1063" s="1" t="str">
        <x:v>합격</x:v>
      </x:c>
    </x:row>
    <x:row r="1064" ht="22" customHeight="1">
      <x:c r="A1064" s="1" t="str">
        <x:v>R01063</x:v>
      </x:c>
      <x:c r="B1064" s="4" t="n">
        <x:v>46212.12421296296</x:v>
      </x:c>
      <x:c r="C1064" s="1" t="str">
        <x:v>야간</x:v>
      </x:c>
      <x:c r="D1064" s="1" t="str">
        <x:v>L1</x:v>
      </x:c>
      <x:c r="E1064" s="1" t="str">
        <x:v>P1</x:v>
      </x:c>
      <x:c r="F1064" s="1" t="str">
        <x:v>M03</x:v>
      </x:c>
      <x:c r="G1064" s="1" t="str">
        <x:v>G01</x:v>
      </x:c>
      <x:c r="H1064" s="5" t="n">
        <x:v>33.37</x:v>
      </x:c>
      <x:c r="I1064" s="5" t="n">
        <x:v>5.84</x:v>
      </x:c>
      <x:c r="J1064" s="5" t="n">
        <x:v>48.1</x:v>
      </x:c>
      <x:c r="K1064" s="5" t="n">
        <x:v>36.7</x:v>
      </x:c>
      <x:c r="L1064" s="5" t="n">
        <x:v>2</x:v>
      </x:c>
      <x:c r="M1064" s="1" t="n">
        <x:v>1</x:v>
      </x:c>
      <x:c r="N1064" s="6" t="n">
        <x:v>0.881</x:v>
      </x:c>
      <x:c r="O1064" s="1" t="str">
        <x:v>합격</x:v>
      </x:c>
      <x:c r="P1064" s="1"/>
      <x:c r="Q1064" s="1" t="n">
        <x:v>40</x:v>
      </x:c>
      <x:c r="R1064" s="1" t="str">
        <x:v>N</x:v>
      </x:c>
      <x:c r="S1064" s="1" t="n">
        <x:v>0</x:v>
      </x:c>
      <x:c r="T1064" s="1" t="str">
        <x:v>합격</x:v>
      </x:c>
    </x:row>
    <x:row r="1065" ht="22" customHeight="1">
      <x:c r="A1065" s="1" t="str">
        <x:v>R01064</x:v>
      </x:c>
      <x:c r="B1065" s="4" t="n">
        <x:v>46213.60530092593</x:v>
      </x:c>
      <x:c r="C1065" s="1" t="str">
        <x:v>주간</x:v>
      </x:c>
      <x:c r="D1065" s="1" t="str">
        <x:v>L2</x:v>
      </x:c>
      <x:c r="E1065" s="1" t="str">
        <x:v>P2</x:v>
      </x:c>
      <x:c r="F1065" s="1" t="str">
        <x:v>M02</x:v>
      </x:c>
      <x:c r="G1065" s="1" t="str">
        <x:v>G02</x:v>
      </x:c>
      <x:c r="H1065" s="5" t="n">
        <x:v>28.94</x:v>
      </x:c>
      <x:c r="I1065" s="5" t="n">
        <x:v>5.96</x:v>
      </x:c>
      <x:c r="J1065" s="5" t="n">
        <x:v>54.1</x:v>
      </x:c>
      <x:c r="K1065" s="5" t="n">
        <x:v>37.7</x:v>
      </x:c>
      <x:c r="L1065" s="5" t="n">
        <x:v>1.42</x:v>
      </x:c>
      <x:c r="M1065" s="1" t="n">
        <x:v>0</x:v>
      </x:c>
      <x:c r="N1065" s="6" t="n">
        <x:v>0.897</x:v>
      </x:c>
      <x:c r="O1065" s="1" t="str">
        <x:v>합격</x:v>
      </x:c>
      <x:c r="P1065" s="1"/>
      <x:c r="Q1065" s="1" t="n">
        <x:v>35</x:v>
      </x:c>
      <x:c r="R1065" s="1" t="str">
        <x:v>N</x:v>
      </x:c>
      <x:c r="S1065" s="1" t="n">
        <x:v>0</x:v>
      </x:c>
      <x:c r="T1065" s="1" t="str">
        <x:v>합격</x:v>
      </x:c>
    </x:row>
    <x:row r="1066" ht="22" customHeight="1">
      <x:c r="A1066" s="1" t="str">
        <x:v>R01065</x:v>
      </x:c>
      <x:c r="B1066" s="4" t="n">
        <x:v>46214.91658564815</x:v>
      </x:c>
      <x:c r="C1066" s="1" t="str">
        <x:v>야간</x:v>
      </x:c>
      <x:c r="D1066" s="1" t="str">
        <x:v>L1</x:v>
      </x:c>
      <x:c r="E1066" s="1" t="str">
        <x:v>P1</x:v>
      </x:c>
      <x:c r="F1066" s="1" t="str">
        <x:v>M03</x:v>
      </x:c>
      <x:c r="G1066" s="1" t="str">
        <x:v>G03</x:v>
      </x:c>
      <x:c r="H1066" s="5" t="n">
        <x:v>31.29</x:v>
      </x:c>
      <x:c r="I1066" s="5" t="n">
        <x:v>5.69</x:v>
      </x:c>
      <x:c r="J1066" s="5" t="n">
        <x:v>47.8</x:v>
      </x:c>
      <x:c r="K1066" s="5" t="n">
        <x:v>40.9</x:v>
      </x:c>
      <x:c r="L1066" s="5" t="n">
        <x:v>2.02</x:v>
      </x:c>
      <x:c r="M1066" s="1" t="n">
        <x:v>0</x:v>
      </x:c>
      <x:c r="N1066" s="6" t="n">
        <x:v>0.999</x:v>
      </x:c>
      <x:c r="O1066" s="1" t="str">
        <x:v>합격</x:v>
      </x:c>
      <x:c r="P1066" s="1"/>
      <x:c r="Q1066" s="1" t="n">
        <x:v>35</x:v>
      </x:c>
      <x:c r="R1066" s="1" t="str">
        <x:v>N</x:v>
      </x:c>
      <x:c r="S1066" s="1" t="n">
        <x:v>0</x:v>
      </x:c>
      <x:c r="T1066" s="1" t="str">
        <x:v>합격</x:v>
      </x:c>
    </x:row>
    <x:row r="1067" ht="22" customHeight="1">
      <x:c r="A1067" s="1" t="str">
        <x:v>R01066</x:v>
      </x:c>
      <x:c r="B1067" s="4" t="n">
        <x:v>46215.93431712963</x:v>
      </x:c>
      <x:c r="C1067" s="1" t="str">
        <x:v>야간</x:v>
      </x:c>
      <x:c r="D1067" s="1" t="str">
        <x:v>L2</x:v>
      </x:c>
      <x:c r="E1067" s="1" t="str">
        <x:v>P2</x:v>
      </x:c>
      <x:c r="F1067" s="1" t="str">
        <x:v>M02</x:v>
      </x:c>
      <x:c r="G1067" s="1" t="str">
        <x:v>G04</x:v>
      </x:c>
      <x:c r="H1067" s="5" t="n">
        <x:v>27.82</x:v>
      </x:c>
      <x:c r="I1067" s="5" t="n">
        <x:v>5.9</x:v>
      </x:c>
      <x:c r="J1067" s="5" t="n">
        <x:v>55</x:v>
      </x:c>
      <x:c r="K1067" s="5" t="n">
        <x:v>37.2</x:v>
      </x:c>
      <x:c r="L1067" s="5" t="n">
        <x:v>1.95</x:v>
      </x:c>
      <x:c r="M1067" s="1" t="n">
        <x:v>1</x:v>
      </x:c>
      <x:c r="N1067" s="6" t="n">
        <x:v>1.028</x:v>
      </x:c>
      <x:c r="O1067" s="1" t="str">
        <x:v>합격</x:v>
      </x:c>
      <x:c r="P1067" s="1"/>
      <x:c r="Q1067" s="1" t="n">
        <x:v>48</x:v>
      </x:c>
      <x:c r="R1067" s="1" t="str">
        <x:v>N</x:v>
      </x:c>
      <x:c r="S1067" s="1" t="n">
        <x:v>0</x:v>
      </x:c>
      <x:c r="T1067" s="1" t="str">
        <x:v>합격</x:v>
      </x:c>
    </x:row>
    <x:row r="1068" ht="22" customHeight="1">
      <x:c r="A1068" s="1" t="str">
        <x:v>R01067</x:v>
      </x:c>
      <x:c r="B1068" s="4" t="n">
        <x:v>46216.661990740744</x:v>
      </x:c>
      <x:c r="C1068" s="1" t="str">
        <x:v>주간</x:v>
      </x:c>
      <x:c r="D1068" s="1" t="str">
        <x:v>L1</x:v>
      </x:c>
      <x:c r="E1068" s="1" t="str">
        <x:v>P1</x:v>
      </x:c>
      <x:c r="F1068" s="1" t="str">
        <x:v>M01</x:v>
      </x:c>
      <x:c r="G1068" s="1" t="str">
        <x:v>G05</x:v>
      </x:c>
      <x:c r="H1068" s="5" t="n">
        <x:v>31.86</x:v>
      </x:c>
      <x:c r="I1068" s="5" t="n">
        <x:v>5.82</x:v>
      </x:c>
      <x:c r="J1068" s="5" t="n">
        <x:v>56.4</x:v>
      </x:c>
      <x:c r="K1068" s="5" t="n">
        <x:v>38.6</x:v>
      </x:c>
      <x:c r="L1068" s="5" t="n">
        <x:v>2.32</x:v>
      </x:c>
      <x:c r="M1068" s="1" t="n">
        <x:v>0</x:v>
      </x:c>
      <x:c r="N1068" s="6" t="n">
        <x:v>1.016</x:v>
      </x:c>
      <x:c r="O1068" s="1" t="str">
        <x:v>합격</x:v>
      </x:c>
      <x:c r="P1068" s="1"/>
      <x:c r="Q1068" s="1" t="n">
        <x:v>49</x:v>
      </x:c>
      <x:c r="R1068" s="1" t="str">
        <x:v>N</x:v>
      </x:c>
      <x:c r="S1068" s="1" t="n">
        <x:v>0</x:v>
      </x:c>
      <x:c r="T1068" s="1" t="str">
        <x:v>합격</x:v>
      </x:c>
    </x:row>
    <x:row r="1069" ht="22" customHeight="1">
      <x:c r="A1069" s="1" t="str">
        <x:v>R01068</x:v>
      </x:c>
      <x:c r="B1069" s="4" t="n">
        <x:v>46217.96163194445</x:v>
      </x:c>
      <x:c r="C1069" s="1" t="str">
        <x:v>야간</x:v>
      </x:c>
      <x:c r="D1069" s="1" t="str">
        <x:v>L2</x:v>
      </x:c>
      <x:c r="E1069" s="1" t="str">
        <x:v>P2</x:v>
      </x:c>
      <x:c r="F1069" s="1" t="str">
        <x:v>M02</x:v>
      </x:c>
      <x:c r="G1069" s="1" t="str">
        <x:v>G06</x:v>
      </x:c>
      <x:c r="H1069" s="5" t="n">
        <x:v>32.28</x:v>
      </x:c>
      <x:c r="I1069" s="5" t="n">
        <x:v>5.6</x:v>
      </x:c>
      <x:c r="J1069" s="5" t="n">
        <x:v>57.1</x:v>
      </x:c>
      <x:c r="K1069" s="5" t="n">
        <x:v>41.9</x:v>
      </x:c>
      <x:c r="L1069" s="5" t="n">
        <x:v>1.56</x:v>
      </x:c>
      <x:c r="M1069" s="1" t="n">
        <x:v>1</x:v>
      </x:c>
      <x:c r="N1069" s="6" t="n">
        <x:v>1.02</x:v>
      </x:c>
      <x:c r="O1069" s="1" t="str">
        <x:v>합격</x:v>
      </x:c>
      <x:c r="P1069" s="1"/>
      <x:c r="Q1069" s="1" t="n">
        <x:v>45</x:v>
      </x:c>
      <x:c r="R1069" s="1" t="str">
        <x:v>N</x:v>
      </x:c>
      <x:c r="S1069" s="1" t="n">
        <x:v>0</x:v>
      </x:c>
      <x:c r="T1069" s="1" t="str">
        <x:v>합격</x:v>
      </x:c>
    </x:row>
    <x:row r="1070" ht="22" customHeight="1">
      <x:c r="A1070" s="1" t="str">
        <x:v>R01069</x:v>
      </x:c>
      <x:c r="B1070" s="4" t="n">
        <x:v>46218.42766203704</x:v>
      </x:c>
      <x:c r="C1070" s="1" t="str">
        <x:v>주간</x:v>
      </x:c>
      <x:c r="D1070" s="1" t="str">
        <x:v>L2</x:v>
      </x:c>
      <x:c r="E1070" s="1" t="str">
        <x:v>P2</x:v>
      </x:c>
      <x:c r="F1070" s="1" t="str">
        <x:v>M02</x:v>
      </x:c>
      <x:c r="G1070" s="1" t="str">
        <x:v>G01</x:v>
      </x:c>
      <x:c r="H1070" s="5" t="n">
        <x:v>31.79</x:v>
      </x:c>
      <x:c r="I1070" s="5" t="n">
        <x:v>5.97</x:v>
      </x:c>
      <x:c r="J1070" s="5" t="n">
        <x:v>50.1</x:v>
      </x:c>
      <x:c r="K1070" s="5" t="n">
        <x:v>38.4</x:v>
      </x:c>
      <x:c r="L1070" s="5" t="n">
        <x:v>1.77</x:v>
      </x:c>
      <x:c r="M1070" s="1" t="n">
        <x:v>1</x:v>
      </x:c>
      <x:c r="N1070" s="6" t="n">
        <x:v>0.884</x:v>
      </x:c>
      <x:c r="O1070" s="1" t="str">
        <x:v>합격</x:v>
      </x:c>
      <x:c r="P1070" s="1"/>
      <x:c r="Q1070" s="1" t="n">
        <x:v>48</x:v>
      </x:c>
      <x:c r="R1070" s="1" t="str">
        <x:v>N</x:v>
      </x:c>
      <x:c r="S1070" s="1" t="n">
        <x:v>0</x:v>
      </x:c>
      <x:c r="T1070" s="1" t="str">
        <x:v>합격</x:v>
      </x:c>
    </x:row>
    <x:row r="1071" ht="22" customHeight="1">
      <x:c r="A1071" s="1" t="str">
        <x:v>R01070</x:v>
      </x:c>
      <x:c r="B1071" s="4" t="n">
        <x:v>46219.659421296295</x:v>
      </x:c>
      <x:c r="C1071" s="1" t="str">
        <x:v>주간</x:v>
      </x:c>
      <x:c r="D1071" s="1" t="str">
        <x:v>L2</x:v>
      </x:c>
      <x:c r="E1071" s="1" t="str">
        <x:v>P2</x:v>
      </x:c>
      <x:c r="F1071" s="1" t="str">
        <x:v>M04</x:v>
      </x:c>
      <x:c r="G1071" s="1" t="str">
        <x:v>G02</x:v>
      </x:c>
      <x:c r="H1071" s="5" t="n">
        <x:v>28.81</x:v>
      </x:c>
      <x:c r="I1071" s="5" t="n">
        <x:v>5.8</x:v>
      </x:c>
      <x:c r="J1071" s="5" t="n">
        <x:v>57.9</x:v>
      </x:c>
      <x:c r="K1071" s="5" t="n">
        <x:v>35.9</x:v>
      </x:c>
      <x:c r="L1071" s="5" t="n">
        <x:v>1.43</x:v>
      </x:c>
      <x:c r="M1071" s="1" t="n">
        <x:v>1</x:v>
      </x:c>
      <x:c r="N1071" s="6" t="n">
        <x:v>0.953</x:v>
      </x:c>
      <x:c r="O1071" s="1" t="str">
        <x:v>합격</x:v>
      </x:c>
      <x:c r="P1071" s="1"/>
      <x:c r="Q1071" s="1" t="n">
        <x:v>46</x:v>
      </x:c>
      <x:c r="R1071" s="1" t="str">
        <x:v>N</x:v>
      </x:c>
      <x:c r="S1071" s="1" t="n">
        <x:v>0</x:v>
      </x:c>
      <x:c r="T1071" s="1" t="str">
        <x:v>합격</x:v>
      </x:c>
    </x:row>
    <x:row r="1072" ht="22" customHeight="1">
      <x:c r="A1072" s="1" t="str">
        <x:v>R01071</x:v>
      </x:c>
      <x:c r="B1072" s="4" t="n">
        <x:v>46220.84668981482</x:v>
      </x:c>
      <x:c r="C1072" s="1" t="str">
        <x:v>야간</x:v>
      </x:c>
      <x:c r="D1072" s="1" t="str">
        <x:v>L2</x:v>
      </x:c>
      <x:c r="E1072" s="1" t="str">
        <x:v>P2</x:v>
      </x:c>
      <x:c r="F1072" s="1" t="str">
        <x:v>M01</x:v>
      </x:c>
      <x:c r="G1072" s="1" t="str">
        <x:v>G03</x:v>
      </x:c>
      <x:c r="H1072" s="5" t="n">
        <x:v>28.29</x:v>
      </x:c>
      <x:c r="I1072" s="5" t="n">
        <x:v>5.71</x:v>
      </x:c>
      <x:c r="J1072" s="5" t="n">
        <x:v>48.2</x:v>
      </x:c>
      <x:c r="K1072" s="5" t="n">
        <x:v>38.2</x:v>
      </x:c>
      <x:c r="L1072" s="5" t="n">
        <x:v>1.82</x:v>
      </x:c>
      <x:c r="M1072" s="1" t="n">
        <x:v>0</x:v>
      </x:c>
      <x:c r="N1072" s="6" t="n">
        <x:v>0.894</x:v>
      </x:c>
      <x:c r="O1072" s="1" t="str">
        <x:v>합격</x:v>
      </x:c>
      <x:c r="P1072" s="1"/>
      <x:c r="Q1072" s="1" t="n">
        <x:v>46</x:v>
      </x:c>
      <x:c r="R1072" s="1" t="str">
        <x:v>N</x:v>
      </x:c>
      <x:c r="S1072" s="1" t="n">
        <x:v>0</x:v>
      </x:c>
      <x:c r="T1072" s="1" t="str">
        <x:v>합격</x:v>
      </x:c>
    </x:row>
    <x:row r="1073" ht="22" customHeight="1">
      <x:c r="A1073" s="1" t="str">
        <x:v>R01072</x:v>
      </x:c>
      <x:c r="B1073" s="4" t="n">
        <x:v>46221.42087962963</x:v>
      </x:c>
      <x:c r="C1073" s="1" t="str">
        <x:v>주간</x:v>
      </x:c>
      <x:c r="D1073" s="1" t="str">
        <x:v>L1</x:v>
      </x:c>
      <x:c r="E1073" s="1" t="str">
        <x:v>P1</x:v>
      </x:c>
      <x:c r="F1073" s="1" t="str">
        <x:v>M03</x:v>
      </x:c>
      <x:c r="G1073" s="1" t="str">
        <x:v>G04</x:v>
      </x:c>
      <x:c r="H1073" s="5" t="n">
        <x:v>28.15</x:v>
      </x:c>
      <x:c r="I1073" s="5" t="n">
        <x:v>5.72</x:v>
      </x:c>
      <x:c r="J1073" s="5" t="n">
        <x:v>54.7</x:v>
      </x:c>
      <x:c r="K1073" s="5" t="n">
        <x:v>41</x:v>
      </x:c>
      <x:c r="L1073" s="5" t="n">
        <x:v>1.61</x:v>
      </x:c>
      <x:c r="M1073" s="1" t="n">
        <x:v>1</x:v>
      </x:c>
      <x:c r="N1073" s="6" t="n">
        <x:v>1.031</x:v>
      </x:c>
      <x:c r="O1073" s="1" t="str">
        <x:v>합격</x:v>
      </x:c>
      <x:c r="P1073" s="1"/>
      <x:c r="Q1073" s="1" t="n">
        <x:v>43</x:v>
      </x:c>
      <x:c r="R1073" s="1" t="str">
        <x:v>N</x:v>
      </x:c>
      <x:c r="S1073" s="1" t="n">
        <x:v>0</x:v>
      </x:c>
      <x:c r="T1073" s="1" t="str">
        <x:v>합격</x:v>
      </x:c>
    </x:row>
    <x:row r="1074" ht="22" customHeight="1">
      <x:c r="A1074" s="1" t="str">
        <x:v>R01073</x:v>
      </x:c>
      <x:c r="B1074" s="4" t="n">
        <x:v>46222.60685185185</x:v>
      </x:c>
      <x:c r="C1074" s="1" t="str">
        <x:v>주간</x:v>
      </x:c>
      <x:c r="D1074" s="1" t="str">
        <x:v>L1</x:v>
      </x:c>
      <x:c r="E1074" s="1" t="str">
        <x:v>P1</x:v>
      </x:c>
      <x:c r="F1074" s="1" t="str">
        <x:v>M01</x:v>
      </x:c>
      <x:c r="G1074" s="1" t="str">
        <x:v>G05</x:v>
      </x:c>
      <x:c r="H1074" s="5" t="n">
        <x:v>29.31</x:v>
      </x:c>
      <x:c r="I1074" s="5" t="n">
        <x:v>5.91</x:v>
      </x:c>
      <x:c r="J1074" s="5" t="n">
        <x:v>48.7</x:v>
      </x:c>
      <x:c r="K1074" s="5" t="n">
        <x:v>37.9</x:v>
      </x:c>
      <x:c r="L1074" s="5" t="n">
        <x:v>1.67</x:v>
      </x:c>
      <x:c r="M1074" s="1" t="n">
        <x:v>0</x:v>
      </x:c>
      <x:c r="N1074" s="6" t="n">
        <x:v>0.852</x:v>
      </x:c>
      <x:c r="O1074" s="1" t="str">
        <x:v>합격</x:v>
      </x:c>
      <x:c r="P1074" s="1"/>
      <x:c r="Q1074" s="1" t="n">
        <x:v>43</x:v>
      </x:c>
      <x:c r="R1074" s="1" t="str">
        <x:v>N</x:v>
      </x:c>
      <x:c r="S1074" s="1" t="n">
        <x:v>0</x:v>
      </x:c>
      <x:c r="T1074" s="1" t="str">
        <x:v>합격</x:v>
      </x:c>
    </x:row>
    <x:row r="1075" ht="22" customHeight="1">
      <x:c r="A1075" s="1" t="str">
        <x:v>R01074</x:v>
      </x:c>
      <x:c r="B1075" s="4" t="n">
        <x:v>46223.13185185185</x:v>
      </x:c>
      <x:c r="C1075" s="1" t="str">
        <x:v>야간</x:v>
      </x:c>
      <x:c r="D1075" s="1" t="str">
        <x:v>L1</x:v>
      </x:c>
      <x:c r="E1075" s="1" t="str">
        <x:v>P1</x:v>
      </x:c>
      <x:c r="F1075" s="1" t="str">
        <x:v>M04</x:v>
      </x:c>
      <x:c r="G1075" s="1" t="str">
        <x:v>G06</x:v>
      </x:c>
      <x:c r="H1075" s="5" t="n">
        <x:v>31.55</x:v>
      </x:c>
      <x:c r="I1075" s="5" t="n">
        <x:v>5.63</x:v>
      </x:c>
      <x:c r="J1075" s="5" t="n">
        <x:v>53.4</x:v>
      </x:c>
      <x:c r="K1075" s="5" t="n">
        <x:v>37.2</x:v>
      </x:c>
      <x:c r="L1075" s="5" t="n">
        <x:v>1.45</x:v>
      </x:c>
      <x:c r="M1075" s="1" t="n">
        <x:v>1</x:v>
      </x:c>
      <x:c r="N1075" s="6" t="n">
        <x:v>0.992</x:v>
      </x:c>
      <x:c r="O1075" s="1" t="str">
        <x:v>합격</x:v>
      </x:c>
      <x:c r="P1075" s="1"/>
      <x:c r="Q1075" s="1" t="n">
        <x:v>40</x:v>
      </x:c>
      <x:c r="R1075" s="1" t="str">
        <x:v>N</x:v>
      </x:c>
      <x:c r="S1075" s="1" t="n">
        <x:v>0</x:v>
      </x:c>
      <x:c r="T1075" s="1" t="str">
        <x:v>합격</x:v>
      </x:c>
    </x:row>
    <x:row r="1076" ht="22" customHeight="1">
      <x:c r="A1076" s="1" t="str">
        <x:v>R01075</x:v>
      </x:c>
      <x:c r="B1076" s="4" t="n">
        <x:v>46224.132939814815</x:v>
      </x:c>
      <x:c r="C1076" s="1" t="str">
        <x:v>야간</x:v>
      </x:c>
      <x:c r="D1076" s="1" t="str">
        <x:v>L2</x:v>
      </x:c>
      <x:c r="E1076" s="1" t="str">
        <x:v>P2</x:v>
      </x:c>
      <x:c r="F1076" s="1" t="str">
        <x:v>M02</x:v>
      </x:c>
      <x:c r="G1076" s="1" t="str">
        <x:v>G01</x:v>
      </x:c>
      <x:c r="H1076" s="5" t="n">
        <x:v>30.53</x:v>
      </x:c>
      <x:c r="I1076" s="5" t="n">
        <x:v>5.8</x:v>
      </x:c>
      <x:c r="J1076" s="5" t="n">
        <x:v>49.5</x:v>
      </x:c>
      <x:c r="K1076" s="5" t="n">
        <x:v>36.1</x:v>
      </x:c>
      <x:c r="L1076" s="5" t="n">
        <x:v>1.49</x:v>
      </x:c>
      <x:c r="M1076" s="1" t="n">
        <x:v>0</x:v>
      </x:c>
      <x:c r="N1076" s="6" t="n">
        <x:v>0.905</x:v>
      </x:c>
      <x:c r="O1076" s="1" t="str">
        <x:v>합격</x:v>
      </x:c>
      <x:c r="P1076" s="1"/>
      <x:c r="Q1076" s="1" t="n">
        <x:v>45</x:v>
      </x:c>
      <x:c r="R1076" s="1" t="str">
        <x:v>N</x:v>
      </x:c>
      <x:c r="S1076" s="1" t="n">
        <x:v>0</x:v>
      </x:c>
      <x:c r="T1076" s="1" t="str">
        <x:v>합격</x:v>
      </x:c>
    </x:row>
    <x:row r="1077" ht="22" customHeight="1">
      <x:c r="A1077" s="1" t="str">
        <x:v>R01076</x:v>
      </x:c>
      <x:c r="B1077" s="4" t="n">
        <x:v>46225.54472222222</x:v>
      </x:c>
      <x:c r="C1077" s="1" t="str">
        <x:v>주간</x:v>
      </x:c>
      <x:c r="D1077" s="1" t="str">
        <x:v>L1</x:v>
      </x:c>
      <x:c r="E1077" s="1" t="str">
        <x:v>P1</x:v>
      </x:c>
      <x:c r="F1077" s="1" t="str">
        <x:v>M03</x:v>
      </x:c>
      <x:c r="G1077" s="1" t="str">
        <x:v>G02</x:v>
      </x:c>
      <x:c r="H1077" s="5" t="n">
        <x:v>30.93</x:v>
      </x:c>
      <x:c r="I1077" s="5" t="n">
        <x:v>5.99</x:v>
      </x:c>
      <x:c r="J1077" s="5" t="n">
        <x:v>57.6</x:v>
      </x:c>
      <x:c r="K1077" s="5" t="n">
        <x:v>40.7</x:v>
      </x:c>
      <x:c r="L1077" s="5" t="n">
        <x:v>2.39</x:v>
      </x:c>
      <x:c r="M1077" s="1" t="n">
        <x:v>1</x:v>
      </x:c>
      <x:c r="N1077" s="6" t="n">
        <x:v>1.044</x:v>
      </x:c>
      <x:c r="O1077" s="1" t="str">
        <x:v>합격</x:v>
      </x:c>
      <x:c r="P1077" s="1"/>
      <x:c r="Q1077" s="1" t="n">
        <x:v>45</x:v>
      </x:c>
      <x:c r="R1077" s="1" t="str">
        <x:v>N</x:v>
      </x:c>
      <x:c r="S1077" s="1" t="n">
        <x:v>0</x:v>
      </x:c>
      <x:c r="T1077" s="1" t="str">
        <x:v>합격</x:v>
      </x:c>
    </x:row>
    <x:row r="1078" ht="22" customHeight="1">
      <x:c r="A1078" s="1" t="str">
        <x:v>R01077</x:v>
      </x:c>
      <x:c r="B1078" s="4" t="n">
        <x:v>46226.87297453704</x:v>
      </x:c>
      <x:c r="C1078" s="1" t="str">
        <x:v>야간</x:v>
      </x:c>
      <x:c r="D1078" s="1" t="str">
        <x:v>L2</x:v>
      </x:c>
      <x:c r="E1078" s="1" t="str">
        <x:v>P2</x:v>
      </x:c>
      <x:c r="F1078" s="1" t="str">
        <x:v>M01</x:v>
      </x:c>
      <x:c r="G1078" s="1" t="str">
        <x:v>G03</x:v>
      </x:c>
      <x:c r="H1078" s="5" t="n">
        <x:v>27.91</x:v>
      </x:c>
      <x:c r="I1078" s="5" t="n">
        <x:v>5.85</x:v>
      </x:c>
      <x:c r="J1078" s="5" t="n">
        <x:v>55.1</x:v>
      </x:c>
      <x:c r="K1078" s="5" t="n">
        <x:v>36.6</x:v>
      </x:c>
      <x:c r="L1078" s="5" t="n">
        <x:v>2.68</x:v>
      </x:c>
      <x:c r="M1078" s="1" t="n">
        <x:v>0</x:v>
      </x:c>
      <x:c r="N1078" s="6" t="n">
        <x:v>0.914</x:v>
      </x:c>
      <x:c r="O1078" s="1" t="str">
        <x:v>합격</x:v>
      </x:c>
      <x:c r="P1078" s="1"/>
      <x:c r="Q1078" s="1" t="n">
        <x:v>44</x:v>
      </x:c>
      <x:c r="R1078" s="1" t="str">
        <x:v>N</x:v>
      </x:c>
      <x:c r="S1078" s="1" t="n">
        <x:v>0</x:v>
      </x:c>
      <x:c r="T1078" s="1" t="str">
        <x:v>합격</x:v>
      </x:c>
    </x:row>
    <x:row r="1079" ht="22" customHeight="1">
      <x:c r="A1079" s="1" t="str">
        <x:v>R01078</x:v>
      </x:c>
      <x:c r="B1079" s="4" t="n">
        <x:v>46227.55284722222</x:v>
      </x:c>
      <x:c r="C1079" s="1" t="str">
        <x:v>주간</x:v>
      </x:c>
      <x:c r="D1079" s="1" t="str">
        <x:v>L1</x:v>
      </x:c>
      <x:c r="E1079" s="1" t="str">
        <x:v>P1</x:v>
      </x:c>
      <x:c r="F1079" s="1" t="str">
        <x:v>M03</x:v>
      </x:c>
      <x:c r="G1079" s="1" t="str">
        <x:v>G04</x:v>
      </x:c>
      <x:c r="H1079" s="5" t="n">
        <x:v>27.58</x:v>
      </x:c>
      <x:c r="I1079" s="5" t="n">
        <x:v>6</x:v>
      </x:c>
      <x:c r="J1079" s="5" t="n">
        <x:v>55.5</x:v>
      </x:c>
      <x:c r="K1079" s="5" t="n">
        <x:v>36.1</x:v>
      </x:c>
      <x:c r="L1079" s="5" t="n">
        <x:v>2.44</x:v>
      </x:c>
      <x:c r="M1079" s="1" t="n">
        <x:v>1</x:v>
      </x:c>
      <x:c r="N1079" s="6" t="n">
        <x:v>1.043</x:v>
      </x:c>
      <x:c r="O1079" s="1" t="str">
        <x:v>합격</x:v>
      </x:c>
      <x:c r="P1079" s="1"/>
      <x:c r="Q1079" s="1" t="n">
        <x:v>36</x:v>
      </x:c>
      <x:c r="R1079" s="1" t="str">
        <x:v>N</x:v>
      </x:c>
      <x:c r="S1079" s="1" t="n">
        <x:v>0</x:v>
      </x:c>
      <x:c r="T1079" s="1" t="str">
        <x:v>합격</x:v>
      </x:c>
    </x:row>
    <x:row r="1080" ht="22" customHeight="1">
      <x:c r="A1080" s="1" t="str">
        <x:v>R01079</x:v>
      </x:c>
      <x:c r="B1080" s="4" t="n">
        <x:v>46228.62247685185</x:v>
      </x:c>
      <x:c r="C1080" s="1" t="str">
        <x:v>주간</x:v>
      </x:c>
      <x:c r="D1080" s="1" t="str">
        <x:v>L1</x:v>
      </x:c>
      <x:c r="E1080" s="1" t="str">
        <x:v>P1</x:v>
      </x:c>
      <x:c r="F1080" s="1" t="str">
        <x:v>M03</x:v>
      </x:c>
      <x:c r="G1080" s="1" t="str">
        <x:v>G05</x:v>
      </x:c>
      <x:c r="H1080" s="5" t="n">
        <x:v>27.43</x:v>
      </x:c>
      <x:c r="I1080" s="5" t="n">
        <x:v>5.94</x:v>
      </x:c>
      <x:c r="J1080" s="5" t="n">
        <x:v>58.8</x:v>
      </x:c>
      <x:c r="K1080" s="5" t="n">
        <x:v>37.1</x:v>
      </x:c>
      <x:c r="L1080" s="5" t="n">
        <x:v>2.02</x:v>
      </x:c>
      <x:c r="M1080" s="1" t="n">
        <x:v>1</x:v>
      </x:c>
      <x:c r="N1080" s="6" t="n">
        <x:v>1.044</x:v>
      </x:c>
      <x:c r="O1080" s="1" t="str">
        <x:v>합격</x:v>
      </x:c>
      <x:c r="P1080" s="1"/>
      <x:c r="Q1080" s="1" t="n">
        <x:v>37</x:v>
      </x:c>
      <x:c r="R1080" s="1" t="str">
        <x:v>N</x:v>
      </x:c>
      <x:c r="S1080" s="1" t="n">
        <x:v>0</x:v>
      </x:c>
      <x:c r="T1080" s="1" t="str">
        <x:v>합격</x:v>
      </x:c>
    </x:row>
    <x:row r="1081" ht="22" customHeight="1">
      <x:c r="A1081" s="1" t="str">
        <x:v>R01080</x:v>
      </x:c>
      <x:c r="B1081" s="4" t="n">
        <x:v>46229.52686342593</x:v>
      </x:c>
      <x:c r="C1081" s="1" t="str">
        <x:v>주간</x:v>
      </x:c>
      <x:c r="D1081" s="1" t="str">
        <x:v>L2</x:v>
      </x:c>
      <x:c r="E1081" s="1" t="str">
        <x:v>P2</x:v>
      </x:c>
      <x:c r="F1081" s="1" t="str">
        <x:v>M04</x:v>
      </x:c>
      <x:c r="G1081" s="1" t="str">
        <x:v>G06</x:v>
      </x:c>
      <x:c r="H1081" s="5" t="n">
        <x:v>29.54</x:v>
      </x:c>
      <x:c r="I1081" s="5" t="n">
        <x:v>5.81</x:v>
      </x:c>
      <x:c r="J1081" s="5" t="n">
        <x:v>55.2</x:v>
      </x:c>
      <x:c r="K1081" s="5" t="n">
        <x:v>40.8</x:v>
      </x:c>
      <x:c r="L1081" s="5" t="n">
        <x:v>1.69</x:v>
      </x:c>
      <x:c r="M1081" s="1" t="n">
        <x:v>1</x:v>
      </x:c>
      <x:c r="N1081" s="6" t="n">
        <x:v>0.959</x:v>
      </x:c>
      <x:c r="O1081" s="1" t="str">
        <x:v>합격</x:v>
      </x:c>
      <x:c r="P1081" s="1"/>
      <x:c r="Q1081" s="1" t="n">
        <x:v>47</x:v>
      </x:c>
      <x:c r="R1081" s="1" t="str">
        <x:v>N</x:v>
      </x:c>
      <x:c r="S1081" s="1" t="n">
        <x:v>0</x:v>
      </x:c>
      <x:c r="T1081" s="1" t="str">
        <x:v>합격</x:v>
      </x:c>
    </x:row>
    <x:row r="1082" ht="22" customHeight="1">
      <x:c r="A1082" s="1" t="str">
        <x:v>R01081</x:v>
      </x:c>
      <x:c r="B1082" s="4" t="n">
        <x:v>46230.339583333334</x:v>
      </x:c>
      <x:c r="C1082" s="1" t="str">
        <x:v>주간</x:v>
      </x:c>
      <x:c r="D1082" s="1" t="str">
        <x:v>L2</x:v>
      </x:c>
      <x:c r="E1082" s="1" t="str">
        <x:v>P2</x:v>
      </x:c>
      <x:c r="F1082" s="1" t="str">
        <x:v>M02</x:v>
      </x:c>
      <x:c r="G1082" s="1" t="str">
        <x:v>G01</x:v>
      </x:c>
      <x:c r="H1082" s="5" t="n">
        <x:v>31.32</x:v>
      </x:c>
      <x:c r="I1082" s="5" t="n">
        <x:v>5.78</x:v>
      </x:c>
      <x:c r="J1082" s="5" t="n">
        <x:v>58.3</x:v>
      </x:c>
      <x:c r="K1082" s="5" t="n">
        <x:v>41.1</x:v>
      </x:c>
      <x:c r="L1082" s="5" t="n">
        <x:v>1.97</x:v>
      </x:c>
      <x:c r="M1082" s="1" t="n">
        <x:v>0</x:v>
      </x:c>
      <x:c r="N1082" s="6" t="n">
        <x:v>0.988</x:v>
      </x:c>
      <x:c r="O1082" s="1" t="str">
        <x:v>합격</x:v>
      </x:c>
      <x:c r="P1082" s="1"/>
      <x:c r="Q1082" s="1" t="n">
        <x:v>36</x:v>
      </x:c>
      <x:c r="R1082" s="1" t="str">
        <x:v>N</x:v>
      </x:c>
      <x:c r="S1082" s="1" t="n">
        <x:v>0</x:v>
      </x:c>
      <x:c r="T1082" s="1" t="str">
        <x:v>합격</x:v>
      </x:c>
    </x:row>
    <x:row r="1083" ht="22" customHeight="1">
      <x:c r="A1083" s="1" t="str">
        <x:v>R01082</x:v>
      </x:c>
      <x:c r="B1083" s="4" t="n">
        <x:v>46231.43739583333</x:v>
      </x:c>
      <x:c r="C1083" s="1" t="str">
        <x:v>주간</x:v>
      </x:c>
      <x:c r="D1083" s="1" t="str">
        <x:v>L2</x:v>
      </x:c>
      <x:c r="E1083" s="1" t="str">
        <x:v>P2</x:v>
      </x:c>
      <x:c r="F1083" s="1" t="str">
        <x:v>M04</x:v>
      </x:c>
      <x:c r="G1083" s="1" t="str">
        <x:v>G02</x:v>
      </x:c>
      <x:c r="H1083" s="5" t="n">
        <x:v>28.24</x:v>
      </x:c>
      <x:c r="I1083" s="5" t="n">
        <x:v>5.83</x:v>
      </x:c>
      <x:c r="J1083" s="5" t="n">
        <x:v>58.3</x:v>
      </x:c>
      <x:c r="K1083" s="5" t="n">
        <x:v>36.8</x:v>
      </x:c>
      <x:c r="L1083" s="5" t="n">
        <x:v>1.73</x:v>
      </x:c>
      <x:c r="M1083" s="1" t="n">
        <x:v>1</x:v>
      </x:c>
      <x:c r="N1083" s="6" t="n">
        <x:v>1.037</x:v>
      </x:c>
      <x:c r="O1083" s="1" t="str">
        <x:v>합격</x:v>
      </x:c>
      <x:c r="P1083" s="1"/>
      <x:c r="Q1083" s="1" t="n">
        <x:v>47</x:v>
      </x:c>
      <x:c r="R1083" s="1" t="str">
        <x:v>N</x:v>
      </x:c>
      <x:c r="S1083" s="1" t="n">
        <x:v>0</x:v>
      </x:c>
      <x:c r="T1083" s="1" t="str">
        <x:v>합격</x:v>
      </x:c>
    </x:row>
    <x:row r="1084" ht="22" customHeight="1">
      <x:c r="A1084" s="1" t="str">
        <x:v>R01083</x:v>
      </x:c>
      <x:c r="B1084" s="4" t="n">
        <x:v>46232.965266203704</x:v>
      </x:c>
      <x:c r="C1084" s="1" t="str">
        <x:v>야간</x:v>
      </x:c>
      <x:c r="D1084" s="1" t="str">
        <x:v>L2</x:v>
      </x:c>
      <x:c r="E1084" s="1" t="str">
        <x:v>P2</x:v>
      </x:c>
      <x:c r="F1084" s="1" t="str">
        <x:v>M02</x:v>
      </x:c>
      <x:c r="G1084" s="1" t="str">
        <x:v>G03</x:v>
      </x:c>
      <x:c r="H1084" s="5" t="n">
        <x:v>27.72</x:v>
      </x:c>
      <x:c r="I1084" s="5" t="n">
        <x:v>5.91</x:v>
      </x:c>
      <x:c r="J1084" s="5" t="n">
        <x:v>48.4</x:v>
      </x:c>
      <x:c r="K1084" s="5" t="n">
        <x:v>40.3</x:v>
      </x:c>
      <x:c r="L1084" s="5" t="n">
        <x:v>2.34</x:v>
      </x:c>
      <x:c r="M1084" s="1" t="n">
        <x:v>0</x:v>
      </x:c>
      <x:c r="N1084" s="6" t="n">
        <x:v>0.908</x:v>
      </x:c>
      <x:c r="O1084" s="1" t="str">
        <x:v>합격</x:v>
      </x:c>
      <x:c r="P1084" s="1"/>
      <x:c r="Q1084" s="1" t="n">
        <x:v>47</x:v>
      </x:c>
      <x:c r="R1084" s="1" t="str">
        <x:v>N</x:v>
      </x:c>
      <x:c r="S1084" s="1" t="n">
        <x:v>0</x:v>
      </x:c>
      <x:c r="T1084" s="1" t="str">
        <x:v>합격</x:v>
      </x:c>
    </x:row>
    <x:row r="1085" ht="22" customHeight="1">
      <x:c r="A1085" s="1" t="str">
        <x:v>R01084</x:v>
      </x:c>
      <x:c r="B1085" s="4" t="n">
        <x:v>46233.07709490741</x:v>
      </x:c>
      <x:c r="C1085" s="1" t="str">
        <x:v>야간</x:v>
      </x:c>
      <x:c r="D1085" s="1" t="str">
        <x:v>L1</x:v>
      </x:c>
      <x:c r="E1085" s="1" t="str">
        <x:v>P1</x:v>
      </x:c>
      <x:c r="F1085" s="1" t="str">
        <x:v>M03</x:v>
      </x:c>
      <x:c r="G1085" s="1" t="str">
        <x:v>G04</x:v>
      </x:c>
      <x:c r="H1085" s="5" t="n">
        <x:v>30.03</x:v>
      </x:c>
      <x:c r="I1085" s="5" t="n">
        <x:v>5.85</x:v>
      </x:c>
      <x:c r="J1085" s="5" t="n">
        <x:v>51.5</x:v>
      </x:c>
      <x:c r="K1085" s="5" t="n">
        <x:v>35.3</x:v>
      </x:c>
      <x:c r="L1085" s="5" t="n">
        <x:v>2.69</x:v>
      </x:c>
      <x:c r="M1085" s="1" t="n">
        <x:v>1</x:v>
      </x:c>
      <x:c r="N1085" s="6" t="n">
        <x:v>1.019</x:v>
      </x:c>
      <x:c r="O1085" s="1" t="str">
        <x:v>합격</x:v>
      </x:c>
      <x:c r="P1085" s="1"/>
      <x:c r="Q1085" s="1" t="n">
        <x:v>36</x:v>
      </x:c>
      <x:c r="R1085" s="1" t="str">
        <x:v>N</x:v>
      </x:c>
      <x:c r="S1085" s="1" t="n">
        <x:v>0</x:v>
      </x:c>
      <x:c r="T1085" s="1" t="str">
        <x:v>합격</x:v>
      </x:c>
    </x:row>
    <x:row r="1086" ht="22" customHeight="1">
      <x:c r="A1086" s="1" t="str">
        <x:v>R01085</x:v>
      </x:c>
      <x:c r="B1086" s="4" t="n">
        <x:v>46234.36556712963</x:v>
      </x:c>
      <x:c r="C1086" s="1" t="str">
        <x:v>주간</x:v>
      </x:c>
      <x:c r="D1086" s="1" t="str">
        <x:v>L1</x:v>
      </x:c>
      <x:c r="E1086" s="1" t="str">
        <x:v>P1</x:v>
      </x:c>
      <x:c r="F1086" s="1" t="str">
        <x:v>M01</x:v>
      </x:c>
      <x:c r="G1086" s="1" t="str">
        <x:v>G05</x:v>
      </x:c>
      <x:c r="H1086" s="5" t="n">
        <x:v>32.13</x:v>
      </x:c>
      <x:c r="I1086" s="5" t="n">
        <x:v>5.67</x:v>
      </x:c>
      <x:c r="J1086" s="5" t="n">
        <x:v>56.2</x:v>
      </x:c>
      <x:c r="K1086" s="5" t="n">
        <x:v>40.7</x:v>
      </x:c>
      <x:c r="L1086" s="5" t="n">
        <x:v>1.65</x:v>
      </x:c>
      <x:c r="M1086" s="1" t="n">
        <x:v>0</x:v>
      </x:c>
      <x:c r="N1086" s="6" t="n">
        <x:v>0.99</x:v>
      </x:c>
      <x:c r="O1086" s="1" t="str">
        <x:v>합격</x:v>
      </x:c>
      <x:c r="P1086" s="1"/>
      <x:c r="Q1086" s="1" t="n">
        <x:v>37</x:v>
      </x:c>
      <x:c r="R1086" s="1" t="str">
        <x:v>N</x:v>
      </x:c>
      <x:c r="S1086" s="1" t="n">
        <x:v>0</x:v>
      </x:c>
      <x:c r="T1086" s="1" t="str">
        <x:v>합격</x:v>
      </x:c>
    </x:row>
    <x:row r="1087" ht="22" customHeight="1">
      <x:c r="A1087" s="1" t="str">
        <x:v>R01086</x:v>
      </x:c>
      <x:c r="B1087" s="4" t="n">
        <x:v>46204.96263888889</x:v>
      </x:c>
      <x:c r="C1087" s="1" t="str">
        <x:v>야간</x:v>
      </x:c>
      <x:c r="D1087" s="1" t="str">
        <x:v>L1</x:v>
      </x:c>
      <x:c r="E1087" s="1" t="str">
        <x:v>P1</x:v>
      </x:c>
      <x:c r="F1087" s="1" t="str">
        <x:v>M04</x:v>
      </x:c>
      <x:c r="G1087" s="1" t="str">
        <x:v>G06</x:v>
      </x:c>
      <x:c r="H1087" s="5" t="n">
        <x:v>29.13</x:v>
      </x:c>
      <x:c r="I1087" s="5" t="n">
        <x:v>5.97</x:v>
      </x:c>
      <x:c r="J1087" s="5" t="n">
        <x:v>47.1</x:v>
      </x:c>
      <x:c r="K1087" s="5" t="n">
        <x:v>41.8</x:v>
      </x:c>
      <x:c r="L1087" s="5" t="n">
        <x:v>2.43</x:v>
      </x:c>
      <x:c r="M1087" s="1" t="n">
        <x:v>0</x:v>
      </x:c>
      <x:c r="N1087" s="6" t="n">
        <x:v>0.948</x:v>
      </x:c>
      <x:c r="O1087" s="1" t="str">
        <x:v>합격</x:v>
      </x:c>
      <x:c r="P1087" s="1"/>
      <x:c r="Q1087" s="1" t="n">
        <x:v>42</x:v>
      </x:c>
      <x:c r="R1087" s="1" t="str">
        <x:v>N</x:v>
      </x:c>
      <x:c r="S1087" s="1" t="n">
        <x:v>0</x:v>
      </x:c>
      <x:c r="T1087" s="1" t="str">
        <x:v>합격</x:v>
      </x:c>
    </x:row>
    <x:row r="1088" ht="22" customHeight="1">
      <x:c r="A1088" s="1" t="str">
        <x:v>R01087</x:v>
      </x:c>
      <x:c r="B1088" s="4" t="n">
        <x:v>46205.582083333335</x:v>
      </x:c>
      <x:c r="C1088" s="1" t="str">
        <x:v>주간</x:v>
      </x:c>
      <x:c r="D1088" s="1" t="str">
        <x:v>L2</x:v>
      </x:c>
      <x:c r="E1088" s="1" t="str">
        <x:v>P2</x:v>
      </x:c>
      <x:c r="F1088" s="1" t="str">
        <x:v>M04</x:v>
      </x:c>
      <x:c r="G1088" s="1" t="str">
        <x:v>G01</x:v>
      </x:c>
      <x:c r="H1088" s="5" t="n">
        <x:v>32.51</x:v>
      </x:c>
      <x:c r="I1088" s="5" t="n">
        <x:v>5.65</x:v>
      </x:c>
      <x:c r="J1088" s="5" t="n">
        <x:v>49.6</x:v>
      </x:c>
      <x:c r="K1088" s="5" t="n">
        <x:v>41.4</x:v>
      </x:c>
      <x:c r="L1088" s="5" t="n">
        <x:v>2.03</x:v>
      </x:c>
      <x:c r="M1088" s="1" t="n">
        <x:v>0</x:v>
      </x:c>
      <x:c r="N1088" s="6" t="n">
        <x:v>0.914</x:v>
      </x:c>
      <x:c r="O1088" s="1" t="str">
        <x:v>합격</x:v>
      </x:c>
      <x:c r="P1088" s="1"/>
      <x:c r="Q1088" s="1" t="n">
        <x:v>41</x:v>
      </x:c>
      <x:c r="R1088" s="1" t="str">
        <x:v>N</x:v>
      </x:c>
      <x:c r="S1088" s="1" t="n">
        <x:v>0</x:v>
      </x:c>
      <x:c r="T1088" s="1" t="str">
        <x:v>합격</x:v>
      </x:c>
    </x:row>
    <x:row r="1089" ht="22" customHeight="1">
      <x:c r="A1089" s="1" t="str">
        <x:v>R01088</x:v>
      </x:c>
      <x:c r="B1089" s="4" t="n">
        <x:v>46206.56115740741</x:v>
      </x:c>
      <x:c r="C1089" s="1" t="str">
        <x:v>주간</x:v>
      </x:c>
      <x:c r="D1089" s="1" t="str">
        <x:v>L1</x:v>
      </x:c>
      <x:c r="E1089" s="1" t="str">
        <x:v>P1</x:v>
      </x:c>
      <x:c r="F1089" s="1" t="str">
        <x:v>M03</x:v>
      </x:c>
      <x:c r="G1089" s="1" t="str">
        <x:v>G02</x:v>
      </x:c>
      <x:c r="H1089" s="5" t="n">
        <x:v>29.06</x:v>
      </x:c>
      <x:c r="I1089" s="5" t="n">
        <x:v>5.68</x:v>
      </x:c>
      <x:c r="J1089" s="5" t="n">
        <x:v>54.7</x:v>
      </x:c>
      <x:c r="K1089" s="5" t="n">
        <x:v>41.3</x:v>
      </x:c>
      <x:c r="L1089" s="5" t="n">
        <x:v>2</x:v>
      </x:c>
      <x:c r="M1089" s="1" t="n">
        <x:v>1</x:v>
      </x:c>
      <x:c r="N1089" s="6" t="n">
        <x:v>0.935</x:v>
      </x:c>
      <x:c r="O1089" s="1" t="str">
        <x:v>합격</x:v>
      </x:c>
      <x:c r="P1089" s="1"/>
      <x:c r="Q1089" s="1" t="n">
        <x:v>41</x:v>
      </x:c>
      <x:c r="R1089" s="1" t="str">
        <x:v>N</x:v>
      </x:c>
      <x:c r="S1089" s="1" t="n">
        <x:v>0</x:v>
      </x:c>
      <x:c r="T1089" s="1" t="str">
        <x:v>합격</x:v>
      </x:c>
    </x:row>
    <x:row r="1090" ht="22" customHeight="1">
      <x:c r="A1090" s="1" t="str">
        <x:v>R01089</x:v>
      </x:c>
      <x:c r="B1090" s="4" t="n">
        <x:v>46207.97883101852</x:v>
      </x:c>
      <x:c r="C1090" s="1" t="str">
        <x:v>야간</x:v>
      </x:c>
      <x:c r="D1090" s="1" t="str">
        <x:v>L2</x:v>
      </x:c>
      <x:c r="E1090" s="1" t="str">
        <x:v>P2</x:v>
      </x:c>
      <x:c r="F1090" s="1" t="str">
        <x:v>M02</x:v>
      </x:c>
      <x:c r="G1090" s="1" t="str">
        <x:v>G03</x:v>
      </x:c>
      <x:c r="H1090" s="5" t="n">
        <x:v>31.75</x:v>
      </x:c>
      <x:c r="I1090" s="5" t="n">
        <x:v>5.81</x:v>
      </x:c>
      <x:c r="J1090" s="5" t="n">
        <x:v>49.9</x:v>
      </x:c>
      <x:c r="K1090" s="5" t="n">
        <x:v>35.1</x:v>
      </x:c>
      <x:c r="L1090" s="5" t="n">
        <x:v>2.52</x:v>
      </x:c>
      <x:c r="M1090" s="1" t="n">
        <x:v>0</x:v>
      </x:c>
      <x:c r="N1090" s="6" t="n">
        <x:v>0.861</x:v>
      </x:c>
      <x:c r="O1090" s="1" t="str">
        <x:v>합격</x:v>
      </x:c>
      <x:c r="P1090" s="1"/>
      <x:c r="Q1090" s="1" t="n">
        <x:v>44</x:v>
      </x:c>
      <x:c r="R1090" s="1" t="str">
        <x:v>N</x:v>
      </x:c>
      <x:c r="S1090" s="1" t="n">
        <x:v>0</x:v>
      </x:c>
      <x:c r="T1090" s="1" t="str">
        <x:v>합격</x:v>
      </x:c>
    </x:row>
    <x:row r="1091" ht="22" customHeight="1">
      <x:c r="A1091" s="1" t="str">
        <x:v>R01090</x:v>
      </x:c>
      <x:c r="B1091" s="4" t="n">
        <x:v>46208.5409375</x:v>
      </x:c>
      <x:c r="C1091" s="1" t="str">
        <x:v>주간</x:v>
      </x:c>
      <x:c r="D1091" s="1" t="str">
        <x:v>L2</x:v>
      </x:c>
      <x:c r="E1091" s="1" t="str">
        <x:v>P2</x:v>
      </x:c>
      <x:c r="F1091" s="1" t="str">
        <x:v>M02</x:v>
      </x:c>
      <x:c r="G1091" s="1" t="str">
        <x:v>G04</x:v>
      </x:c>
      <x:c r="H1091" s="5" t="n">
        <x:v>27.97</x:v>
      </x:c>
      <x:c r="I1091" s="5" t="n">
        <x:v>5.61</x:v>
      </x:c>
      <x:c r="J1091" s="5" t="n">
        <x:v>51.7</x:v>
      </x:c>
      <x:c r="K1091" s="5" t="n">
        <x:v>40.5</x:v>
      </x:c>
      <x:c r="L1091" s="5" t="n">
        <x:v>2.65</x:v>
      </x:c>
      <x:c r="M1091" s="1" t="n">
        <x:v>0</x:v>
      </x:c>
      <x:c r="N1091" s="6" t="n">
        <x:v>1.032</x:v>
      </x:c>
      <x:c r="O1091" s="1" t="str">
        <x:v>합격</x:v>
      </x:c>
      <x:c r="P1091" s="1"/>
      <x:c r="Q1091" s="1" t="n">
        <x:v>47</x:v>
      </x:c>
      <x:c r="R1091" s="1" t="str">
        <x:v>N</x:v>
      </x:c>
      <x:c r="S1091" s="1" t="n">
        <x:v>0</x:v>
      </x:c>
      <x:c r="T1091" s="1" t="str">
        <x:v>합격</x:v>
      </x:c>
    </x:row>
    <x:row r="1092" ht="22" customHeight="1">
      <x:c r="A1092" s="1" t="str">
        <x:v>R01091</x:v>
      </x:c>
      <x:c r="B1092" s="4" t="n">
        <x:v>46209.096550925926</x:v>
      </x:c>
      <x:c r="C1092" s="1" t="str">
        <x:v>야간</x:v>
      </x:c>
      <x:c r="D1092" s="1" t="str">
        <x:v>L2</x:v>
      </x:c>
      <x:c r="E1092" s="1" t="str">
        <x:v>P2</x:v>
      </x:c>
      <x:c r="F1092" s="1" t="str">
        <x:v>M02</x:v>
      </x:c>
      <x:c r="G1092" s="1" t="str">
        <x:v>G05</x:v>
      </x:c>
      <x:c r="H1092" s="5" t="n">
        <x:v>27.55</x:v>
      </x:c>
      <x:c r="I1092" s="5" t="n">
        <x:v>5.77</x:v>
      </x:c>
      <x:c r="J1092" s="5" t="n">
        <x:v>57.6</x:v>
      </x:c>
      <x:c r="K1092" s="5" t="n">
        <x:v>35.9</x:v>
      </x:c>
      <x:c r="L1092" s="5" t="n">
        <x:v>2.32</x:v>
      </x:c>
      <x:c r="M1092" s="1" t="n">
        <x:v>0</x:v>
      </x:c>
      <x:c r="N1092" s="6" t="n">
        <x:v>0.917</x:v>
      </x:c>
      <x:c r="O1092" s="1" t="str">
        <x:v>합격</x:v>
      </x:c>
      <x:c r="P1092" s="1"/>
      <x:c r="Q1092" s="1" t="n">
        <x:v>49</x:v>
      </x:c>
      <x:c r="R1092" s="1" t="str">
        <x:v>N</x:v>
      </x:c>
      <x:c r="S1092" s="1" t="n">
        <x:v>0</x:v>
      </x:c>
      <x:c r="T1092" s="1" t="str">
        <x:v>합격</x:v>
      </x:c>
    </x:row>
    <x:row r="1093" ht="22" customHeight="1">
      <x:c r="A1093" s="1" t="str">
        <x:v>R01092</x:v>
      </x:c>
      <x:c r="B1093" s="4" t="n">
        <x:v>46210.866481481484</x:v>
      </x:c>
      <x:c r="C1093" s="1" t="str">
        <x:v>야간</x:v>
      </x:c>
      <x:c r="D1093" s="1" t="str">
        <x:v>L2</x:v>
      </x:c>
      <x:c r="E1093" s="1" t="str">
        <x:v>P2</x:v>
      </x:c>
      <x:c r="F1093" s="1" t="str">
        <x:v>M02</x:v>
      </x:c>
      <x:c r="G1093" s="1" t="str">
        <x:v>G06</x:v>
      </x:c>
      <x:c r="H1093" s="5" t="n">
        <x:v>32.73</x:v>
      </x:c>
      <x:c r="I1093" s="5" t="n">
        <x:v>5.8</x:v>
      </x:c>
      <x:c r="J1093" s="5" t="n">
        <x:v>54</x:v>
      </x:c>
      <x:c r="K1093" s="5" t="n">
        <x:v>40</x:v>
      </x:c>
      <x:c r="L1093" s="5" t="n">
        <x:v>1.46</x:v>
      </x:c>
      <x:c r="M1093" s="1" t="n">
        <x:v>1</x:v>
      </x:c>
      <x:c r="N1093" s="6" t="n">
        <x:v>0.874</x:v>
      </x:c>
      <x:c r="O1093" s="1" t="str">
        <x:v>합격</x:v>
      </x:c>
      <x:c r="P1093" s="1"/>
      <x:c r="Q1093" s="1" t="n">
        <x:v>37</x:v>
      </x:c>
      <x:c r="R1093" s="1" t="str">
        <x:v>N</x:v>
      </x:c>
      <x:c r="S1093" s="1" t="n">
        <x:v>0</x:v>
      </x:c>
      <x:c r="T1093" s="1" t="str">
        <x:v>합격</x:v>
      </x:c>
    </x:row>
    <x:row r="1094" ht="22" customHeight="1">
      <x:c r="A1094" s="1" t="str">
        <x:v>R01093</x:v>
      </x:c>
      <x:c r="B1094" s="4" t="n">
        <x:v>46211.089375</x:v>
      </x:c>
      <x:c r="C1094" s="1" t="str">
        <x:v>야간</x:v>
      </x:c>
      <x:c r="D1094" s="1" t="str">
        <x:v>L2</x:v>
      </x:c>
      <x:c r="E1094" s="1" t="str">
        <x:v>P2</x:v>
      </x:c>
      <x:c r="F1094" s="1" t="str">
        <x:v>M02</x:v>
      </x:c>
      <x:c r="G1094" s="1" t="str">
        <x:v>G01</x:v>
      </x:c>
      <x:c r="H1094" s="5" t="n">
        <x:v>30.8</x:v>
      </x:c>
      <x:c r="I1094" s="5" t="n">
        <x:v>5.73</x:v>
      </x:c>
      <x:c r="J1094" s="5" t="n">
        <x:v>49</x:v>
      </x:c>
      <x:c r="K1094" s="5" t="n">
        <x:v>35.6</x:v>
      </x:c>
      <x:c r="L1094" s="5" t="n">
        <x:v>1.88</x:v>
      </x:c>
      <x:c r="M1094" s="1" t="n">
        <x:v>0</x:v>
      </x:c>
      <x:c r="N1094" s="6" t="n">
        <x:v>1.027</x:v>
      </x:c>
      <x:c r="O1094" s="1" t="str">
        <x:v>합격</x:v>
      </x:c>
      <x:c r="P1094" s="1"/>
      <x:c r="Q1094" s="1" t="n">
        <x:v>43</x:v>
      </x:c>
      <x:c r="R1094" s="1" t="str">
        <x:v>N</x:v>
      </x:c>
      <x:c r="S1094" s="1" t="n">
        <x:v>0</x:v>
      </x:c>
      <x:c r="T1094" s="1" t="str">
        <x:v>합격</x:v>
      </x:c>
    </x:row>
    <x:row r="1095" ht="22" customHeight="1">
      <x:c r="A1095" s="1" t="str">
        <x:v>R01094</x:v>
      </x:c>
      <x:c r="B1095" s="4" t="n">
        <x:v>46212.546319444446</x:v>
      </x:c>
      <x:c r="C1095" s="1" t="str">
        <x:v>주간</x:v>
      </x:c>
      <x:c r="D1095" s="1" t="str">
        <x:v>L1</x:v>
      </x:c>
      <x:c r="E1095" s="1" t="str">
        <x:v>P1</x:v>
      </x:c>
      <x:c r="F1095" s="1" t="str">
        <x:v>M03</x:v>
      </x:c>
      <x:c r="G1095" s="1" t="str">
        <x:v>G02</x:v>
      </x:c>
      <x:c r="H1095" s="5" t="n">
        <x:v>27.62</x:v>
      </x:c>
      <x:c r="I1095" s="5" t="n">
        <x:v>5.88</x:v>
      </x:c>
      <x:c r="J1095" s="5" t="n">
        <x:v>56.6</x:v>
      </x:c>
      <x:c r="K1095" s="5" t="n">
        <x:v>35.2</x:v>
      </x:c>
      <x:c r="L1095" s="5" t="n">
        <x:v>1.45</x:v>
      </x:c>
      <x:c r="M1095" s="1" t="n">
        <x:v>1</x:v>
      </x:c>
      <x:c r="N1095" s="6" t="n">
        <x:v>1.013</x:v>
      </x:c>
      <x:c r="O1095" s="1" t="str">
        <x:v>합격</x:v>
      </x:c>
      <x:c r="P1095" s="1"/>
      <x:c r="Q1095" s="1" t="n">
        <x:v>37</x:v>
      </x:c>
      <x:c r="R1095" s="1" t="str">
        <x:v>N</x:v>
      </x:c>
      <x:c r="S1095" s="1" t="n">
        <x:v>0</x:v>
      </x:c>
      <x:c r="T1095" s="1" t="str">
        <x:v>합격</x:v>
      </x:c>
    </x:row>
    <x:row r="1096" ht="22" customHeight="1">
      <x:c r="A1096" s="1" t="str">
        <x:v>R01095</x:v>
      </x:c>
      <x:c r="B1096" s="4" t="n">
        <x:v>46213.93262731482</x:v>
      </x:c>
      <x:c r="C1096" s="1" t="str">
        <x:v>야간</x:v>
      </x:c>
      <x:c r="D1096" s="1" t="str">
        <x:v>L2</x:v>
      </x:c>
      <x:c r="E1096" s="1" t="str">
        <x:v>P2</x:v>
      </x:c>
      <x:c r="F1096" s="1" t="str">
        <x:v>M02</x:v>
      </x:c>
      <x:c r="G1096" s="1" t="str">
        <x:v>G03</x:v>
      </x:c>
      <x:c r="H1096" s="5" t="n">
        <x:v>29.13</x:v>
      </x:c>
      <x:c r="I1096" s="5" t="n">
        <x:v>5.79</x:v>
      </x:c>
      <x:c r="J1096" s="5" t="n">
        <x:v>54.5</x:v>
      </x:c>
      <x:c r="K1096" s="5" t="n">
        <x:v>37.6</x:v>
      </x:c>
      <x:c r="L1096" s="5" t="n">
        <x:v>2.01</x:v>
      </x:c>
      <x:c r="M1096" s="1" t="n">
        <x:v>1</x:v>
      </x:c>
      <x:c r="N1096" s="6" t="n">
        <x:v>0.977</x:v>
      </x:c>
      <x:c r="O1096" s="1" t="str">
        <x:v>합격</x:v>
      </x:c>
      <x:c r="P1096" s="1"/>
      <x:c r="Q1096" s="1" t="n">
        <x:v>39</x:v>
      </x:c>
      <x:c r="R1096" s="1" t="str">
        <x:v>N</x:v>
      </x:c>
      <x:c r="S1096" s="1" t="n">
        <x:v>0</x:v>
      </x:c>
      <x:c r="T1096" s="1" t="str">
        <x:v>합격</x:v>
      </x:c>
    </x:row>
    <x:row r="1097" ht="22" customHeight="1">
      <x:c r="A1097" s="1" t="str">
        <x:v>R01096</x:v>
      </x:c>
      <x:c r="B1097" s="4" t="n">
        <x:v>46214.609768518516</x:v>
      </x:c>
      <x:c r="C1097" s="1" t="str">
        <x:v>주간</x:v>
      </x:c>
      <x:c r="D1097" s="1" t="str">
        <x:v>L1</x:v>
      </x:c>
      <x:c r="E1097" s="1" t="str">
        <x:v>P1</x:v>
      </x:c>
      <x:c r="F1097" s="1" t="str">
        <x:v>M03</x:v>
      </x:c>
      <x:c r="G1097" s="1" t="str">
        <x:v>G04</x:v>
      </x:c>
      <x:c r="H1097" s="5" t="n">
        <x:v>30.37</x:v>
      </x:c>
      <x:c r="I1097" s="5" t="n">
        <x:v>5.61</x:v>
      </x:c>
      <x:c r="J1097" s="5" t="n">
        <x:v>50</x:v>
      </x:c>
      <x:c r="K1097" s="5" t="n">
        <x:v>41.8</x:v>
      </x:c>
      <x:c r="L1097" s="5" t="n">
        <x:v>1.93</x:v>
      </x:c>
      <x:c r="M1097" s="1" t="n">
        <x:v>1</x:v>
      </x:c>
      <x:c r="N1097" s="6" t="n">
        <x:v>0.989</x:v>
      </x:c>
      <x:c r="O1097" s="1" t="str">
        <x:v>합격</x:v>
      </x:c>
      <x:c r="P1097" s="1"/>
      <x:c r="Q1097" s="1" t="n">
        <x:v>38</x:v>
      </x:c>
      <x:c r="R1097" s="1" t="str">
        <x:v>N</x:v>
      </x:c>
      <x:c r="S1097" s="1" t="n">
        <x:v>0</x:v>
      </x:c>
      <x:c r="T1097" s="1" t="str">
        <x:v>합격</x:v>
      </x:c>
    </x:row>
    <x:row r="1098" ht="22" customHeight="1">
      <x:c r="A1098" s="1" t="str">
        <x:v>R01097</x:v>
      </x:c>
      <x:c r="B1098" s="4" t="n">
        <x:v>46215.11376157407</x:v>
      </x:c>
      <x:c r="C1098" s="1" t="str">
        <x:v>야간</x:v>
      </x:c>
      <x:c r="D1098" s="1" t="str">
        <x:v>L2</x:v>
      </x:c>
      <x:c r="E1098" s="1" t="str">
        <x:v>P2</x:v>
      </x:c>
      <x:c r="F1098" s="1" t="str">
        <x:v>M02</x:v>
      </x:c>
      <x:c r="G1098" s="1" t="str">
        <x:v>G05</x:v>
      </x:c>
      <x:c r="H1098" s="5" t="n">
        <x:v>31.93</x:v>
      </x:c>
      <x:c r="I1098" s="5" t="n">
        <x:v>5.94</x:v>
      </x:c>
      <x:c r="J1098" s="5" t="n">
        <x:v>54</x:v>
      </x:c>
      <x:c r="K1098" s="5" t="n">
        <x:v>38.4</x:v>
      </x:c>
      <x:c r="L1098" s="5" t="n">
        <x:v>1.79</x:v>
      </x:c>
      <x:c r="M1098" s="1" t="n">
        <x:v>1</x:v>
      </x:c>
      <x:c r="N1098" s="6" t="n">
        <x:v>1.04</x:v>
      </x:c>
      <x:c r="O1098" s="1" t="str">
        <x:v>합격</x:v>
      </x:c>
      <x:c r="P1098" s="1"/>
      <x:c r="Q1098" s="1" t="n">
        <x:v>42</x:v>
      </x:c>
      <x:c r="R1098" s="1" t="str">
        <x:v>N</x:v>
      </x:c>
      <x:c r="S1098" s="1" t="n">
        <x:v>0</x:v>
      </x:c>
      <x:c r="T1098" s="1" t="str">
        <x:v>합격</x:v>
      </x:c>
    </x:row>
    <x:row r="1099" ht="22" customHeight="1">
      <x:c r="A1099" s="1" t="str">
        <x:v>R01098</x:v>
      </x:c>
      <x:c r="B1099" s="4" t="n">
        <x:v>46216.416608796295</x:v>
      </x:c>
      <x:c r="C1099" s="1" t="str">
        <x:v>주간</x:v>
      </x:c>
      <x:c r="D1099" s="1" t="str">
        <x:v>L1</x:v>
      </x:c>
      <x:c r="E1099" s="1" t="str">
        <x:v>P1</x:v>
      </x:c>
      <x:c r="F1099" s="1" t="str">
        <x:v>M01</x:v>
      </x:c>
      <x:c r="G1099" s="1" t="str">
        <x:v>G06</x:v>
      </x:c>
      <x:c r="H1099" s="5" t="n">
        <x:v>31.88</x:v>
      </x:c>
      <x:c r="I1099" s="5" t="n">
        <x:v>5.81</x:v>
      </x:c>
      <x:c r="J1099" s="5" t="n">
        <x:v>52.6</x:v>
      </x:c>
      <x:c r="K1099" s="5" t="n">
        <x:v>36.6</x:v>
      </x:c>
      <x:c r="L1099" s="5" t="n">
        <x:v>1.66</x:v>
      </x:c>
      <x:c r="M1099" s="1" t="n">
        <x:v>0</x:v>
      </x:c>
      <x:c r="N1099" s="6" t="n">
        <x:v>0.997</x:v>
      </x:c>
      <x:c r="O1099" s="1" t="str">
        <x:v>합격</x:v>
      </x:c>
      <x:c r="P1099" s="1"/>
      <x:c r="Q1099" s="1" t="n">
        <x:v>44</x:v>
      </x:c>
      <x:c r="R1099" s="1" t="str">
        <x:v>N</x:v>
      </x:c>
      <x:c r="S1099" s="1" t="n">
        <x:v>0</x:v>
      </x:c>
      <x:c r="T1099" s="1" t="str">
        <x:v>합격</x:v>
      </x:c>
    </x:row>
    <x:row r="1100" ht="22" customHeight="1">
      <x:c r="A1100" s="1" t="str">
        <x:v>R01099</x:v>
      </x:c>
      <x:c r="B1100" s="4" t="n">
        <x:v>46217.43753472222</x:v>
      </x:c>
      <x:c r="C1100" s="1" t="str">
        <x:v>주간</x:v>
      </x:c>
      <x:c r="D1100" s="1" t="str">
        <x:v>L2</x:v>
      </x:c>
      <x:c r="E1100" s="1" t="str">
        <x:v>P2</x:v>
      </x:c>
      <x:c r="F1100" s="1" t="str">
        <x:v>M02</x:v>
      </x:c>
      <x:c r="G1100" s="1" t="str">
        <x:v>G01</x:v>
      </x:c>
      <x:c r="H1100" s="5" t="n">
        <x:v>30.41</x:v>
      </x:c>
      <x:c r="I1100" s="5" t="n">
        <x:v>5.97</x:v>
      </x:c>
      <x:c r="J1100" s="5" t="n">
        <x:v>53.5</x:v>
      </x:c>
      <x:c r="K1100" s="5" t="n">
        <x:v>36.5</x:v>
      </x:c>
      <x:c r="L1100" s="5" t="n">
        <x:v>1.74</x:v>
      </x:c>
      <x:c r="M1100" s="1" t="n">
        <x:v>1</x:v>
      </x:c>
      <x:c r="N1100" s="6" t="n">
        <x:v>1.042</x:v>
      </x:c>
      <x:c r="O1100" s="1" t="str">
        <x:v>합격</x:v>
      </x:c>
      <x:c r="P1100" s="1"/>
      <x:c r="Q1100" s="1" t="n">
        <x:v>38</x:v>
      </x:c>
      <x:c r="R1100" s="1" t="str">
        <x:v>N</x:v>
      </x:c>
      <x:c r="S1100" s="1" t="n">
        <x:v>0</x:v>
      </x:c>
      <x:c r="T1100" s="1" t="str">
        <x:v>합격</x:v>
      </x:c>
    </x:row>
    <x:row r="1101" ht="22" customHeight="1">
      <x:c r="A1101" s="1" t="str">
        <x:v>R01100</x:v>
      </x:c>
      <x:c r="B1101" s="4" t="n">
        <x:v>46218.988287037035</x:v>
      </x:c>
      <x:c r="C1101" s="1" t="str">
        <x:v>야간</x:v>
      </x:c>
      <x:c r="D1101" s="1" t="str">
        <x:v>L2</x:v>
      </x:c>
      <x:c r="E1101" s="1" t="str">
        <x:v>P2</x:v>
      </x:c>
      <x:c r="F1101" s="1" t="str">
        <x:v>M01</x:v>
      </x:c>
      <x:c r="G1101" s="1" t="str">
        <x:v>G02</x:v>
      </x:c>
      <x:c r="H1101" s="5" t="n">
        <x:v>32.45</x:v>
      </x:c>
      <x:c r="I1101" s="5" t="n">
        <x:v>5.97</x:v>
      </x:c>
      <x:c r="J1101" s="5" t="n">
        <x:v>47.3</x:v>
      </x:c>
      <x:c r="K1101" s="5" t="n">
        <x:v>39.9</x:v>
      </x:c>
      <x:c r="L1101" s="5" t="n">
        <x:v>2.12</x:v>
      </x:c>
      <x:c r="M1101" s="1" t="n">
        <x:v>0</x:v>
      </x:c>
      <x:c r="N1101" s="6" t="n">
        <x:v>0.96</x:v>
      </x:c>
      <x:c r="O1101" s="1" t="str">
        <x:v>합격</x:v>
      </x:c>
      <x:c r="P1101" s="1"/>
      <x:c r="Q1101" s="1" t="n">
        <x:v>49</x:v>
      </x:c>
      <x:c r="R1101" s="1" t="str">
        <x:v>N</x:v>
      </x:c>
      <x:c r="S1101" s="1" t="n">
        <x:v>0</x:v>
      </x:c>
      <x:c r="T1101" s="1" t="str">
        <x:v>합격</x:v>
      </x:c>
    </x:row>
    <x:row r="1102" ht="22" customHeight="1">
      <x:c r="A1102" s="1" t="str">
        <x:v>R01101</x:v>
      </x:c>
      <x:c r="B1102" s="4" t="n">
        <x:v>46219.119155092594</x:v>
      </x:c>
      <x:c r="C1102" s="1" t="str">
        <x:v>야간</x:v>
      </x:c>
      <x:c r="D1102" s="1" t="str">
        <x:v>L2</x:v>
      </x:c>
      <x:c r="E1102" s="1" t="str">
        <x:v>P2</x:v>
      </x:c>
      <x:c r="F1102" s="1" t="str">
        <x:v>M02</x:v>
      </x:c>
      <x:c r="G1102" s="1" t="str">
        <x:v>G03</x:v>
      </x:c>
      <x:c r="H1102" s="5" t="n">
        <x:v>32.03</x:v>
      </x:c>
      <x:c r="I1102" s="5" t="n">
        <x:v>5.63</x:v>
      </x:c>
      <x:c r="J1102" s="5" t="n">
        <x:v>54.3</x:v>
      </x:c>
      <x:c r="K1102" s="5" t="n">
        <x:v>39.9</x:v>
      </x:c>
      <x:c r="L1102" s="5" t="n">
        <x:v>2.39</x:v>
      </x:c>
      <x:c r="M1102" s="1" t="n">
        <x:v>1</x:v>
      </x:c>
      <x:c r="N1102" s="6" t="n">
        <x:v>0.91</x:v>
      </x:c>
      <x:c r="O1102" s="1" t="str">
        <x:v>합격</x:v>
      </x:c>
      <x:c r="P1102" s="1"/>
      <x:c r="Q1102" s="1" t="n">
        <x:v>39</x:v>
      </x:c>
      <x:c r="R1102" s="1" t="str">
        <x:v>N</x:v>
      </x:c>
      <x:c r="S1102" s="1" t="n">
        <x:v>0</x:v>
      </x:c>
      <x:c r="T1102" s="1" t="str">
        <x:v>합격</x:v>
      </x:c>
    </x:row>
    <x:row r="1103" ht="22" customHeight="1">
      <x:c r="A1103" s="1" t="str">
        <x:v>R01102</x:v>
      </x:c>
      <x:c r="B1103" s="4" t="n">
        <x:v>46220.444340277776</x:v>
      </x:c>
      <x:c r="C1103" s="1" t="str">
        <x:v>주간</x:v>
      </x:c>
      <x:c r="D1103" s="1" t="str">
        <x:v>L1</x:v>
      </x:c>
      <x:c r="E1103" s="1" t="str">
        <x:v>P1</x:v>
      </x:c>
      <x:c r="F1103" s="1" t="str">
        <x:v>M03</x:v>
      </x:c>
      <x:c r="G1103" s="1" t="str">
        <x:v>G04</x:v>
      </x:c>
      <x:c r="H1103" s="5" t="n">
        <x:v>32.04</x:v>
      </x:c>
      <x:c r="I1103" s="5" t="n">
        <x:v>5.68</x:v>
      </x:c>
      <x:c r="J1103" s="5" t="n">
        <x:v>56.3</x:v>
      </x:c>
      <x:c r="K1103" s="5" t="n">
        <x:v>41.9</x:v>
      </x:c>
      <x:c r="L1103" s="5" t="n">
        <x:v>1.78</x:v>
      </x:c>
      <x:c r="M1103" s="1" t="n">
        <x:v>1</x:v>
      </x:c>
      <x:c r="N1103" s="6" t="n">
        <x:v>0.977</x:v>
      </x:c>
      <x:c r="O1103" s="1" t="str">
        <x:v>합격</x:v>
      </x:c>
      <x:c r="P1103" s="1"/>
      <x:c r="Q1103" s="1" t="n">
        <x:v>36</x:v>
      </x:c>
      <x:c r="R1103" s="1" t="str">
        <x:v>N</x:v>
      </x:c>
      <x:c r="S1103" s="1" t="n">
        <x:v>0</x:v>
      </x:c>
      <x:c r="T1103" s="1" t="str">
        <x:v>합격</x:v>
      </x:c>
    </x:row>
    <x:row r="1104" ht="22" customHeight="1">
      <x:c r="A1104" s="1" t="str">
        <x:v>R01103</x:v>
      </x:c>
      <x:c r="B1104" s="4" t="n">
        <x:v>46221.545949074076</x:v>
      </x:c>
      <x:c r="C1104" s="1" t="str">
        <x:v>주간</x:v>
      </x:c>
      <x:c r="D1104" s="1" t="str">
        <x:v>L1</x:v>
      </x:c>
      <x:c r="E1104" s="1" t="str">
        <x:v>P1</x:v>
      </x:c>
      <x:c r="F1104" s="1" t="str">
        <x:v>M03</x:v>
      </x:c>
      <x:c r="G1104" s="1" t="str">
        <x:v>G05</x:v>
      </x:c>
      <x:c r="H1104" s="5" t="n">
        <x:v>31.39</x:v>
      </x:c>
      <x:c r="I1104" s="5" t="n">
        <x:v>5.87</x:v>
      </x:c>
      <x:c r="J1104" s="5" t="n">
        <x:v>54.9</x:v>
      </x:c>
      <x:c r="K1104" s="5" t="n">
        <x:v>38.4</x:v>
      </x:c>
      <x:c r="L1104" s="5" t="n">
        <x:v>2.07</x:v>
      </x:c>
      <x:c r="M1104" s="1" t="n">
        <x:v>1</x:v>
      </x:c>
      <x:c r="N1104" s="6" t="n">
        <x:v>1.007</x:v>
      </x:c>
      <x:c r="O1104" s="1" t="str">
        <x:v>합격</x:v>
      </x:c>
      <x:c r="P1104" s="1"/>
      <x:c r="Q1104" s="1" t="n">
        <x:v>38</x:v>
      </x:c>
      <x:c r="R1104" s="1" t="str">
        <x:v>N</x:v>
      </x:c>
      <x:c r="S1104" s="1" t="n">
        <x:v>0</x:v>
      </x:c>
      <x:c r="T1104" s="1" t="str">
        <x:v>합격</x:v>
      </x:c>
    </x:row>
    <x:row r="1105" ht="22" customHeight="1">
      <x:c r="A1105" s="1" t="str">
        <x:v>R01104</x:v>
      </x:c>
      <x:c r="B1105" s="4" t="n">
        <x:v>46222.96158564815</x:v>
      </x:c>
      <x:c r="C1105" s="1" t="str">
        <x:v>야간</x:v>
      </x:c>
      <x:c r="D1105" s="1" t="str">
        <x:v>L1</x:v>
      </x:c>
      <x:c r="E1105" s="1" t="str">
        <x:v>P1</x:v>
      </x:c>
      <x:c r="F1105" s="1" t="str">
        <x:v>M03</x:v>
      </x:c>
      <x:c r="G1105" s="1" t="str">
        <x:v>G06</x:v>
      </x:c>
      <x:c r="H1105" s="5" t="n">
        <x:v>28.56</x:v>
      </x:c>
      <x:c r="I1105" s="5" t="n">
        <x:v>5.6</x:v>
      </x:c>
      <x:c r="J1105" s="5" t="n">
        <x:v>49.4</x:v>
      </x:c>
      <x:c r="K1105" s="5" t="n">
        <x:v>41.2</x:v>
      </x:c>
      <x:c r="L1105" s="5" t="n">
        <x:v>1.84</x:v>
      </x:c>
      <x:c r="M1105" s="1" t="n">
        <x:v>1</x:v>
      </x:c>
      <x:c r="N1105" s="6" t="n">
        <x:v>0.979</x:v>
      </x:c>
      <x:c r="O1105" s="1" t="str">
        <x:v>합격</x:v>
      </x:c>
      <x:c r="P1105" s="1"/>
      <x:c r="Q1105" s="1" t="n">
        <x:v>48</x:v>
      </x:c>
      <x:c r="R1105" s="1" t="str">
        <x:v>N</x:v>
      </x:c>
      <x:c r="S1105" s="1" t="n">
        <x:v>0</x:v>
      </x:c>
      <x:c r="T1105" s="1" t="str">
        <x:v>합격</x:v>
      </x:c>
    </x:row>
    <x:row r="1106" ht="22" customHeight="1">
      <x:c r="A1106" s="1" t="str">
        <x:v>R01105</x:v>
      </x:c>
      <x:c r="B1106" s="4" t="n">
        <x:v>46223.53702546296</x:v>
      </x:c>
      <x:c r="C1106" s="1" t="str">
        <x:v>주간</x:v>
      </x:c>
      <x:c r="D1106" s="1" t="str">
        <x:v>L2</x:v>
      </x:c>
      <x:c r="E1106" s="1" t="str">
        <x:v>P2</x:v>
      </x:c>
      <x:c r="F1106" s="1" t="str">
        <x:v>M02</x:v>
      </x:c>
      <x:c r="G1106" s="1" t="str">
        <x:v>G01</x:v>
      </x:c>
      <x:c r="H1106" s="5" t="n">
        <x:v>32.21</x:v>
      </x:c>
      <x:c r="I1106" s="5" t="n">
        <x:v>5.87</x:v>
      </x:c>
      <x:c r="J1106" s="5" t="n">
        <x:v>56.8</x:v>
      </x:c>
      <x:c r="K1106" s="5" t="n">
        <x:v>35.8</x:v>
      </x:c>
      <x:c r="L1106" s="5" t="n">
        <x:v>1.34</x:v>
      </x:c>
      <x:c r="M1106" s="1" t="n">
        <x:v>1</x:v>
      </x:c>
      <x:c r="N1106" s="6" t="n">
        <x:v>0.912</x:v>
      </x:c>
      <x:c r="O1106" s="1" t="str">
        <x:v>합격</x:v>
      </x:c>
      <x:c r="P1106" s="1"/>
      <x:c r="Q1106" s="1" t="n">
        <x:v>35</x:v>
      </x:c>
      <x:c r="R1106" s="1" t="str">
        <x:v>N</x:v>
      </x:c>
      <x:c r="S1106" s="1" t="n">
        <x:v>0</x:v>
      </x:c>
      <x:c r="T1106" s="1" t="str">
        <x:v>합격</x:v>
      </x:c>
    </x:row>
    <x:row r="1107" ht="22" customHeight="1">
      <x:c r="A1107" s="1" t="str">
        <x:v>R01106</x:v>
      </x:c>
      <x:c r="B1107" s="4" t="n">
        <x:v>46224.097233796296</x:v>
      </x:c>
      <x:c r="C1107" s="1" t="str">
        <x:v>야간</x:v>
      </x:c>
      <x:c r="D1107" s="1" t="str">
        <x:v>L1</x:v>
      </x:c>
      <x:c r="E1107" s="1" t="str">
        <x:v>P1</x:v>
      </x:c>
      <x:c r="F1107" s="1" t="str">
        <x:v>M04</x:v>
      </x:c>
      <x:c r="G1107" s="1" t="str">
        <x:v>G02</x:v>
      </x:c>
      <x:c r="H1107" s="5" t="n">
        <x:v>31.28</x:v>
      </x:c>
      <x:c r="I1107" s="5" t="n">
        <x:v>5.7</x:v>
      </x:c>
      <x:c r="J1107" s="5" t="n">
        <x:v>48.4</x:v>
      </x:c>
      <x:c r="K1107" s="5" t="n">
        <x:v>37.1</x:v>
      </x:c>
      <x:c r="L1107" s="5" t="n">
        <x:v>1.98</x:v>
      </x:c>
      <x:c r="M1107" s="1" t="n">
        <x:v>1</x:v>
      </x:c>
      <x:c r="N1107" s="6" t="n">
        <x:v>1.031</x:v>
      </x:c>
      <x:c r="O1107" s="1" t="str">
        <x:v>합격</x:v>
      </x:c>
      <x:c r="P1107" s="1"/>
      <x:c r="Q1107" s="1" t="n">
        <x:v>39</x:v>
      </x:c>
      <x:c r="R1107" s="1" t="str">
        <x:v>N</x:v>
      </x:c>
      <x:c r="S1107" s="1" t="n">
        <x:v>0</x:v>
      </x:c>
      <x:c r="T1107" s="1" t="str">
        <x:v>합격</x:v>
      </x:c>
    </x:row>
    <x:row r="1108" ht="22" customHeight="1">
      <x:c r="A1108" s="1" t="str">
        <x:v>R01107</x:v>
      </x:c>
      <x:c r="B1108" s="4" t="n">
        <x:v>46225.36951388889</x:v>
      </x:c>
      <x:c r="C1108" s="1" t="str">
        <x:v>주간</x:v>
      </x:c>
      <x:c r="D1108" s="1" t="str">
        <x:v>L1</x:v>
      </x:c>
      <x:c r="E1108" s="1" t="str">
        <x:v>P1</x:v>
      </x:c>
      <x:c r="F1108" s="1" t="str">
        <x:v>M01</x:v>
      </x:c>
      <x:c r="G1108" s="1" t="str">
        <x:v>G03</x:v>
      </x:c>
      <x:c r="H1108" s="5" t="n">
        <x:v>27.68</x:v>
      </x:c>
      <x:c r="I1108" s="5" t="n">
        <x:v>5.78</x:v>
      </x:c>
      <x:c r="J1108" s="5" t="n">
        <x:v>51.7</x:v>
      </x:c>
      <x:c r="K1108" s="5" t="n">
        <x:v>35.8</x:v>
      </x:c>
      <x:c r="L1108" s="5" t="n">
        <x:v>2.61</x:v>
      </x:c>
      <x:c r="M1108" s="1" t="n">
        <x:v>0</x:v>
      </x:c>
      <x:c r="N1108" s="6" t="n">
        <x:v>0.928</x:v>
      </x:c>
      <x:c r="O1108" s="1" t="str">
        <x:v>합격</x:v>
      </x:c>
      <x:c r="P1108" s="1"/>
      <x:c r="Q1108" s="1" t="n">
        <x:v>45</x:v>
      </x:c>
      <x:c r="R1108" s="1" t="str">
        <x:v>N</x:v>
      </x:c>
      <x:c r="S1108" s="1" t="n">
        <x:v>0</x:v>
      </x:c>
      <x:c r="T1108" s="1" t="str">
        <x:v>합격</x:v>
      </x:c>
    </x:row>
    <x:row r="1109" ht="22" customHeight="1">
      <x:c r="A1109" s="1" t="str">
        <x:v>R01108</x:v>
      </x:c>
      <x:c r="B1109" s="4" t="n">
        <x:v>46226.60538194444</x:v>
      </x:c>
      <x:c r="C1109" s="1" t="str">
        <x:v>주간</x:v>
      </x:c>
      <x:c r="D1109" s="1" t="str">
        <x:v>L1</x:v>
      </x:c>
      <x:c r="E1109" s="1" t="str">
        <x:v>P1</x:v>
      </x:c>
      <x:c r="F1109" s="1" t="str">
        <x:v>M03</x:v>
      </x:c>
      <x:c r="G1109" s="1" t="str">
        <x:v>G04</x:v>
      </x:c>
      <x:c r="H1109" s="5" t="n">
        <x:v>31.52</x:v>
      </x:c>
      <x:c r="I1109" s="5" t="n">
        <x:v>5.77</x:v>
      </x:c>
      <x:c r="J1109" s="5" t="n">
        <x:v>54.4</x:v>
      </x:c>
      <x:c r="K1109" s="5" t="n">
        <x:v>39.1</x:v>
      </x:c>
      <x:c r="L1109" s="5" t="n">
        <x:v>2.45</x:v>
      </x:c>
      <x:c r="M1109" s="1" t="n">
        <x:v>0</x:v>
      </x:c>
      <x:c r="N1109" s="6" t="n">
        <x:v>0.862</x:v>
      </x:c>
      <x:c r="O1109" s="1" t="str">
        <x:v>합격</x:v>
      </x:c>
      <x:c r="P1109" s="1"/>
      <x:c r="Q1109" s="1" t="n">
        <x:v>36</x:v>
      </x:c>
      <x:c r="R1109" s="1" t="str">
        <x:v>N</x:v>
      </x:c>
      <x:c r="S1109" s="1" t="n">
        <x:v>0</x:v>
      </x:c>
      <x:c r="T1109" s="1" t="str">
        <x:v>합격</x:v>
      </x:c>
    </x:row>
    <x:row r="1110" ht="22" customHeight="1">
      <x:c r="A1110" s="1" t="str">
        <x:v>R01109</x:v>
      </x:c>
      <x:c r="B1110" s="4" t="n">
        <x:v>46227.648935185185</x:v>
      </x:c>
      <x:c r="C1110" s="1" t="str">
        <x:v>주간</x:v>
      </x:c>
      <x:c r="D1110" s="1" t="str">
        <x:v>L1</x:v>
      </x:c>
      <x:c r="E1110" s="1" t="str">
        <x:v>P1</x:v>
      </x:c>
      <x:c r="F1110" s="1" t="str">
        <x:v>M01</x:v>
      </x:c>
      <x:c r="G1110" s="1" t="str">
        <x:v>G05</x:v>
      </x:c>
      <x:c r="H1110" s="5" t="n">
        <x:v>30.44</x:v>
      </x:c>
      <x:c r="I1110" s="5" t="n">
        <x:v>5.97</x:v>
      </x:c>
      <x:c r="J1110" s="5" t="n">
        <x:v>51.7</x:v>
      </x:c>
      <x:c r="K1110" s="5" t="n">
        <x:v>40.6</x:v>
      </x:c>
      <x:c r="L1110" s="5" t="n">
        <x:v>2.27</x:v>
      </x:c>
      <x:c r="M1110" s="1" t="n">
        <x:v>1</x:v>
      </x:c>
      <x:c r="N1110" s="6" t="n">
        <x:v>0.963</x:v>
      </x:c>
      <x:c r="O1110" s="1" t="str">
        <x:v>합격</x:v>
      </x:c>
      <x:c r="P1110" s="1"/>
      <x:c r="Q1110" s="1" t="n">
        <x:v>48</x:v>
      </x:c>
      <x:c r="R1110" s="1" t="str">
        <x:v>N</x:v>
      </x:c>
      <x:c r="S1110" s="1" t="n">
        <x:v>0</x:v>
      </x:c>
      <x:c r="T1110" s="1" t="str">
        <x:v>합격</x:v>
      </x:c>
    </x:row>
    <x:row r="1111" ht="22" customHeight="1">
      <x:c r="A1111" s="1" t="str">
        <x:v>R01110</x:v>
      </x:c>
      <x:c r="B1111" s="4" t="n">
        <x:v>46228.9628125</x:v>
      </x:c>
      <x:c r="C1111" s="1" t="str">
        <x:v>야간</x:v>
      </x:c>
      <x:c r="D1111" s="1" t="str">
        <x:v>L2</x:v>
      </x:c>
      <x:c r="E1111" s="1" t="str">
        <x:v>P2</x:v>
      </x:c>
      <x:c r="F1111" s="1" t="str">
        <x:v>M02</x:v>
      </x:c>
      <x:c r="G1111" s="1" t="str">
        <x:v>G06</x:v>
      </x:c>
      <x:c r="H1111" s="5" t="n">
        <x:v>30.27</x:v>
      </x:c>
      <x:c r="I1111" s="5" t="n">
        <x:v>5.73</x:v>
      </x:c>
      <x:c r="J1111" s="5" t="n">
        <x:v>56.3</x:v>
      </x:c>
      <x:c r="K1111" s="5" t="n">
        <x:v>40.4</x:v>
      </x:c>
      <x:c r="L1111" s="5" t="n">
        <x:v>1.77</x:v>
      </x:c>
      <x:c r="M1111" s="1" t="n">
        <x:v>1</x:v>
      </x:c>
      <x:c r="N1111" s="6" t="n">
        <x:v>1.032</x:v>
      </x:c>
      <x:c r="O1111" s="1" t="str">
        <x:v>합격</x:v>
      </x:c>
      <x:c r="P1111" s="1"/>
      <x:c r="Q1111" s="1" t="n">
        <x:v>47</x:v>
      </x:c>
      <x:c r="R1111" s="1" t="str">
        <x:v>N</x:v>
      </x:c>
      <x:c r="S1111" s="1" t="n">
        <x:v>0</x:v>
      </x:c>
      <x:c r="T1111" s="1" t="str">
        <x:v>합격</x:v>
      </x:c>
    </x:row>
    <x:row r="1112" ht="22" customHeight="1">
      <x:c r="A1112" s="1" t="str">
        <x:v>R01111</x:v>
      </x:c>
      <x:c r="B1112" s="4" t="n">
        <x:v>46229.99172453704</x:v>
      </x:c>
      <x:c r="C1112" s="1" t="str">
        <x:v>야간</x:v>
      </x:c>
      <x:c r="D1112" s="1" t="str">
        <x:v>L1</x:v>
      </x:c>
      <x:c r="E1112" s="1" t="str">
        <x:v>P1</x:v>
      </x:c>
      <x:c r="F1112" s="1" t="str">
        <x:v>M04</x:v>
      </x:c>
      <x:c r="G1112" s="1" t="str">
        <x:v>G01</x:v>
      </x:c>
      <x:c r="H1112" s="5" t="n">
        <x:v>28.5</x:v>
      </x:c>
      <x:c r="I1112" s="5" t="n">
        <x:v>5.93</x:v>
      </x:c>
      <x:c r="J1112" s="5" t="n">
        <x:v>49.3</x:v>
      </x:c>
      <x:c r="K1112" s="5" t="n">
        <x:v>38.4</x:v>
      </x:c>
      <x:c r="L1112" s="5" t="n">
        <x:v>1.88</x:v>
      </x:c>
      <x:c r="M1112" s="1" t="n">
        <x:v>0</x:v>
      </x:c>
      <x:c r="N1112" s="6" t="n">
        <x:v>1.009</x:v>
      </x:c>
      <x:c r="O1112" s="1" t="str">
        <x:v>합격</x:v>
      </x:c>
      <x:c r="P1112" s="1"/>
      <x:c r="Q1112" s="1" t="n">
        <x:v>38</x:v>
      </x:c>
      <x:c r="R1112" s="1" t="str">
        <x:v>N</x:v>
      </x:c>
      <x:c r="S1112" s="1" t="n">
        <x:v>0</x:v>
      </x:c>
      <x:c r="T1112" s="1" t="str">
        <x:v>합격</x:v>
      </x:c>
    </x:row>
    <x:row r="1113" ht="22" customHeight="1">
      <x:c r="A1113" s="1" t="str">
        <x:v>R01112</x:v>
      </x:c>
      <x:c r="B1113" s="4" t="n">
        <x:v>46230.406875</x:v>
      </x:c>
      <x:c r="C1113" s="1" t="str">
        <x:v>주간</x:v>
      </x:c>
      <x:c r="D1113" s="1" t="str">
        <x:v>L2</x:v>
      </x:c>
      <x:c r="E1113" s="1" t="str">
        <x:v>P2</x:v>
      </x:c>
      <x:c r="F1113" s="1" t="str">
        <x:v>M04</x:v>
      </x:c>
      <x:c r="G1113" s="1" t="str">
        <x:v>G02</x:v>
      </x:c>
      <x:c r="H1113" s="5" t="n">
        <x:v>29.79</x:v>
      </x:c>
      <x:c r="I1113" s="5" t="n">
        <x:v>5.91</x:v>
      </x:c>
      <x:c r="J1113" s="5" t="n">
        <x:v>51.7</x:v>
      </x:c>
      <x:c r="K1113" s="5" t="n">
        <x:v>35.8</x:v>
      </x:c>
      <x:c r="L1113" s="5" t="n">
        <x:v>1.8</x:v>
      </x:c>
      <x:c r="M1113" s="1" t="n">
        <x:v>0</x:v>
      </x:c>
      <x:c r="N1113" s="6" t="n">
        <x:v>1.014</x:v>
      </x:c>
      <x:c r="O1113" s="1" t="str">
        <x:v>합격</x:v>
      </x:c>
      <x:c r="P1113" s="1"/>
      <x:c r="Q1113" s="1" t="n">
        <x:v>44</x:v>
      </x:c>
      <x:c r="R1113" s="1" t="str">
        <x:v>N</x:v>
      </x:c>
      <x:c r="S1113" s="1" t="n">
        <x:v>0</x:v>
      </x:c>
      <x:c r="T1113" s="1" t="str">
        <x:v>합격</x:v>
      </x:c>
    </x:row>
    <x:row r="1114" ht="22" customHeight="1">
      <x:c r="A1114" s="1" t="str">
        <x:v>R01113</x:v>
      </x:c>
      <x:c r="B1114" s="4" t="n">
        <x:v>46231.10885416667</x:v>
      </x:c>
      <x:c r="C1114" s="1" t="str">
        <x:v>야간</x:v>
      </x:c>
      <x:c r="D1114" s="1" t="str">
        <x:v>L1</x:v>
      </x:c>
      <x:c r="E1114" s="1" t="str">
        <x:v>P1</x:v>
      </x:c>
      <x:c r="F1114" s="1" t="str">
        <x:v>M03</x:v>
      </x:c>
      <x:c r="G1114" s="1" t="str">
        <x:v>G03</x:v>
      </x:c>
      <x:c r="H1114" s="5" t="n">
        <x:v>30.85</x:v>
      </x:c>
      <x:c r="I1114" s="5" t="n">
        <x:v>5.88</x:v>
      </x:c>
      <x:c r="J1114" s="5" t="n">
        <x:v>51.7</x:v>
      </x:c>
      <x:c r="K1114" s="5" t="n">
        <x:v>38.6</x:v>
      </x:c>
      <x:c r="L1114" s="5" t="n">
        <x:v>2.66</x:v>
      </x:c>
      <x:c r="M1114" s="1" t="n">
        <x:v>1</x:v>
      </x:c>
      <x:c r="N1114" s="6" t="n">
        <x:v>0.978</x:v>
      </x:c>
      <x:c r="O1114" s="1" t="str">
        <x:v>불합격</x:v>
      </x:c>
      <x:c r="P1114" s="1" t="str">
        <x:v>치수불량</x:v>
      </x:c>
      <x:c r="Q1114" s="1" t="n">
        <x:v>48</x:v>
      </x:c>
      <x:c r="R1114" s="1" t="str">
        <x:v>Y</x:v>
      </x:c>
      <x:c r="S1114" s="1" t="n">
        <x:v>7</x:v>
      </x:c>
      <x:c r="T1114" s="1" t="str">
        <x:v>재작업후합격</x:v>
      </x:c>
    </x:row>
    <x:row r="1115" ht="22" customHeight="1">
      <x:c r="A1115" s="1" t="str">
        <x:v>R01114</x:v>
      </x:c>
      <x:c r="B1115" s="4" t="n">
        <x:v>46232.45659722222</x:v>
      </x:c>
      <x:c r="C1115" s="1" t="str">
        <x:v>주간</x:v>
      </x:c>
      <x:c r="D1115" s="1" t="str">
        <x:v>L1</x:v>
      </x:c>
      <x:c r="E1115" s="1" t="str">
        <x:v>P1</x:v>
      </x:c>
      <x:c r="F1115" s="1" t="str">
        <x:v>M04</x:v>
      </x:c>
      <x:c r="G1115" s="1" t="str">
        <x:v>G04</x:v>
      </x:c>
      <x:c r="H1115" s="5" t="n">
        <x:v>25.94</x:v>
      </x:c>
      <x:c r="I1115" s="5" t="n">
        <x:v>5.83</x:v>
      </x:c>
      <x:c r="J1115" s="5" t="n">
        <x:v>58.7</x:v>
      </x:c>
      <x:c r="K1115" s="5" t="n">
        <x:v>41.4</x:v>
      </x:c>
      <x:c r="L1115" s="5" t="n">
        <x:v>2.04</x:v>
      </x:c>
      <x:c r="M1115" s="1" t="n">
        <x:v>0</x:v>
      </x:c>
      <x:c r="N1115" s="6" t="n">
        <x:v>0.858</x:v>
      </x:c>
      <x:c r="O1115" s="1" t="str">
        <x:v>불합격</x:v>
      </x:c>
      <x:c r="P1115" s="1" t="str">
        <x:v>외관불량</x:v>
      </x:c>
      <x:c r="Q1115" s="1" t="n">
        <x:v>45</x:v>
      </x:c>
      <x:c r="R1115" s="1" t="str">
        <x:v>Y</x:v>
      </x:c>
      <x:c r="S1115" s="1" t="n">
        <x:v>7</x:v>
      </x:c>
      <x:c r="T1115" s="1" t="str">
        <x:v>재작업후합격</x:v>
      </x:c>
    </x:row>
    <x:row r="1116" ht="22" customHeight="1">
      <x:c r="A1116" s="1" t="str">
        <x:v>R01115</x:v>
      </x:c>
      <x:c r="B1116" s="4" t="n">
        <x:v>46233.950208333335</x:v>
      </x:c>
      <x:c r="C1116" s="1" t="str">
        <x:v>야간</x:v>
      </x:c>
      <x:c r="D1116" s="1" t="str">
        <x:v>L1</x:v>
      </x:c>
      <x:c r="E1116" s="1" t="str">
        <x:v>P1</x:v>
      </x:c>
      <x:c r="F1116" s="1" t="str">
        <x:v>M04</x:v>
      </x:c>
      <x:c r="G1116" s="1" t="str">
        <x:v>G05</x:v>
      </x:c>
      <x:c r="H1116" s="5" t="n">
        <x:v>28.82</x:v>
      </x:c>
      <x:c r="I1116" s="5" t="n">
        <x:v>5.96</x:v>
      </x:c>
      <x:c r="J1116" s="5" t="n">
        <x:v>55.4</x:v>
      </x:c>
      <x:c r="K1116" s="5" t="n">
        <x:v>36.2</x:v>
      </x:c>
      <x:c r="L1116" s="5" t="n">
        <x:v>2.16</x:v>
      </x:c>
      <x:c r="M1116" s="1" t="n">
        <x:v>1</x:v>
      </x:c>
      <x:c r="N1116" s="6" t="n">
        <x:v>0.947</x:v>
      </x:c>
      <x:c r="O1116" s="1" t="str">
        <x:v>합격</x:v>
      </x:c>
      <x:c r="P1116" s="1"/>
      <x:c r="Q1116" s="1" t="n">
        <x:v>47</x:v>
      </x:c>
      <x:c r="R1116" s="1" t="str">
        <x:v>N</x:v>
      </x:c>
      <x:c r="S1116" s="1" t="n">
        <x:v>0</x:v>
      </x:c>
      <x:c r="T1116" s="1" t="str">
        <x:v>합격</x:v>
      </x:c>
    </x:row>
    <x:row r="1117" ht="22" customHeight="1">
      <x:c r="A1117" s="1" t="str">
        <x:v>R01116</x:v>
      </x:c>
      <x:c r="B1117" s="4" t="n">
        <x:v>46234.50817129629</x:v>
      </x:c>
      <x:c r="C1117" s="1" t="str">
        <x:v>주간</x:v>
      </x:c>
      <x:c r="D1117" s="1" t="str">
        <x:v>L2</x:v>
      </x:c>
      <x:c r="E1117" s="1" t="str">
        <x:v>P2</x:v>
      </x:c>
      <x:c r="F1117" s="1" t="str">
        <x:v>M04</x:v>
      </x:c>
      <x:c r="G1117" s="1" t="str">
        <x:v>G06</x:v>
      </x:c>
      <x:c r="H1117" s="5" t="n">
        <x:v>27.38</x:v>
      </x:c>
      <x:c r="I1117" s="5" t="n">
        <x:v>5.84</x:v>
      </x:c>
      <x:c r="J1117" s="5" t="n">
        <x:v>58.4</x:v>
      </x:c>
      <x:c r="K1117" s="5" t="n">
        <x:v>38.9</x:v>
      </x:c>
      <x:c r="L1117" s="5" t="n">
        <x:v>2.68</x:v>
      </x:c>
      <x:c r="M1117" s="1" t="n">
        <x:v>0</x:v>
      </x:c>
      <x:c r="N1117" s="6" t="n">
        <x:v>0.867</x:v>
      </x:c>
      <x:c r="O1117" s="1" t="str">
        <x:v>합격</x:v>
      </x:c>
      <x:c r="P1117" s="1"/>
      <x:c r="Q1117" s="1" t="n">
        <x:v>36</x:v>
      </x:c>
      <x:c r="R1117" s="1" t="str">
        <x:v>N</x:v>
      </x:c>
      <x:c r="S1117" s="1" t="n">
        <x:v>0</x:v>
      </x:c>
      <x:c r="T1117" s="1" t="str">
        <x:v>합격</x:v>
      </x:c>
    </x:row>
    <x:row r="1118" ht="22" customHeight="1">
      <x:c r="A1118" s="1" t="str">
        <x:v>R01117</x:v>
      </x:c>
      <x:c r="B1118" s="4" t="n">
        <x:v>46204.02475694445</x:v>
      </x:c>
      <x:c r="C1118" s="1" t="str">
        <x:v>야간</x:v>
      </x:c>
      <x:c r="D1118" s="1" t="str">
        <x:v>L1</x:v>
      </x:c>
      <x:c r="E1118" s="1" t="str">
        <x:v>P1</x:v>
      </x:c>
      <x:c r="F1118" s="1" t="str">
        <x:v>M04</x:v>
      </x:c>
      <x:c r="G1118" s="1" t="str">
        <x:v>G01</x:v>
      </x:c>
      <x:c r="H1118" s="5" t="n">
        <x:v>31.65</x:v>
      </x:c>
      <x:c r="I1118" s="5" t="n">
        <x:v>5.71</x:v>
      </x:c>
      <x:c r="J1118" s="5" t="n">
        <x:v>51.2</x:v>
      </x:c>
      <x:c r="K1118" s="5" t="n">
        <x:v>41.1</x:v>
      </x:c>
      <x:c r="L1118" s="5" t="n">
        <x:v>1.83</x:v>
      </x:c>
      <x:c r="M1118" s="1" t="n">
        <x:v>1</x:v>
      </x:c>
      <x:c r="N1118" s="6" t="n">
        <x:v>0.947</x:v>
      </x:c>
      <x:c r="O1118" s="1" t="str">
        <x:v>합격</x:v>
      </x:c>
      <x:c r="P1118" s="1"/>
      <x:c r="Q1118" s="1" t="n">
        <x:v>46</x:v>
      </x:c>
      <x:c r="R1118" s="1" t="str">
        <x:v>N</x:v>
      </x:c>
      <x:c r="S1118" s="1" t="n">
        <x:v>0</x:v>
      </x:c>
      <x:c r="T1118" s="1" t="str">
        <x:v>합격</x:v>
      </x:c>
    </x:row>
    <x:row r="1119" ht="22" customHeight="1">
      <x:c r="A1119" s="1" t="str">
        <x:v>R01118</x:v>
      </x:c>
      <x:c r="B1119" s="4" t="n">
        <x:v>46205.10799768518</x:v>
      </x:c>
      <x:c r="C1119" s="1" t="str">
        <x:v>야간</x:v>
      </x:c>
      <x:c r="D1119" s="1" t="str">
        <x:v>L1</x:v>
      </x:c>
      <x:c r="E1119" s="1" t="str">
        <x:v>P1</x:v>
      </x:c>
      <x:c r="F1119" s="1" t="str">
        <x:v>M04</x:v>
      </x:c>
      <x:c r="G1119" s="1" t="str">
        <x:v>G02</x:v>
      </x:c>
      <x:c r="H1119" s="5" t="n">
        <x:v>27.34</x:v>
      </x:c>
      <x:c r="I1119" s="5" t="n">
        <x:v>5.72</x:v>
      </x:c>
      <x:c r="J1119" s="5" t="n">
        <x:v>50.4</x:v>
      </x:c>
      <x:c r="K1119" s="5" t="n">
        <x:v>40.1</x:v>
      </x:c>
      <x:c r="L1119" s="5" t="n">
        <x:v>2.46</x:v>
      </x:c>
      <x:c r="M1119" s="1" t="n">
        <x:v>1</x:v>
      </x:c>
      <x:c r="N1119" s="6" t="n">
        <x:v>0.939</x:v>
      </x:c>
      <x:c r="O1119" s="1" t="str">
        <x:v>합격</x:v>
      </x:c>
      <x:c r="P1119" s="1"/>
      <x:c r="Q1119" s="1" t="n">
        <x:v>43</x:v>
      </x:c>
      <x:c r="R1119" s="1" t="str">
        <x:v>N</x:v>
      </x:c>
      <x:c r="S1119" s="1" t="n">
        <x:v>0</x:v>
      </x:c>
      <x:c r="T1119" s="1" t="str">
        <x:v>합격</x:v>
      </x:c>
    </x:row>
    <x:row r="1120" ht="22" customHeight="1">
      <x:c r="A1120" s="1" t="str">
        <x:v>R01119</x:v>
      </x:c>
      <x:c r="B1120" s="4" t="n">
        <x:v>46206.99797453704</x:v>
      </x:c>
      <x:c r="C1120" s="1" t="str">
        <x:v>야간</x:v>
      </x:c>
      <x:c r="D1120" s="1" t="str">
        <x:v>L2</x:v>
      </x:c>
      <x:c r="E1120" s="1" t="str">
        <x:v>P2</x:v>
      </x:c>
      <x:c r="F1120" s="1" t="str">
        <x:v>M01</x:v>
      </x:c>
      <x:c r="G1120" s="1" t="str">
        <x:v>G03</x:v>
      </x:c>
      <x:c r="H1120" s="5" t="n">
        <x:v>31.09</x:v>
      </x:c>
      <x:c r="I1120" s="5" t="n">
        <x:v>5.61</x:v>
      </x:c>
      <x:c r="J1120" s="5" t="n">
        <x:v>47.9</x:v>
      </x:c>
      <x:c r="K1120" s="5" t="n">
        <x:v>41.6</x:v>
      </x:c>
      <x:c r="L1120" s="5" t="n">
        <x:v>1.93</x:v>
      </x:c>
      <x:c r="M1120" s="1" t="n">
        <x:v>1</x:v>
      </x:c>
      <x:c r="N1120" s="6" t="n">
        <x:v>0.971</x:v>
      </x:c>
      <x:c r="O1120" s="1" t="str">
        <x:v>합격</x:v>
      </x:c>
      <x:c r="P1120" s="1"/>
      <x:c r="Q1120" s="1" t="n">
        <x:v>35</x:v>
      </x:c>
      <x:c r="R1120" s="1" t="str">
        <x:v>N</x:v>
      </x:c>
      <x:c r="S1120" s="1" t="n">
        <x:v>0</x:v>
      </x:c>
      <x:c r="T1120" s="1" t="str">
        <x:v>합격</x:v>
      </x:c>
    </x:row>
    <x:row r="1121" ht="22" customHeight="1">
      <x:c r="A1121" s="1" t="str">
        <x:v>R01120</x:v>
      </x:c>
      <x:c r="B1121" s="4" t="n">
        <x:v>46207.35304398148</x:v>
      </x:c>
      <x:c r="C1121" s="1" t="str">
        <x:v>주간</x:v>
      </x:c>
      <x:c r="D1121" s="1" t="str">
        <x:v>L1</x:v>
      </x:c>
      <x:c r="E1121" s="1" t="str">
        <x:v>P1</x:v>
      </x:c>
      <x:c r="F1121" s="1" t="str">
        <x:v>M01</x:v>
      </x:c>
      <x:c r="G1121" s="1" t="str">
        <x:v>G04</x:v>
      </x:c>
      <x:c r="H1121" s="5" t="n">
        <x:v>30.17</x:v>
      </x:c>
      <x:c r="I1121" s="5" t="n">
        <x:v>5.86</x:v>
      </x:c>
      <x:c r="J1121" s="5" t="n">
        <x:v>58.5</x:v>
      </x:c>
      <x:c r="K1121" s="5" t="n">
        <x:v>36.4</x:v>
      </x:c>
      <x:c r="L1121" s="5" t="n">
        <x:v>1.71</x:v>
      </x:c>
      <x:c r="M1121" s="1" t="n">
        <x:v>1</x:v>
      </x:c>
      <x:c r="N1121" s="6" t="n">
        <x:v>1.027</x:v>
      </x:c>
      <x:c r="O1121" s="1" t="str">
        <x:v>합격</x:v>
      </x:c>
      <x:c r="P1121" s="1"/>
      <x:c r="Q1121" s="1" t="n">
        <x:v>43</x:v>
      </x:c>
      <x:c r="R1121" s="1" t="str">
        <x:v>N</x:v>
      </x:c>
      <x:c r="S1121" s="1" t="n">
        <x:v>0</x:v>
      </x:c>
      <x:c r="T1121" s="1" t="str">
        <x:v>합격</x:v>
      </x:c>
    </x:row>
    <x:row r="1122" ht="22" customHeight="1">
      <x:c r="A1122" s="1" t="str">
        <x:v>R01121</x:v>
      </x:c>
      <x:c r="B1122" s="4" t="n">
        <x:v>46208.33950231481</x:v>
      </x:c>
      <x:c r="C1122" s="1" t="str">
        <x:v>주간</x:v>
      </x:c>
      <x:c r="D1122" s="1" t="str">
        <x:v>L2</x:v>
      </x:c>
      <x:c r="E1122" s="1" t="str">
        <x:v>P2</x:v>
      </x:c>
      <x:c r="F1122" s="1" t="str">
        <x:v>M04</x:v>
      </x:c>
      <x:c r="G1122" s="1" t="str">
        <x:v>G05</x:v>
      </x:c>
      <x:c r="H1122" s="5" t="n">
        <x:v>29.86</x:v>
      </x:c>
      <x:c r="I1122" s="5" t="n">
        <x:v>5.82</x:v>
      </x:c>
      <x:c r="J1122" s="5" t="n">
        <x:v>48.4</x:v>
      </x:c>
      <x:c r="K1122" s="5" t="n">
        <x:v>38</x:v>
      </x:c>
      <x:c r="L1122" s="5" t="n">
        <x:v>1.88</x:v>
      </x:c>
      <x:c r="M1122" s="1" t="n">
        <x:v>0</x:v>
      </x:c>
      <x:c r="N1122" s="6" t="n">
        <x:v>0.97</x:v>
      </x:c>
      <x:c r="O1122" s="1" t="str">
        <x:v>합격</x:v>
      </x:c>
      <x:c r="P1122" s="1"/>
      <x:c r="Q1122" s="1" t="n">
        <x:v>35</x:v>
      </x:c>
      <x:c r="R1122" s="1" t="str">
        <x:v>N</x:v>
      </x:c>
      <x:c r="S1122" s="1" t="n">
        <x:v>0</x:v>
      </x:c>
      <x:c r="T1122" s="1" t="str">
        <x:v>합격</x:v>
      </x:c>
    </x:row>
    <x:row r="1123" ht="22" customHeight="1">
      <x:c r="A1123" s="1" t="str">
        <x:v>R01122</x:v>
      </x:c>
      <x:c r="B1123" s="4" t="n">
        <x:v>46209.97929398148</x:v>
      </x:c>
      <x:c r="C1123" s="1" t="str">
        <x:v>야간</x:v>
      </x:c>
      <x:c r="D1123" s="1" t="str">
        <x:v>L1</x:v>
      </x:c>
      <x:c r="E1123" s="1" t="str">
        <x:v>P1</x:v>
      </x:c>
      <x:c r="F1123" s="1" t="str">
        <x:v>M03</x:v>
      </x:c>
      <x:c r="G1123" s="1" t="str">
        <x:v>G06</x:v>
      </x:c>
      <x:c r="H1123" s="5" t="n">
        <x:v>26.38</x:v>
      </x:c>
      <x:c r="I1123" s="5" t="n">
        <x:v>5.98</x:v>
      </x:c>
      <x:c r="J1123" s="5" t="n">
        <x:v>57.2</x:v>
      </x:c>
      <x:c r="K1123" s="5" t="n">
        <x:v>38.1</x:v>
      </x:c>
      <x:c r="L1123" s="5" t="n">
        <x:v>2.57</x:v>
      </x:c>
      <x:c r="M1123" s="1" t="n">
        <x:v>1</x:v>
      </x:c>
      <x:c r="N1123" s="6" t="n">
        <x:v>0.869</x:v>
      </x:c>
      <x:c r="O1123" s="1" t="str">
        <x:v>합격</x:v>
      </x:c>
      <x:c r="P1123" s="1"/>
      <x:c r="Q1123" s="1" t="n">
        <x:v>35</x:v>
      </x:c>
      <x:c r="R1123" s="1" t="str">
        <x:v>N</x:v>
      </x:c>
      <x:c r="S1123" s="1" t="n">
        <x:v>0</x:v>
      </x:c>
      <x:c r="T1123" s="1" t="str">
        <x:v>합격</x:v>
      </x:c>
    </x:row>
    <x:row r="1124" ht="22" customHeight="1">
      <x:c r="A1124" s="1" t="str">
        <x:v>R01123</x:v>
      </x:c>
      <x:c r="B1124" s="4" t="n">
        <x:v>46210.860671296294</x:v>
      </x:c>
      <x:c r="C1124" s="1" t="str">
        <x:v>야간</x:v>
      </x:c>
      <x:c r="D1124" s="1" t="str">
        <x:v>L1</x:v>
      </x:c>
      <x:c r="E1124" s="1" t="str">
        <x:v>P1</x:v>
      </x:c>
      <x:c r="F1124" s="1" t="str">
        <x:v>M04</x:v>
      </x:c>
      <x:c r="G1124" s="1" t="str">
        <x:v>G01</x:v>
      </x:c>
      <x:c r="H1124" s="5" t="n">
        <x:v>29.06</x:v>
      </x:c>
      <x:c r="I1124" s="5" t="n">
        <x:v>5.77</x:v>
      </x:c>
      <x:c r="J1124" s="5" t="n">
        <x:v>49.5</x:v>
      </x:c>
      <x:c r="K1124" s="5" t="n">
        <x:v>39.9</x:v>
      </x:c>
      <x:c r="L1124" s="5" t="n">
        <x:v>2.16</x:v>
      </x:c>
      <x:c r="M1124" s="1" t="n">
        <x:v>1</x:v>
      </x:c>
      <x:c r="N1124" s="6" t="n">
        <x:v>0.904</x:v>
      </x:c>
      <x:c r="O1124" s="1" t="str">
        <x:v>합격</x:v>
      </x:c>
      <x:c r="P1124" s="1"/>
      <x:c r="Q1124" s="1" t="n">
        <x:v>38</x:v>
      </x:c>
      <x:c r="R1124" s="1" t="str">
        <x:v>N</x:v>
      </x:c>
      <x:c r="S1124" s="1" t="n">
        <x:v>0</x:v>
      </x:c>
      <x:c r="T1124" s="1" t="str">
        <x:v>합격</x:v>
      </x:c>
    </x:row>
    <x:row r="1125" ht="22" customHeight="1">
      <x:c r="A1125" s="1" t="str">
        <x:v>R01124</x:v>
      </x:c>
      <x:c r="B1125" s="4" t="n">
        <x:v>46211.546111111114</x:v>
      </x:c>
      <x:c r="C1125" s="1" t="str">
        <x:v>주간</x:v>
      </x:c>
      <x:c r="D1125" s="1" t="str">
        <x:v>L2</x:v>
      </x:c>
      <x:c r="E1125" s="1" t="str">
        <x:v>P2</x:v>
      </x:c>
      <x:c r="F1125" s="1" t="str">
        <x:v>M02</x:v>
      </x:c>
      <x:c r="G1125" s="1" t="str">
        <x:v>G02</x:v>
      </x:c>
      <x:c r="H1125" s="5" t="n">
        <x:v>29.34</x:v>
      </x:c>
      <x:c r="I1125" s="5" t="n">
        <x:v>5.8</x:v>
      </x:c>
      <x:c r="J1125" s="5" t="n">
        <x:v>57</x:v>
      </x:c>
      <x:c r="K1125" s="5" t="n">
        <x:v>37.9</x:v>
      </x:c>
      <x:c r="L1125" s="5" t="n">
        <x:v>1.87</x:v>
      </x:c>
      <x:c r="M1125" s="1" t="n">
        <x:v>0</x:v>
      </x:c>
      <x:c r="N1125" s="6" t="n">
        <x:v>0.865</x:v>
      </x:c>
      <x:c r="O1125" s="1" t="str">
        <x:v>합격</x:v>
      </x:c>
      <x:c r="P1125" s="1"/>
      <x:c r="Q1125" s="1" t="n">
        <x:v>43</x:v>
      </x:c>
      <x:c r="R1125" s="1" t="str">
        <x:v>N</x:v>
      </x:c>
      <x:c r="S1125" s="1" t="n">
        <x:v>0</x:v>
      </x:c>
      <x:c r="T1125" s="1" t="str">
        <x:v>합격</x:v>
      </x:c>
    </x:row>
    <x:row r="1126" ht="22" customHeight="1">
      <x:c r="A1126" s="1" t="str">
        <x:v>R01125</x:v>
      </x:c>
      <x:c r="B1126" s="4" t="n">
        <x:v>46212.931608796294</x:v>
      </x:c>
      <x:c r="C1126" s="1" t="str">
        <x:v>야간</x:v>
      </x:c>
      <x:c r="D1126" s="1" t="str">
        <x:v>L1</x:v>
      </x:c>
      <x:c r="E1126" s="1" t="str">
        <x:v>P1</x:v>
      </x:c>
      <x:c r="F1126" s="1" t="str">
        <x:v>M03</x:v>
      </x:c>
      <x:c r="G1126" s="1" t="str">
        <x:v>G03</x:v>
      </x:c>
      <x:c r="H1126" s="5" t="n">
        <x:v>33.84</x:v>
      </x:c>
      <x:c r="I1126" s="5" t="n">
        <x:v>5.95</x:v>
      </x:c>
      <x:c r="J1126" s="5" t="n">
        <x:v>48.7</x:v>
      </x:c>
      <x:c r="K1126" s="5" t="n">
        <x:v>37</x:v>
      </x:c>
      <x:c r="L1126" s="5" t="n">
        <x:v>1.3</x:v>
      </x:c>
      <x:c r="M1126" s="1" t="n">
        <x:v>1</x:v>
      </x:c>
      <x:c r="N1126" s="6" t="n">
        <x:v>0.98</x:v>
      </x:c>
      <x:c r="O1126" s="1" t="str">
        <x:v>합격</x:v>
      </x:c>
      <x:c r="P1126" s="1"/>
      <x:c r="Q1126" s="1" t="n">
        <x:v>44</x:v>
      </x:c>
      <x:c r="R1126" s="1" t="str">
        <x:v>N</x:v>
      </x:c>
      <x:c r="S1126" s="1" t="n">
        <x:v>0</x:v>
      </x:c>
      <x:c r="T1126" s="1" t="str">
        <x:v>합격</x:v>
      </x:c>
    </x:row>
    <x:row r="1127" ht="22" customHeight="1">
      <x:c r="A1127" s="1" t="str">
        <x:v>R01126</x:v>
      </x:c>
      <x:c r="B1127" s="4" t="n">
        <x:v>46213.151666666665</x:v>
      </x:c>
      <x:c r="C1127" s="1" t="str">
        <x:v>야간</x:v>
      </x:c>
      <x:c r="D1127" s="1" t="str">
        <x:v>L2</x:v>
      </x:c>
      <x:c r="E1127" s="1" t="str">
        <x:v>P2</x:v>
      </x:c>
      <x:c r="F1127" s="1" t="str">
        <x:v>M01</x:v>
      </x:c>
      <x:c r="G1127" s="1" t="str">
        <x:v>G04</x:v>
      </x:c>
      <x:c r="H1127" s="5" t="n">
        <x:v>28.28</x:v>
      </x:c>
      <x:c r="I1127" s="5" t="n">
        <x:v>5.86</x:v>
      </x:c>
      <x:c r="J1127" s="5" t="n">
        <x:v>58.8</x:v>
      </x:c>
      <x:c r="K1127" s="5" t="n">
        <x:v>36</x:v>
      </x:c>
      <x:c r="L1127" s="5" t="n">
        <x:v>2.21</x:v>
      </x:c>
      <x:c r="M1127" s="1" t="n">
        <x:v>0</x:v>
      </x:c>
      <x:c r="N1127" s="6" t="n">
        <x:v>0.892</x:v>
      </x:c>
      <x:c r="O1127" s="1" t="str">
        <x:v>합격</x:v>
      </x:c>
      <x:c r="P1127" s="1"/>
      <x:c r="Q1127" s="1" t="n">
        <x:v>49</x:v>
      </x:c>
      <x:c r="R1127" s="1" t="str">
        <x:v>N</x:v>
      </x:c>
      <x:c r="S1127" s="1" t="n">
        <x:v>0</x:v>
      </x:c>
      <x:c r="T1127" s="1" t="str">
        <x:v>합격</x:v>
      </x:c>
    </x:row>
    <x:row r="1128" ht="22" customHeight="1">
      <x:c r="A1128" s="1" t="str">
        <x:v>R01127</x:v>
      </x:c>
      <x:c r="B1128" s="4" t="n">
        <x:v>46214.94258101852</x:v>
      </x:c>
      <x:c r="C1128" s="1" t="str">
        <x:v>야간</x:v>
      </x:c>
      <x:c r="D1128" s="1" t="str">
        <x:v>L2</x:v>
      </x:c>
      <x:c r="E1128" s="1" t="str">
        <x:v>P2</x:v>
      </x:c>
      <x:c r="F1128" s="1" t="str">
        <x:v>M01</x:v>
      </x:c>
      <x:c r="G1128" s="1" t="str">
        <x:v>G05</x:v>
      </x:c>
      <x:c r="H1128" s="5" t="n">
        <x:v>31.39</x:v>
      </x:c>
      <x:c r="I1128" s="5" t="n">
        <x:v>5.69</x:v>
      </x:c>
      <x:c r="J1128" s="5" t="n">
        <x:v>58.5</x:v>
      </x:c>
      <x:c r="K1128" s="5" t="n">
        <x:v>38.6</x:v>
      </x:c>
      <x:c r="L1128" s="5" t="n">
        <x:v>2.04</x:v>
      </x:c>
      <x:c r="M1128" s="1" t="n">
        <x:v>1</x:v>
      </x:c>
      <x:c r="N1128" s="6" t="n">
        <x:v>0.913</x:v>
      </x:c>
      <x:c r="O1128" s="1" t="str">
        <x:v>합격</x:v>
      </x:c>
      <x:c r="P1128" s="1"/>
      <x:c r="Q1128" s="1" t="n">
        <x:v>44</x:v>
      </x:c>
      <x:c r="R1128" s="1" t="str">
        <x:v>N</x:v>
      </x:c>
      <x:c r="S1128" s="1" t="n">
        <x:v>0</x:v>
      </x:c>
      <x:c r="T1128" s="1" t="str">
        <x:v>합격</x:v>
      </x:c>
    </x:row>
    <x:row r="1129" ht="22" customHeight="1">
      <x:c r="A1129" s="1" t="str">
        <x:v>R01128</x:v>
      </x:c>
      <x:c r="B1129" s="4" t="n">
        <x:v>46215.8762037037</x:v>
      </x:c>
      <x:c r="C1129" s="1" t="str">
        <x:v>야간</x:v>
      </x:c>
      <x:c r="D1129" s="1" t="str">
        <x:v>L1</x:v>
      </x:c>
      <x:c r="E1129" s="1" t="str">
        <x:v>P1</x:v>
      </x:c>
      <x:c r="F1129" s="1" t="str">
        <x:v>M03</x:v>
      </x:c>
      <x:c r="G1129" s="1" t="str">
        <x:v>G06</x:v>
      </x:c>
      <x:c r="H1129" s="5" t="n">
        <x:v>26.69</x:v>
      </x:c>
      <x:c r="I1129" s="5" t="n">
        <x:v>5.65</x:v>
      </x:c>
      <x:c r="J1129" s="5" t="n">
        <x:v>47.4</x:v>
      </x:c>
      <x:c r="K1129" s="5" t="n">
        <x:v>35.9</x:v>
      </x:c>
      <x:c r="L1129" s="5" t="n">
        <x:v>2.37</x:v>
      </x:c>
      <x:c r="M1129" s="1" t="n">
        <x:v>0</x:v>
      </x:c>
      <x:c r="N1129" s="6" t="n">
        <x:v>0.941</x:v>
      </x:c>
      <x:c r="O1129" s="1" t="str">
        <x:v>합격</x:v>
      </x:c>
      <x:c r="P1129" s="1"/>
      <x:c r="Q1129" s="1" t="n">
        <x:v>36</x:v>
      </x:c>
      <x:c r="R1129" s="1" t="str">
        <x:v>N</x:v>
      </x:c>
      <x:c r="S1129" s="1" t="n">
        <x:v>0</x:v>
      </x:c>
      <x:c r="T1129" s="1" t="str">
        <x:v>합격</x:v>
      </x:c>
    </x:row>
    <x:row r="1130" ht="22" customHeight="1">
      <x:c r="A1130" s="1" t="str">
        <x:v>R01129</x:v>
      </x:c>
      <x:c r="B1130" s="4" t="n">
        <x:v>46216.98774305556</x:v>
      </x:c>
      <x:c r="C1130" s="1" t="str">
        <x:v>야간</x:v>
      </x:c>
      <x:c r="D1130" s="1" t="str">
        <x:v>L1</x:v>
      </x:c>
      <x:c r="E1130" s="1" t="str">
        <x:v>P1</x:v>
      </x:c>
      <x:c r="F1130" s="1" t="str">
        <x:v>M04</x:v>
      </x:c>
      <x:c r="G1130" s="1" t="str">
        <x:v>G01</x:v>
      </x:c>
      <x:c r="H1130" s="5" t="n">
        <x:v>27.3</x:v>
      </x:c>
      <x:c r="I1130" s="5" t="n">
        <x:v>5.85</x:v>
      </x:c>
      <x:c r="J1130" s="5" t="n">
        <x:v>52.3</x:v>
      </x:c>
      <x:c r="K1130" s="5" t="n">
        <x:v>41.6</x:v>
      </x:c>
      <x:c r="L1130" s="5" t="n">
        <x:v>2.7</x:v>
      </x:c>
      <x:c r="M1130" s="1" t="n">
        <x:v>0</x:v>
      </x:c>
      <x:c r="N1130" s="6" t="n">
        <x:v>0.875</x:v>
      </x:c>
      <x:c r="O1130" s="1" t="str">
        <x:v>합격</x:v>
      </x:c>
      <x:c r="P1130" s="1"/>
      <x:c r="Q1130" s="1" t="n">
        <x:v>36</x:v>
      </x:c>
      <x:c r="R1130" s="1" t="str">
        <x:v>N</x:v>
      </x:c>
      <x:c r="S1130" s="1" t="n">
        <x:v>0</x:v>
      </x:c>
      <x:c r="T1130" s="1" t="str">
        <x:v>합격</x:v>
      </x:c>
    </x:row>
    <x:row r="1131" ht="22" customHeight="1">
      <x:c r="A1131" s="1" t="str">
        <x:v>R01130</x:v>
      </x:c>
      <x:c r="B1131" s="4" t="n">
        <x:v>46217.4780787037</x:v>
      </x:c>
      <x:c r="C1131" s="1" t="str">
        <x:v>주간</x:v>
      </x:c>
      <x:c r="D1131" s="1" t="str">
        <x:v>L1</x:v>
      </x:c>
      <x:c r="E1131" s="1" t="str">
        <x:v>P1</x:v>
      </x:c>
      <x:c r="F1131" s="1" t="str">
        <x:v>M03</x:v>
      </x:c>
      <x:c r="G1131" s="1" t="str">
        <x:v>G02</x:v>
      </x:c>
      <x:c r="H1131" s="5" t="n">
        <x:v>29.83</x:v>
      </x:c>
      <x:c r="I1131" s="5" t="n">
        <x:v>5.91</x:v>
      </x:c>
      <x:c r="J1131" s="5" t="n">
        <x:v>56.3</x:v>
      </x:c>
      <x:c r="K1131" s="5" t="n">
        <x:v>39.5</x:v>
      </x:c>
      <x:c r="L1131" s="5"/>
      <x:c r="M1131" s="1" t="n">
        <x:v>1</x:v>
      </x:c>
      <x:c r="N1131" s="6" t="n">
        <x:v>0.907</x:v>
      </x:c>
      <x:c r="O1131" s="1" t="str">
        <x:v>합격</x:v>
      </x:c>
      <x:c r="P1131" s="1"/>
      <x:c r="Q1131" s="1" t="n">
        <x:v>44</x:v>
      </x:c>
      <x:c r="R1131" s="1" t="str">
        <x:v>N</x:v>
      </x:c>
      <x:c r="S1131" s="1" t="n">
        <x:v>0</x:v>
      </x:c>
      <x:c r="T1131" s="1" t="str">
        <x:v>합격</x:v>
      </x:c>
    </x:row>
    <x:row r="1132" ht="22" customHeight="1">
      <x:c r="A1132" s="1" t="str">
        <x:v>R01131</x:v>
      </x:c>
      <x:c r="B1132" s="4" t="n">
        <x:v>46218.394849537035</x:v>
      </x:c>
      <x:c r="C1132" s="1" t="str">
        <x:v>주간</x:v>
      </x:c>
      <x:c r="D1132" s="1" t="str">
        <x:v>L1</x:v>
      </x:c>
      <x:c r="E1132" s="1" t="str">
        <x:v>P1</x:v>
      </x:c>
      <x:c r="F1132" s="1" t="str">
        <x:v>M01</x:v>
      </x:c>
      <x:c r="G1132" s="1" t="str">
        <x:v>G03</x:v>
      </x:c>
      <x:c r="H1132" s="5" t="n">
        <x:v>32.47</x:v>
      </x:c>
      <x:c r="I1132" s="5" t="n">
        <x:v>5.64</x:v>
      </x:c>
      <x:c r="J1132" s="5" t="n">
        <x:v>53.2</x:v>
      </x:c>
      <x:c r="K1132" s="5" t="n">
        <x:v>37.4</x:v>
      </x:c>
      <x:c r="L1132" s="5" t="n">
        <x:v>2.29</x:v>
      </x:c>
      <x:c r="M1132" s="1" t="n">
        <x:v>0</x:v>
      </x:c>
      <x:c r="N1132" s="6" t="n">
        <x:v>0.981</x:v>
      </x:c>
      <x:c r="O1132" s="1" t="str">
        <x:v>합격</x:v>
      </x:c>
      <x:c r="P1132" s="1"/>
      <x:c r="Q1132" s="1" t="n">
        <x:v>44</x:v>
      </x:c>
      <x:c r="R1132" s="1" t="str">
        <x:v>N</x:v>
      </x:c>
      <x:c r="S1132" s="1" t="n">
        <x:v>0</x:v>
      </x:c>
      <x:c r="T1132" s="1" t="str">
        <x:v>합격</x:v>
      </x:c>
    </x:row>
    <x:row r="1133" ht="22" customHeight="1">
      <x:c r="A1133" s="1" t="str">
        <x:v>R01132</x:v>
      </x:c>
      <x:c r="B1133" s="4" t="n">
        <x:v>46219.14413194444</x:v>
      </x:c>
      <x:c r="C1133" s="1" t="str">
        <x:v>야간</x:v>
      </x:c>
      <x:c r="D1133" s="1" t="str">
        <x:v>L1</x:v>
      </x:c>
      <x:c r="E1133" s="1" t="str">
        <x:v>P1</x:v>
      </x:c>
      <x:c r="F1133" s="1" t="str">
        <x:v>M03</x:v>
      </x:c>
      <x:c r="G1133" s="1" t="str">
        <x:v>G04</x:v>
      </x:c>
      <x:c r="H1133" s="5" t="n">
        <x:v>27.24</x:v>
      </x:c>
      <x:c r="I1133" s="5" t="n">
        <x:v>5.83</x:v>
      </x:c>
      <x:c r="J1133" s="5" t="n">
        <x:v>47.9</x:v>
      </x:c>
      <x:c r="K1133" s="5" t="n">
        <x:v>40.6</x:v>
      </x:c>
      <x:c r="L1133" s="5" t="n">
        <x:v>1.3</x:v>
      </x:c>
      <x:c r="M1133" s="1" t="n">
        <x:v>1</x:v>
      </x:c>
      <x:c r="N1133" s="6" t="n">
        <x:v>0.862</x:v>
      </x:c>
      <x:c r="O1133" s="1" t="str">
        <x:v>불합격</x:v>
      </x:c>
      <x:c r="P1133" s="1" t="str">
        <x:v>외관불량</x:v>
      </x:c>
      <x:c r="Q1133" s="1" t="n">
        <x:v>45</x:v>
      </x:c>
      <x:c r="R1133" s="1" t="str">
        <x:v>Y</x:v>
      </x:c>
      <x:c r="S1133" s="1" t="n">
        <x:v>7</x:v>
      </x:c>
      <x:c r="T1133" s="1" t="str">
        <x:v>재작업후합격</x:v>
      </x:c>
    </x:row>
    <x:row r="1134" ht="22" customHeight="1">
      <x:c r="A1134" s="1" t="str">
        <x:v>R01133</x:v>
      </x:c>
      <x:c r="B1134" s="4" t="n">
        <x:v>46220.606087962966</x:v>
      </x:c>
      <x:c r="C1134" s="1" t="str">
        <x:v>주간</x:v>
      </x:c>
      <x:c r="D1134" s="1" t="str">
        <x:v>L2</x:v>
      </x:c>
      <x:c r="E1134" s="1" t="str">
        <x:v>P2</x:v>
      </x:c>
      <x:c r="F1134" s="1" t="str">
        <x:v>M02</x:v>
      </x:c>
      <x:c r="G1134" s="1" t="str">
        <x:v>G05</x:v>
      </x:c>
      <x:c r="H1134" s="5" t="n">
        <x:v>29.6</x:v>
      </x:c>
      <x:c r="I1134" s="5" t="n">
        <x:v>5.77</x:v>
      </x:c>
      <x:c r="J1134" s="5" t="n">
        <x:v>51.7</x:v>
      </x:c>
      <x:c r="K1134" s="5" t="n">
        <x:v>36.8</x:v>
      </x:c>
      <x:c r="L1134" s="5" t="n">
        <x:v>2.41</x:v>
      </x:c>
      <x:c r="M1134" s="1" t="n">
        <x:v>1</x:v>
      </x:c>
      <x:c r="N1134" s="6" t="n">
        <x:v>0.905</x:v>
      </x:c>
      <x:c r="O1134" s="1" t="str">
        <x:v>합격</x:v>
      </x:c>
      <x:c r="P1134" s="1"/>
      <x:c r="Q1134" s="1" t="n">
        <x:v>40</x:v>
      </x:c>
      <x:c r="R1134" s="1" t="str">
        <x:v>N</x:v>
      </x:c>
      <x:c r="S1134" s="1" t="n">
        <x:v>0</x:v>
      </x:c>
      <x:c r="T1134" s="1" t="str">
        <x:v>합격</x:v>
      </x:c>
    </x:row>
    <x:row r="1135" ht="22" customHeight="1">
      <x:c r="A1135" s="1" t="str">
        <x:v>R01134</x:v>
      </x:c>
      <x:c r="B1135" s="4" t="n">
        <x:v>46221.91069444444</x:v>
      </x:c>
      <x:c r="C1135" s="1" t="str">
        <x:v>야간</x:v>
      </x:c>
      <x:c r="D1135" s="1" t="str">
        <x:v>L2</x:v>
      </x:c>
      <x:c r="E1135" s="1" t="str">
        <x:v>P2</x:v>
      </x:c>
      <x:c r="F1135" s="1" t="str">
        <x:v>M01</x:v>
      </x:c>
      <x:c r="G1135" s="1" t="str">
        <x:v>G06</x:v>
      </x:c>
      <x:c r="H1135" s="5" t="n">
        <x:v>27.94</x:v>
      </x:c>
      <x:c r="I1135" s="5" t="n">
        <x:v>5.93</x:v>
      </x:c>
      <x:c r="J1135" s="5" t="n">
        <x:v>53.7</x:v>
      </x:c>
      <x:c r="K1135" s="5" t="n">
        <x:v>37.3</x:v>
      </x:c>
      <x:c r="L1135" s="5" t="n">
        <x:v>1.47</x:v>
      </x:c>
      <x:c r="M1135" s="1" t="n">
        <x:v>0</x:v>
      </x:c>
      <x:c r="N1135" s="6" t="n">
        <x:v>0.974</x:v>
      </x:c>
      <x:c r="O1135" s="1" t="str">
        <x:v>합격</x:v>
      </x:c>
      <x:c r="P1135" s="1"/>
      <x:c r="Q1135" s="1" t="n">
        <x:v>44</x:v>
      </x:c>
      <x:c r="R1135" s="1" t="str">
        <x:v>N</x:v>
      </x:c>
      <x:c r="S1135" s="1" t="n">
        <x:v>0</x:v>
      </x:c>
      <x:c r="T1135" s="1" t="str">
        <x:v>합격</x:v>
      </x:c>
    </x:row>
    <x:row r="1136" ht="22" customHeight="1">
      <x:c r="A1136" s="1" t="str">
        <x:v>R01135</x:v>
      </x:c>
      <x:c r="B1136" s="4" t="n">
        <x:v>46222.009097222224</x:v>
      </x:c>
      <x:c r="C1136" s="1" t="str">
        <x:v>야간</x:v>
      </x:c>
      <x:c r="D1136" s="1" t="str">
        <x:v>L2</x:v>
      </x:c>
      <x:c r="E1136" s="1" t="str">
        <x:v>P2</x:v>
      </x:c>
      <x:c r="F1136" s="1" t="str">
        <x:v>M01</x:v>
      </x:c>
      <x:c r="G1136" s="1" t="str">
        <x:v>G01</x:v>
      </x:c>
      <x:c r="H1136" s="5" t="n">
        <x:v>31.13</x:v>
      </x:c>
      <x:c r="I1136" s="5" t="n">
        <x:v>5.86</x:v>
      </x:c>
      <x:c r="J1136" s="5" t="n">
        <x:v>52.8</x:v>
      </x:c>
      <x:c r="K1136" s="5" t="n">
        <x:v>35</x:v>
      </x:c>
      <x:c r="L1136" s="5" t="n">
        <x:v>2.19</x:v>
      </x:c>
      <x:c r="M1136" s="1" t="n">
        <x:v>0</x:v>
      </x:c>
      <x:c r="N1136" s="6" t="n">
        <x:v>1.028</x:v>
      </x:c>
      <x:c r="O1136" s="1" t="str">
        <x:v>합격</x:v>
      </x:c>
      <x:c r="P1136" s="1"/>
      <x:c r="Q1136" s="1" t="n">
        <x:v>40</x:v>
      </x:c>
      <x:c r="R1136" s="1" t="str">
        <x:v>N</x:v>
      </x:c>
      <x:c r="S1136" s="1" t="n">
        <x:v>0</x:v>
      </x:c>
      <x:c r="T1136" s="1" t="str">
        <x:v>합격</x:v>
      </x:c>
    </x:row>
    <x:row r="1137" ht="22" customHeight="1">
      <x:c r="A1137" s="1" t="str">
        <x:v>R01136</x:v>
      </x:c>
      <x:c r="B1137" s="4" t="n">
        <x:v>46223.07774305555</x:v>
      </x:c>
      <x:c r="C1137" s="1" t="str">
        <x:v>야간</x:v>
      </x:c>
      <x:c r="D1137" s="1" t="str">
        <x:v>L1</x:v>
      </x:c>
      <x:c r="E1137" s="1" t="str">
        <x:v>P1</x:v>
      </x:c>
      <x:c r="F1137" s="1" t="str">
        <x:v>M04</x:v>
      </x:c>
      <x:c r="G1137" s="1" t="str">
        <x:v>G02</x:v>
      </x:c>
      <x:c r="H1137" s="5" t="n">
        <x:v>30.75</x:v>
      </x:c>
      <x:c r="I1137" s="5" t="n">
        <x:v>5.87</x:v>
      </x:c>
      <x:c r="J1137" s="5" t="n">
        <x:v>58.9</x:v>
      </x:c>
      <x:c r="K1137" s="5" t="n">
        <x:v>41.2</x:v>
      </x:c>
      <x:c r="L1137" s="5" t="n">
        <x:v>1.47</x:v>
      </x:c>
      <x:c r="M1137" s="1" t="n">
        <x:v>1</x:v>
      </x:c>
      <x:c r="N1137" s="6" t="n">
        <x:v>1.029</x:v>
      </x:c>
      <x:c r="O1137" s="1" t="str">
        <x:v>합격</x:v>
      </x:c>
      <x:c r="P1137" s="1"/>
      <x:c r="Q1137" s="1" t="n">
        <x:v>37</x:v>
      </x:c>
      <x:c r="R1137" s="1" t="str">
        <x:v>N</x:v>
      </x:c>
      <x:c r="S1137" s="1" t="n">
        <x:v>0</x:v>
      </x:c>
      <x:c r="T1137" s="1" t="str">
        <x:v>합격</x:v>
      </x:c>
    </x:row>
    <x:row r="1138" ht="22" customHeight="1">
      <x:c r="A1138" s="1" t="str">
        <x:v>R01137</x:v>
      </x:c>
      <x:c r="B1138" s="4" t="n">
        <x:v>46224.3853125</x:v>
      </x:c>
      <x:c r="C1138" s="1" t="str">
        <x:v>주간</x:v>
      </x:c>
      <x:c r="D1138" s="1" t="str">
        <x:v>L2</x:v>
      </x:c>
      <x:c r="E1138" s="1" t="str">
        <x:v>P2</x:v>
      </x:c>
      <x:c r="F1138" s="1" t="str">
        <x:v>M02</x:v>
      </x:c>
      <x:c r="G1138" s="1" t="str">
        <x:v>G03</x:v>
      </x:c>
      <x:c r="H1138" s="5" t="n">
        <x:v>30.57</x:v>
      </x:c>
      <x:c r="I1138" s="5" t="n">
        <x:v>5.65</x:v>
      </x:c>
      <x:c r="J1138" s="5" t="n">
        <x:v>52.8</x:v>
      </x:c>
      <x:c r="K1138" s="5" t="n">
        <x:v>41.4</x:v>
      </x:c>
      <x:c r="L1138" s="5" t="n">
        <x:v>1.3</x:v>
      </x:c>
      <x:c r="M1138" s="1" t="n">
        <x:v>0</x:v>
      </x:c>
      <x:c r="N1138" s="6" t="n">
        <x:v>0.975</x:v>
      </x:c>
      <x:c r="O1138" s="1" t="str">
        <x:v>합격</x:v>
      </x:c>
      <x:c r="P1138" s="1"/>
      <x:c r="Q1138" s="1" t="n">
        <x:v>46</x:v>
      </x:c>
      <x:c r="R1138" s="1" t="str">
        <x:v>N</x:v>
      </x:c>
      <x:c r="S1138" s="1" t="n">
        <x:v>0</x:v>
      </x:c>
      <x:c r="T1138" s="1" t="str">
        <x:v>합격</x:v>
      </x:c>
    </x:row>
    <x:row r="1139" ht="22" customHeight="1">
      <x:c r="A1139" s="1" t="str">
        <x:v>R01138</x:v>
      </x:c>
      <x:c r="B1139" s="4" t="n">
        <x:v>46225.95275462963</x:v>
      </x:c>
      <x:c r="C1139" s="1" t="str">
        <x:v>야간</x:v>
      </x:c>
      <x:c r="D1139" s="1" t="str">
        <x:v>L1</x:v>
      </x:c>
      <x:c r="E1139" s="1" t="str">
        <x:v>P1</x:v>
      </x:c>
      <x:c r="F1139" s="1" t="str">
        <x:v>M04</x:v>
      </x:c>
      <x:c r="G1139" s="1" t="str">
        <x:v>G04</x:v>
      </x:c>
      <x:c r="H1139" s="5" t="n">
        <x:v>30.76</x:v>
      </x:c>
      <x:c r="I1139" s="5" t="n">
        <x:v>5.72</x:v>
      </x:c>
      <x:c r="J1139" s="5" t="n">
        <x:v>52.8</x:v>
      </x:c>
      <x:c r="K1139" s="5" t="n">
        <x:v>35.4</x:v>
      </x:c>
      <x:c r="L1139" s="5" t="n">
        <x:v>1.49</x:v>
      </x:c>
      <x:c r="M1139" s="1" t="n">
        <x:v>0</x:v>
      </x:c>
      <x:c r="N1139" s="6" t="n">
        <x:v>0.909</x:v>
      </x:c>
      <x:c r="O1139" s="1" t="str">
        <x:v>합격</x:v>
      </x:c>
      <x:c r="P1139" s="1"/>
      <x:c r="Q1139" s="1" t="n">
        <x:v>36</x:v>
      </x:c>
      <x:c r="R1139" s="1" t="str">
        <x:v>N</x:v>
      </x:c>
      <x:c r="S1139" s="1" t="n">
        <x:v>0</x:v>
      </x:c>
      <x:c r="T1139" s="1" t="str">
        <x:v>합격</x:v>
      </x:c>
    </x:row>
    <x:row r="1140" ht="22" customHeight="1">
      <x:c r="A1140" s="1" t="str">
        <x:v>R01139</x:v>
      </x:c>
      <x:c r="B1140" s="4" t="n">
        <x:v>46226.086064814815</x:v>
      </x:c>
      <x:c r="C1140" s="1" t="str">
        <x:v>야간</x:v>
      </x:c>
      <x:c r="D1140" s="1" t="str">
        <x:v>L1</x:v>
      </x:c>
      <x:c r="E1140" s="1" t="str">
        <x:v>P1</x:v>
      </x:c>
      <x:c r="F1140" s="1" t="str">
        <x:v>M04</x:v>
      </x:c>
      <x:c r="G1140" s="1" t="str">
        <x:v>G05</x:v>
      </x:c>
      <x:c r="H1140" s="5" t="n">
        <x:v>29.49</x:v>
      </x:c>
      <x:c r="I1140" s="5" t="n">
        <x:v>5.98</x:v>
      </x:c>
      <x:c r="J1140" s="5" t="n">
        <x:v>53</x:v>
      </x:c>
      <x:c r="K1140" s="5" t="n">
        <x:v>38.3</x:v>
      </x:c>
      <x:c r="L1140" s="5" t="n">
        <x:v>2.28</x:v>
      </x:c>
      <x:c r="M1140" s="1" t="n">
        <x:v>1</x:v>
      </x:c>
      <x:c r="N1140" s="6" t="n">
        <x:v>0.881</x:v>
      </x:c>
      <x:c r="O1140" s="1" t="str">
        <x:v>합격</x:v>
      </x:c>
      <x:c r="P1140" s="1"/>
      <x:c r="Q1140" s="1" t="n">
        <x:v>35</x:v>
      </x:c>
      <x:c r="R1140" s="1" t="str">
        <x:v>N</x:v>
      </x:c>
      <x:c r="S1140" s="1" t="n">
        <x:v>0</x:v>
      </x:c>
      <x:c r="T1140" s="1" t="str">
        <x:v>합격</x:v>
      </x:c>
    </x:row>
    <x:row r="1141" ht="22" customHeight="1">
      <x:c r="A1141" s="1" t="str">
        <x:v>R01140</x:v>
      </x:c>
      <x:c r="B1141" s="4" t="n">
        <x:v>46227.97858796296</x:v>
      </x:c>
      <x:c r="C1141" s="1" t="str">
        <x:v>야간</x:v>
      </x:c>
      <x:c r="D1141" s="1" t="str">
        <x:v>L2</x:v>
      </x:c>
      <x:c r="E1141" s="1" t="str">
        <x:v>P2</x:v>
      </x:c>
      <x:c r="F1141" s="1" t="str">
        <x:v>M02</x:v>
      </x:c>
      <x:c r="G1141" s="1" t="str">
        <x:v>G06</x:v>
      </x:c>
      <x:c r="H1141" s="5" t="n">
        <x:v>31.06</x:v>
      </x:c>
      <x:c r="I1141" s="5" t="n">
        <x:v>5.96</x:v>
      </x:c>
      <x:c r="J1141" s="5" t="n">
        <x:v>50.2</x:v>
      </x:c>
      <x:c r="K1141" s="5" t="n">
        <x:v>37</x:v>
      </x:c>
      <x:c r="L1141" s="5" t="n">
        <x:v>1.86</x:v>
      </x:c>
      <x:c r="M1141" s="1" t="n">
        <x:v>0</x:v>
      </x:c>
      <x:c r="N1141" s="6" t="n">
        <x:v>0.939</x:v>
      </x:c>
      <x:c r="O1141" s="1" t="str">
        <x:v>합격</x:v>
      </x:c>
      <x:c r="P1141" s="1"/>
      <x:c r="Q1141" s="1" t="n">
        <x:v>41</x:v>
      </x:c>
      <x:c r="R1141" s="1" t="str">
        <x:v>N</x:v>
      </x:c>
      <x:c r="S1141" s="1" t="n">
        <x:v>0</x:v>
      </x:c>
      <x:c r="T1141" s="1" t="str">
        <x:v>합격</x:v>
      </x:c>
    </x:row>
    <x:row r="1142" ht="22" customHeight="1">
      <x:c r="A1142" s="1" t="str">
        <x:v>R01141</x:v>
      </x:c>
      <x:c r="B1142" s="4" t="n">
        <x:v>46228.416493055556</x:v>
      </x:c>
      <x:c r="C1142" s="1" t="str">
        <x:v>주간</x:v>
      </x:c>
      <x:c r="D1142" s="1" t="str">
        <x:v>L1</x:v>
      </x:c>
      <x:c r="E1142" s="1" t="str">
        <x:v>P1</x:v>
      </x:c>
      <x:c r="F1142" s="1" t="str">
        <x:v>M01</x:v>
      </x:c>
      <x:c r="G1142" s="1" t="str">
        <x:v>G01</x:v>
      </x:c>
      <x:c r="H1142" s="5" t="n">
        <x:v>28.11</x:v>
      </x:c>
      <x:c r="I1142" s="5" t="n">
        <x:v>5.73</x:v>
      </x:c>
      <x:c r="J1142" s="5" t="n">
        <x:v>52</x:v>
      </x:c>
      <x:c r="K1142" s="5" t="n">
        <x:v>37.9</x:v>
      </x:c>
      <x:c r="L1142" s="5" t="n">
        <x:v>1.38</x:v>
      </x:c>
      <x:c r="M1142" s="1" t="n">
        <x:v>1</x:v>
      </x:c>
      <x:c r="N1142" s="6" t="n">
        <x:v>1.038</x:v>
      </x:c>
      <x:c r="O1142" s="1" t="str">
        <x:v>합격</x:v>
      </x:c>
      <x:c r="P1142" s="1"/>
      <x:c r="Q1142" s="1" t="n">
        <x:v>44</x:v>
      </x:c>
      <x:c r="R1142" s="1" t="str">
        <x:v>N</x:v>
      </x:c>
      <x:c r="S1142" s="1" t="n">
        <x:v>0</x:v>
      </x:c>
      <x:c r="T1142" s="1" t="str">
        <x:v>합격</x:v>
      </x:c>
    </x:row>
    <x:row r="1143" ht="22" customHeight="1">
      <x:c r="A1143" s="1" t="str">
        <x:v>R01142</x:v>
      </x:c>
      <x:c r="B1143" s="4" t="n">
        <x:v>46229.40282407407</x:v>
      </x:c>
      <x:c r="C1143" s="1" t="str">
        <x:v>주간</x:v>
      </x:c>
      <x:c r="D1143" s="1" t="str">
        <x:v>L1</x:v>
      </x:c>
      <x:c r="E1143" s="1" t="str">
        <x:v>P1</x:v>
      </x:c>
      <x:c r="F1143" s="1" t="str">
        <x:v>M03</x:v>
      </x:c>
      <x:c r="G1143" s="1" t="str">
        <x:v>G02</x:v>
      </x:c>
      <x:c r="H1143" s="5" t="n">
        <x:v>30.19</x:v>
      </x:c>
      <x:c r="I1143" s="5" t="n">
        <x:v>5.95</x:v>
      </x:c>
      <x:c r="J1143" s="5" t="n">
        <x:v>48.8</x:v>
      </x:c>
      <x:c r="K1143" s="5" t="n">
        <x:v>40.6</x:v>
      </x:c>
      <x:c r="L1143" s="5" t="n">
        <x:v>2.32</x:v>
      </x:c>
      <x:c r="M1143" s="1" t="n">
        <x:v>0</x:v>
      </x:c>
      <x:c r="N1143" s="6" t="n">
        <x:v>0.981</x:v>
      </x:c>
      <x:c r="O1143" s="1" t="str">
        <x:v>합격</x:v>
      </x:c>
      <x:c r="P1143" s="1"/>
      <x:c r="Q1143" s="1" t="n">
        <x:v>47</x:v>
      </x:c>
      <x:c r="R1143" s="1" t="str">
        <x:v>N</x:v>
      </x:c>
      <x:c r="S1143" s="1" t="n">
        <x:v>0</x:v>
      </x:c>
      <x:c r="T1143" s="1" t="str">
        <x:v>합격</x:v>
      </x:c>
    </x:row>
    <x:row r="1144" ht="22" customHeight="1">
      <x:c r="A1144" s="1" t="str">
        <x:v>R01143</x:v>
      </x:c>
      <x:c r="B1144" s="4" t="n">
        <x:v>46230.429398148146</x:v>
      </x:c>
      <x:c r="C1144" s="1" t="str">
        <x:v>주간</x:v>
      </x:c>
      <x:c r="D1144" s="1" t="str">
        <x:v>L1</x:v>
      </x:c>
      <x:c r="E1144" s="1" t="str">
        <x:v>P1</x:v>
      </x:c>
      <x:c r="F1144" s="1" t="str">
        <x:v>M03</x:v>
      </x:c>
      <x:c r="G1144" s="1" t="str">
        <x:v>G03</x:v>
      </x:c>
      <x:c r="H1144" s="5" t="n">
        <x:v>28.07</x:v>
      </x:c>
      <x:c r="I1144" s="5" t="n">
        <x:v>5.98</x:v>
      </x:c>
      <x:c r="J1144" s="5" t="n">
        <x:v>47.8</x:v>
      </x:c>
      <x:c r="K1144" s="5" t="n">
        <x:v>36</x:v>
      </x:c>
      <x:c r="L1144" s="5" t="n">
        <x:v>2.14</x:v>
      </x:c>
      <x:c r="M1144" s="1" t="n">
        <x:v>1</x:v>
      </x:c>
      <x:c r="N1144" s="6" t="n">
        <x:v>0.858</x:v>
      </x:c>
      <x:c r="O1144" s="1" t="str">
        <x:v>합격</x:v>
      </x:c>
      <x:c r="P1144" s="1"/>
      <x:c r="Q1144" s="1" t="n">
        <x:v>39</x:v>
      </x:c>
      <x:c r="R1144" s="1" t="str">
        <x:v>N</x:v>
      </x:c>
      <x:c r="S1144" s="1" t="n">
        <x:v>0</x:v>
      </x:c>
      <x:c r="T1144" s="1" t="str">
        <x:v>합격</x:v>
      </x:c>
    </x:row>
    <x:row r="1145" ht="22" customHeight="1">
      <x:c r="A1145" s="1" t="str">
        <x:v>R01144</x:v>
      </x:c>
      <x:c r="B1145" s="4" t="n">
        <x:v>46231.1521875</x:v>
      </x:c>
      <x:c r="C1145" s="1" t="str">
        <x:v>야간</x:v>
      </x:c>
      <x:c r="D1145" s="1" t="str">
        <x:v>L2</x:v>
      </x:c>
      <x:c r="E1145" s="1" t="str">
        <x:v>P2</x:v>
      </x:c>
      <x:c r="F1145" s="1" t="str">
        <x:v>M01</x:v>
      </x:c>
      <x:c r="G1145" s="1" t="str">
        <x:v>G04</x:v>
      </x:c>
      <x:c r="H1145" s="5" t="n">
        <x:v>28.9</x:v>
      </x:c>
      <x:c r="I1145" s="5" t="n">
        <x:v>5.69</x:v>
      </x:c>
      <x:c r="J1145" s="5" t="n">
        <x:v>50.7</x:v>
      </x:c>
      <x:c r="K1145" s="5" t="n">
        <x:v>41.3</x:v>
      </x:c>
      <x:c r="L1145" s="5" t="n">
        <x:v>2.42</x:v>
      </x:c>
      <x:c r="M1145" s="1" t="n">
        <x:v>0</x:v>
      </x:c>
      <x:c r="N1145" s="6" t="n">
        <x:v>0.872</x:v>
      </x:c>
      <x:c r="O1145" s="1" t="str">
        <x:v>불합격</x:v>
      </x:c>
      <x:c r="P1145" s="1" t="str">
        <x:v>치수불량</x:v>
      </x:c>
      <x:c r="Q1145" s="1" t="n">
        <x:v>48</x:v>
      </x:c>
      <x:c r="R1145" s="1" t="str">
        <x:v>Y</x:v>
      </x:c>
      <x:c r="S1145" s="1" t="n">
        <x:v>8</x:v>
      </x:c>
      <x:c r="T1145" s="1" t="str">
        <x:v>재작업후합격</x:v>
      </x:c>
    </x:row>
    <x:row r="1146" ht="22" customHeight="1">
      <x:c r="A1146" s="1" t="str">
        <x:v>R01145</x:v>
      </x:c>
      <x:c r="B1146" s="4" t="n">
        <x:v>46232.53659722222</x:v>
      </x:c>
      <x:c r="C1146" s="1" t="str">
        <x:v>주간</x:v>
      </x:c>
      <x:c r="D1146" s="1" t="str">
        <x:v>L2</x:v>
      </x:c>
      <x:c r="E1146" s="1" t="str">
        <x:v>P2</x:v>
      </x:c>
      <x:c r="F1146" s="1" t="str">
        <x:v>M02</x:v>
      </x:c>
      <x:c r="G1146" s="1" t="str">
        <x:v>G05</x:v>
      </x:c>
      <x:c r="H1146" s="5" t="n">
        <x:v>30.56</x:v>
      </x:c>
      <x:c r="I1146" s="5" t="n">
        <x:v>5.96</x:v>
      </x:c>
      <x:c r="J1146" s="5" t="n">
        <x:v>57.3</x:v>
      </x:c>
      <x:c r="K1146" s="5" t="n">
        <x:v>39.1</x:v>
      </x:c>
      <x:c r="L1146" s="5" t="n">
        <x:v>1.77</x:v>
      </x:c>
      <x:c r="M1146" s="1" t="n">
        <x:v>0</x:v>
      </x:c>
      <x:c r="N1146" s="6" t="n">
        <x:v>1.044</x:v>
      </x:c>
      <x:c r="O1146" s="1" t="str">
        <x:v>합격</x:v>
      </x:c>
      <x:c r="P1146" s="1"/>
      <x:c r="Q1146" s="1" t="n">
        <x:v>45</x:v>
      </x:c>
      <x:c r="R1146" s="1" t="str">
        <x:v>N</x:v>
      </x:c>
      <x:c r="S1146" s="1" t="n">
        <x:v>0</x:v>
      </x:c>
      <x:c r="T1146" s="1" t="str">
        <x:v>합격</x:v>
      </x:c>
    </x:row>
    <x:row r="1147" ht="22" customHeight="1">
      <x:c r="A1147" s="1" t="str">
        <x:v>R01146</x:v>
      </x:c>
      <x:c r="B1147" s="4" t="n">
        <x:v>46233.581979166665</x:v>
      </x:c>
      <x:c r="C1147" s="1" t="str">
        <x:v>주간</x:v>
      </x:c>
      <x:c r="D1147" s="1" t="str">
        <x:v>L2</x:v>
      </x:c>
      <x:c r="E1147" s="1" t="str">
        <x:v>P2</x:v>
      </x:c>
      <x:c r="F1147" s="1" t="str">
        <x:v>M04</x:v>
      </x:c>
      <x:c r="G1147" s="1" t="str">
        <x:v>G06</x:v>
      </x:c>
      <x:c r="H1147" s="5" t="n">
        <x:v>28.26</x:v>
      </x:c>
      <x:c r="I1147" s="5" t="n">
        <x:v>5.88</x:v>
      </x:c>
      <x:c r="J1147" s="5" t="n">
        <x:v>54.7</x:v>
      </x:c>
      <x:c r="K1147" s="5" t="n">
        <x:v>37.4</x:v>
      </x:c>
      <x:c r="L1147" s="5" t="n">
        <x:v>2.22</x:v>
      </x:c>
      <x:c r="M1147" s="1" t="n">
        <x:v>0</x:v>
      </x:c>
      <x:c r="N1147" s="6" t="n">
        <x:v>0.956</x:v>
      </x:c>
      <x:c r="O1147" s="1" t="str">
        <x:v>합격</x:v>
      </x:c>
      <x:c r="P1147" s="1"/>
      <x:c r="Q1147" s="1" t="n">
        <x:v>42</x:v>
      </x:c>
      <x:c r="R1147" s="1" t="str">
        <x:v>N</x:v>
      </x:c>
      <x:c r="S1147" s="1" t="n">
        <x:v>0</x:v>
      </x:c>
      <x:c r="T1147" s="1" t="str">
        <x:v>합격</x:v>
      </x:c>
    </x:row>
    <x:row r="1148" ht="22" customHeight="1">
      <x:c r="A1148" s="1" t="str">
        <x:v>R01147</x:v>
      </x:c>
      <x:c r="B1148" s="4" t="n">
        <x:v>46234.401875</x:v>
      </x:c>
      <x:c r="C1148" s="1" t="str">
        <x:v>주간</x:v>
      </x:c>
      <x:c r="D1148" s="1" t="str">
        <x:v>L1</x:v>
      </x:c>
      <x:c r="E1148" s="1" t="str">
        <x:v>P1</x:v>
      </x:c>
      <x:c r="F1148" s="1" t="str">
        <x:v>M01</x:v>
      </x:c>
      <x:c r="G1148" s="1" t="str">
        <x:v>G01</x:v>
      </x:c>
      <x:c r="H1148" s="5" t="n">
        <x:v>30.15</x:v>
      </x:c>
      <x:c r="I1148" s="5" t="n">
        <x:v>5.69</x:v>
      </x:c>
      <x:c r="J1148" s="5" t="n">
        <x:v>53.6</x:v>
      </x:c>
      <x:c r="K1148" s="5" t="n">
        <x:v>40.2</x:v>
      </x:c>
      <x:c r="L1148" s="5" t="n">
        <x:v>2.43</x:v>
      </x:c>
      <x:c r="M1148" s="1" t="n">
        <x:v>1</x:v>
      </x:c>
      <x:c r="N1148" s="6" t="n">
        <x:v>0.957</x:v>
      </x:c>
      <x:c r="O1148" s="1" t="str">
        <x:v>합격</x:v>
      </x:c>
      <x:c r="P1148" s="1"/>
      <x:c r="Q1148" s="1" t="n">
        <x:v>36</x:v>
      </x:c>
      <x:c r="R1148" s="1" t="str">
        <x:v>N</x:v>
      </x:c>
      <x:c r="S1148" s="1" t="n">
        <x:v>0</x:v>
      </x:c>
      <x:c r="T1148" s="1" t="str">
        <x:v>합격</x:v>
      </x:c>
    </x:row>
    <x:row r="1149" ht="22" customHeight="1">
      <x:c r="A1149" s="1" t="str">
        <x:v>R01148</x:v>
      </x:c>
      <x:c r="B1149" s="4" t="n">
        <x:v>46204.448333333334</x:v>
      </x:c>
      <x:c r="C1149" s="1" t="str">
        <x:v>주간</x:v>
      </x:c>
      <x:c r="D1149" s="1" t="str">
        <x:v>L1</x:v>
      </x:c>
      <x:c r="E1149" s="1" t="str">
        <x:v>P1</x:v>
      </x:c>
      <x:c r="F1149" s="1" t="str">
        <x:v>M01</x:v>
      </x:c>
      <x:c r="G1149" s="1" t="str">
        <x:v>G02</x:v>
      </x:c>
      <x:c r="H1149" s="5" t="n">
        <x:v>29.5</x:v>
      </x:c>
      <x:c r="I1149" s="5" t="n">
        <x:v>5.64</x:v>
      </x:c>
      <x:c r="J1149" s="5" t="n">
        <x:v>56.9</x:v>
      </x:c>
      <x:c r="K1149" s="5" t="n">
        <x:v>41.4</x:v>
      </x:c>
      <x:c r="L1149" s="5" t="n">
        <x:v>2.53</x:v>
      </x:c>
      <x:c r="M1149" s="1" t="n">
        <x:v>1</x:v>
      </x:c>
      <x:c r="N1149" s="6" t="n">
        <x:v>0.936</x:v>
      </x:c>
      <x:c r="O1149" s="1" t="str">
        <x:v>합격</x:v>
      </x:c>
      <x:c r="P1149" s="1"/>
      <x:c r="Q1149" s="1" t="n">
        <x:v>46</x:v>
      </x:c>
      <x:c r="R1149" s="1" t="str">
        <x:v>N</x:v>
      </x:c>
      <x:c r="S1149" s="1" t="n">
        <x:v>0</x:v>
      </x:c>
      <x:c r="T1149" s="1" t="str">
        <x:v>합격</x:v>
      </x:c>
    </x:row>
    <x:row r="1150" ht="22" customHeight="1">
      <x:c r="A1150" s="1" t="str">
        <x:v>R01149</x:v>
      </x:c>
      <x:c r="B1150" s="4" t="n">
        <x:v>46205.36040509259</x:v>
      </x:c>
      <x:c r="C1150" s="1" t="str">
        <x:v>주간</x:v>
      </x:c>
      <x:c r="D1150" s="1" t="str">
        <x:v>L2</x:v>
      </x:c>
      <x:c r="E1150" s="1" t="str">
        <x:v>P2</x:v>
      </x:c>
      <x:c r="F1150" s="1" t="str">
        <x:v>M02</x:v>
      </x:c>
      <x:c r="G1150" s="1" t="str">
        <x:v>G03</x:v>
      </x:c>
      <x:c r="H1150" s="5" t="n">
        <x:v>27.35</x:v>
      </x:c>
      <x:c r="I1150" s="5" t="n">
        <x:v>5.74</x:v>
      </x:c>
      <x:c r="J1150" s="5" t="n">
        <x:v>49.1</x:v>
      </x:c>
      <x:c r="K1150" s="5" t="n">
        <x:v>35.1</x:v>
      </x:c>
      <x:c r="L1150" s="5" t="n">
        <x:v>1.99</x:v>
      </x:c>
      <x:c r="M1150" s="1" t="n">
        <x:v>1</x:v>
      </x:c>
      <x:c r="N1150" s="6" t="n">
        <x:v>0.952</x:v>
      </x:c>
      <x:c r="O1150" s="1" t="str">
        <x:v>합격</x:v>
      </x:c>
      <x:c r="P1150" s="1"/>
      <x:c r="Q1150" s="1" t="n">
        <x:v>42</x:v>
      </x:c>
      <x:c r="R1150" s="1" t="str">
        <x:v>N</x:v>
      </x:c>
      <x:c r="S1150" s="1" t="n">
        <x:v>0</x:v>
      </x:c>
      <x:c r="T1150" s="1" t="str">
        <x:v>합격</x:v>
      </x:c>
    </x:row>
    <x:row r="1151" ht="22" customHeight="1">
      <x:c r="A1151" s="1" t="str">
        <x:v>R01150</x:v>
      </x:c>
      <x:c r="B1151" s="4" t="n">
        <x:v>46206.84476851852</x:v>
      </x:c>
      <x:c r="C1151" s="1" t="str">
        <x:v>야간</x:v>
      </x:c>
      <x:c r="D1151" s="1" t="str">
        <x:v>L2</x:v>
      </x:c>
      <x:c r="E1151" s="1" t="str">
        <x:v>P2</x:v>
      </x:c>
      <x:c r="F1151" s="1" t="str">
        <x:v>M01</x:v>
      </x:c>
      <x:c r="G1151" s="1" t="str">
        <x:v>G04</x:v>
      </x:c>
      <x:c r="H1151" s="5" t="n">
        <x:v>27.6</x:v>
      </x:c>
      <x:c r="I1151" s="5" t="n">
        <x:v>5.8</x:v>
      </x:c>
      <x:c r="J1151" s="5" t="n">
        <x:v>49.3</x:v>
      </x:c>
      <x:c r="K1151" s="5" t="n">
        <x:v>36.6</x:v>
      </x:c>
      <x:c r="L1151" s="5" t="n">
        <x:v>2.31</x:v>
      </x:c>
      <x:c r="M1151" s="1" t="n">
        <x:v>1</x:v>
      </x:c>
      <x:c r="N1151" s="6" t="n">
        <x:v>1.017</x:v>
      </x:c>
      <x:c r="O1151" s="1" t="str">
        <x:v>합격</x:v>
      </x:c>
      <x:c r="P1151" s="1"/>
      <x:c r="Q1151" s="1" t="n">
        <x:v>46</x:v>
      </x:c>
      <x:c r="R1151" s="1" t="str">
        <x:v>N</x:v>
      </x:c>
      <x:c r="S1151" s="1" t="n">
        <x:v>0</x:v>
      </x:c>
      <x:c r="T1151" s="1" t="str">
        <x:v>합격</x:v>
      </x:c>
    </x:row>
    <x:row r="1152" ht="22" customHeight="1">
      <x:c r="A1152" s="1" t="str">
        <x:v>R01151</x:v>
      </x:c>
      <x:c r="B1152" s="4" t="n">
        <x:v>46207.56236111111</x:v>
      </x:c>
      <x:c r="C1152" s="1" t="str">
        <x:v>주간</x:v>
      </x:c>
      <x:c r="D1152" s="1" t="str">
        <x:v>L2</x:v>
      </x:c>
      <x:c r="E1152" s="1" t="str">
        <x:v>P2</x:v>
      </x:c>
      <x:c r="F1152" s="1" t="str">
        <x:v>M02</x:v>
      </x:c>
      <x:c r="G1152" s="1" t="str">
        <x:v>G05</x:v>
      </x:c>
      <x:c r="H1152" s="5" t="n">
        <x:v>27.4</x:v>
      </x:c>
      <x:c r="I1152" s="5" t="n">
        <x:v>5.98</x:v>
      </x:c>
      <x:c r="J1152" s="5" t="n">
        <x:v>56.1</x:v>
      </x:c>
      <x:c r="K1152" s="5" t="n">
        <x:v>41.3</x:v>
      </x:c>
      <x:c r="L1152" s="5" t="n">
        <x:v>2.28</x:v>
      </x:c>
      <x:c r="M1152" s="1" t="n">
        <x:v>0</x:v>
      </x:c>
      <x:c r="N1152" s="6" t="n">
        <x:v>1.05</x:v>
      </x:c>
      <x:c r="O1152" s="1" t="str">
        <x:v>합격</x:v>
      </x:c>
      <x:c r="P1152" s="1"/>
      <x:c r="Q1152" s="1" t="n">
        <x:v>44</x:v>
      </x:c>
      <x:c r="R1152" s="1" t="str">
        <x:v>N</x:v>
      </x:c>
      <x:c r="S1152" s="1" t="n">
        <x:v>0</x:v>
      </x:c>
      <x:c r="T1152" s="1" t="str">
        <x:v>합격</x:v>
      </x:c>
    </x:row>
    <x:row r="1153" ht="22" customHeight="1">
      <x:c r="A1153" s="1" t="str">
        <x:v>R01152</x:v>
      </x:c>
      <x:c r="B1153" s="4" t="n">
        <x:v>46208.34133101852</x:v>
      </x:c>
      <x:c r="C1153" s="1" t="str">
        <x:v>주간</x:v>
      </x:c>
      <x:c r="D1153" s="1" t="str">
        <x:v>L1</x:v>
      </x:c>
      <x:c r="E1153" s="1" t="str">
        <x:v>P1</x:v>
      </x:c>
      <x:c r="F1153" s="1" t="str">
        <x:v>M01</x:v>
      </x:c>
      <x:c r="G1153" s="1" t="str">
        <x:v>G06</x:v>
      </x:c>
      <x:c r="H1153" s="5" t="n">
        <x:v>32.77</x:v>
      </x:c>
      <x:c r="I1153" s="5" t="n">
        <x:v>5.9</x:v>
      </x:c>
      <x:c r="J1153" s="5" t="n">
        <x:v>52</x:v>
      </x:c>
      <x:c r="K1153" s="5" t="n">
        <x:v>35.7</x:v>
      </x:c>
      <x:c r="L1153" s="5" t="n">
        <x:v>1.86</x:v>
      </x:c>
      <x:c r="M1153" s="1" t="n">
        <x:v>1</x:v>
      </x:c>
      <x:c r="N1153" s="6" t="n">
        <x:v>1.026</x:v>
      </x:c>
      <x:c r="O1153" s="1" t="str">
        <x:v>합격</x:v>
      </x:c>
      <x:c r="P1153" s="1"/>
      <x:c r="Q1153" s="1" t="n">
        <x:v>45</x:v>
      </x:c>
      <x:c r="R1153" s="1" t="str">
        <x:v>N</x:v>
      </x:c>
      <x:c r="S1153" s="1" t="n">
        <x:v>0</x:v>
      </x:c>
      <x:c r="T1153" s="1" t="str">
        <x:v>합격</x:v>
      </x:c>
    </x:row>
    <x:row r="1154" ht="22" customHeight="1">
      <x:c r="A1154" s="1" t="str">
        <x:v>R01153</x:v>
      </x:c>
      <x:c r="B1154" s="4" t="n">
        <x:v>46209.15959490741</x:v>
      </x:c>
      <x:c r="C1154" s="1" t="str">
        <x:v>야간</x:v>
      </x:c>
      <x:c r="D1154" s="1" t="str">
        <x:v>L1</x:v>
      </x:c>
      <x:c r="E1154" s="1" t="str">
        <x:v>P1</x:v>
      </x:c>
      <x:c r="F1154" s="1" t="str">
        <x:v>M03</x:v>
      </x:c>
      <x:c r="G1154" s="1" t="str">
        <x:v>G01</x:v>
      </x:c>
      <x:c r="H1154" s="5" t="n">
        <x:v>31.72</x:v>
      </x:c>
      <x:c r="I1154" s="5" t="n">
        <x:v>5.68</x:v>
      </x:c>
      <x:c r="J1154" s="5" t="n">
        <x:v>57.1</x:v>
      </x:c>
      <x:c r="K1154" s="5" t="n">
        <x:v>36.1</x:v>
      </x:c>
      <x:c r="L1154" s="5" t="n">
        <x:v>2.51</x:v>
      </x:c>
      <x:c r="M1154" s="1" t="n">
        <x:v>1</x:v>
      </x:c>
      <x:c r="N1154" s="6" t="n">
        <x:v>0.906</x:v>
      </x:c>
      <x:c r="O1154" s="1" t="str">
        <x:v>합격</x:v>
      </x:c>
      <x:c r="P1154" s="1"/>
      <x:c r="Q1154" s="1" t="n">
        <x:v>47</x:v>
      </x:c>
      <x:c r="R1154" s="1" t="str">
        <x:v>N</x:v>
      </x:c>
      <x:c r="S1154" s="1" t="n">
        <x:v>0</x:v>
      </x:c>
      <x:c r="T1154" s="1" t="str">
        <x:v>합격</x:v>
      </x:c>
    </x:row>
    <x:row r="1155" ht="22" customHeight="1">
      <x:c r="A1155" s="1" t="str">
        <x:v>R01154</x:v>
      </x:c>
      <x:c r="B1155" s="4" t="n">
        <x:v>46210.50508101852</x:v>
      </x:c>
      <x:c r="C1155" s="1" t="str">
        <x:v>주간</x:v>
      </x:c>
      <x:c r="D1155" s="1" t="str">
        <x:v>L1</x:v>
      </x:c>
      <x:c r="E1155" s="1" t="str">
        <x:v>P1</x:v>
      </x:c>
      <x:c r="F1155" s="1" t="str">
        <x:v>M01</x:v>
      </x:c>
      <x:c r="G1155" s="1" t="str">
        <x:v>G02</x:v>
      </x:c>
      <x:c r="H1155" s="5" t="n">
        <x:v>27.45</x:v>
      </x:c>
      <x:c r="I1155" s="5" t="n">
        <x:v>5.67</x:v>
      </x:c>
      <x:c r="J1155" s="5" t="n">
        <x:v>52.7</x:v>
      </x:c>
      <x:c r="K1155" s="5" t="n">
        <x:v>41.3</x:v>
      </x:c>
      <x:c r="L1155" s="5" t="n">
        <x:v>2.56</x:v>
      </x:c>
      <x:c r="M1155" s="1" t="n">
        <x:v>0</x:v>
      </x:c>
      <x:c r="N1155" s="6" t="n">
        <x:v>0.899</x:v>
      </x:c>
      <x:c r="O1155" s="1" t="str">
        <x:v>합격</x:v>
      </x:c>
      <x:c r="P1155" s="1"/>
      <x:c r="Q1155" s="1" t="n">
        <x:v>48</x:v>
      </x:c>
      <x:c r="R1155" s="1" t="str">
        <x:v>N</x:v>
      </x:c>
      <x:c r="S1155" s="1" t="n">
        <x:v>0</x:v>
      </x:c>
      <x:c r="T1155" s="1" t="str">
        <x:v>합격</x:v>
      </x:c>
    </x:row>
    <x:row r="1156" ht="22" customHeight="1">
      <x:c r="A1156" s="1" t="str">
        <x:v>R01155</x:v>
      </x:c>
      <x:c r="B1156" s="4" t="n">
        <x:v>46211.608194444445</x:v>
      </x:c>
      <x:c r="C1156" s="1" t="str">
        <x:v>주간</x:v>
      </x:c>
      <x:c r="D1156" s="1" t="str">
        <x:v>L2</x:v>
      </x:c>
      <x:c r="E1156" s="1" t="str">
        <x:v>P2</x:v>
      </x:c>
      <x:c r="F1156" s="1" t="str">
        <x:v>M02</x:v>
      </x:c>
      <x:c r="G1156" s="1" t="str">
        <x:v>G03</x:v>
      </x:c>
      <x:c r="H1156" s="5" t="n">
        <x:v>31.94</x:v>
      </x:c>
      <x:c r="I1156" s="5" t="n">
        <x:v>5.87</x:v>
      </x:c>
      <x:c r="J1156" s="5" t="n">
        <x:v>50.1</x:v>
      </x:c>
      <x:c r="K1156" s="5" t="n">
        <x:v>39</x:v>
      </x:c>
      <x:c r="L1156" s="5" t="n">
        <x:v>2.65</x:v>
      </x:c>
      <x:c r="M1156" s="1" t="n">
        <x:v>1</x:v>
      </x:c>
      <x:c r="N1156" s="6" t="n">
        <x:v>0.898</x:v>
      </x:c>
      <x:c r="O1156" s="1" t="str">
        <x:v>합격</x:v>
      </x:c>
      <x:c r="P1156" s="1"/>
      <x:c r="Q1156" s="1" t="n">
        <x:v>38</x:v>
      </x:c>
      <x:c r="R1156" s="1" t="str">
        <x:v>N</x:v>
      </x:c>
      <x:c r="S1156" s="1" t="n">
        <x:v>0</x:v>
      </x:c>
      <x:c r="T1156" s="1" t="str">
        <x:v>합격</x:v>
      </x:c>
    </x:row>
    <x:row r="1157" ht="22" customHeight="1">
      <x:c r="A1157" s="1" t="str">
        <x:v>R01156</x:v>
      </x:c>
      <x:c r="B1157" s="4" t="n">
        <x:v>46212.02371527778</x:v>
      </x:c>
      <x:c r="C1157" s="1" t="str">
        <x:v>야간</x:v>
      </x:c>
      <x:c r="D1157" s="1" t="str">
        <x:v>L1</x:v>
      </x:c>
      <x:c r="E1157" s="1" t="str">
        <x:v>P1</x:v>
      </x:c>
      <x:c r="F1157" s="1" t="str">
        <x:v>M03</x:v>
      </x:c>
      <x:c r="G1157" s="1" t="str">
        <x:v>G04</x:v>
      </x:c>
      <x:c r="H1157" s="5" t="n">
        <x:v>25.86</x:v>
      </x:c>
      <x:c r="I1157" s="5" t="n">
        <x:v>5.95</x:v>
      </x:c>
      <x:c r="J1157" s="5" t="n">
        <x:v>54.6</x:v>
      </x:c>
      <x:c r="K1157" s="5" t="n">
        <x:v>35.8</x:v>
      </x:c>
      <x:c r="L1157" s="5" t="n">
        <x:v>2.52</x:v>
      </x:c>
      <x:c r="M1157" s="1" t="n">
        <x:v>0</x:v>
      </x:c>
      <x:c r="N1157" s="6" t="n">
        <x:v>0.981</x:v>
      </x:c>
      <x:c r="O1157" s="1" t="str">
        <x:v>합격</x:v>
      </x:c>
      <x:c r="P1157" s="1"/>
      <x:c r="Q1157" s="1" t="n">
        <x:v>38</x:v>
      </x:c>
      <x:c r="R1157" s="1" t="str">
        <x:v>N</x:v>
      </x:c>
      <x:c r="S1157" s="1" t="n">
        <x:v>0</x:v>
      </x:c>
      <x:c r="T1157" s="1" t="str">
        <x:v>합격</x:v>
      </x:c>
    </x:row>
    <x:row r="1158" ht="22" customHeight="1">
      <x:c r="A1158" s="1" t="str">
        <x:v>R01157</x:v>
      </x:c>
      <x:c r="B1158" s="4" t="n">
        <x:v>46213.636979166666</x:v>
      </x:c>
      <x:c r="C1158" s="1" t="str">
        <x:v>주간</x:v>
      </x:c>
      <x:c r="D1158" s="1" t="str">
        <x:v>L1</x:v>
      </x:c>
      <x:c r="E1158" s="1" t="str">
        <x:v>P1</x:v>
      </x:c>
      <x:c r="F1158" s="1" t="str">
        <x:v>M01</x:v>
      </x:c>
      <x:c r="G1158" s="1" t="str">
        <x:v>G05</x:v>
      </x:c>
      <x:c r="H1158" s="5" t="n">
        <x:v>30.07</x:v>
      </x:c>
      <x:c r="I1158" s="5" t="n">
        <x:v>5.79</x:v>
      </x:c>
      <x:c r="J1158" s="5" t="n">
        <x:v>57.5</x:v>
      </x:c>
      <x:c r="K1158" s="5" t="n">
        <x:v>35.5</x:v>
      </x:c>
      <x:c r="L1158" s="5" t="n">
        <x:v>2.68</x:v>
      </x:c>
      <x:c r="M1158" s="1" t="n">
        <x:v>0</x:v>
      </x:c>
      <x:c r="N1158" s="6" t="n">
        <x:v>0.98</x:v>
      </x:c>
      <x:c r="O1158" s="1" t="str">
        <x:v>합격</x:v>
      </x:c>
      <x:c r="P1158" s="1"/>
      <x:c r="Q1158" s="1" t="n">
        <x:v>37</x:v>
      </x:c>
      <x:c r="R1158" s="1" t="str">
        <x:v>N</x:v>
      </x:c>
      <x:c r="S1158" s="1" t="n">
        <x:v>0</x:v>
      </x:c>
      <x:c r="T1158" s="1" t="str">
        <x:v>합격</x:v>
      </x:c>
    </x:row>
    <x:row r="1159" ht="22" customHeight="1">
      <x:c r="A1159" s="1" t="str">
        <x:v>R01158</x:v>
      </x:c>
      <x:c r="B1159" s="4" t="n">
        <x:v>46214.11861111111</x:v>
      </x:c>
      <x:c r="C1159" s="1" t="str">
        <x:v>야간</x:v>
      </x:c>
      <x:c r="D1159" s="1" t="str">
        <x:v>L2</x:v>
      </x:c>
      <x:c r="E1159" s="1" t="str">
        <x:v>P2</x:v>
      </x:c>
      <x:c r="F1159" s="1" t="str">
        <x:v>M01</x:v>
      </x:c>
      <x:c r="G1159" s="1" t="str">
        <x:v>G06</x:v>
      </x:c>
      <x:c r="H1159" s="5" t="n">
        <x:v>30.68</x:v>
      </x:c>
      <x:c r="I1159" s="5" t="n">
        <x:v>5.88</x:v>
      </x:c>
      <x:c r="J1159" s="5" t="n">
        <x:v>47.6</x:v>
      </x:c>
      <x:c r="K1159" s="5" t="n">
        <x:v>35.6</x:v>
      </x:c>
      <x:c r="L1159" s="5" t="n">
        <x:v>2.46</x:v>
      </x:c>
      <x:c r="M1159" s="1" t="n">
        <x:v>1</x:v>
      </x:c>
      <x:c r="N1159" s="6" t="n">
        <x:v>1.024</x:v>
      </x:c>
      <x:c r="O1159" s="1" t="str">
        <x:v>합격</x:v>
      </x:c>
      <x:c r="P1159" s="1"/>
      <x:c r="Q1159" s="1" t="n">
        <x:v>46</x:v>
      </x:c>
      <x:c r="R1159" s="1" t="str">
        <x:v>N</x:v>
      </x:c>
      <x:c r="S1159" s="1" t="n">
        <x:v>0</x:v>
      </x:c>
      <x:c r="T1159" s="1" t="str">
        <x:v>합격</x:v>
      </x:c>
    </x:row>
    <x:row r="1160" ht="22" customHeight="1">
      <x:c r="A1160" s="1" t="str">
        <x:v>R01159</x:v>
      </x:c>
      <x:c r="B1160" s="4" t="n">
        <x:v>46215.02253472222</x:v>
      </x:c>
      <x:c r="C1160" s="1" t="str">
        <x:v>야간</x:v>
      </x:c>
      <x:c r="D1160" s="1" t="str">
        <x:v>L2</x:v>
      </x:c>
      <x:c r="E1160" s="1" t="str">
        <x:v>P2</x:v>
      </x:c>
      <x:c r="F1160" s="1" t="str">
        <x:v>M04</x:v>
      </x:c>
      <x:c r="G1160" s="1" t="str">
        <x:v>G01</x:v>
      </x:c>
      <x:c r="H1160" s="5" t="n">
        <x:v>33.98</x:v>
      </x:c>
      <x:c r="I1160" s="5" t="n">
        <x:v>5.82</x:v>
      </x:c>
      <x:c r="J1160" s="5" t="n">
        <x:v>58.9</x:v>
      </x:c>
      <x:c r="K1160" s="5" t="n">
        <x:v>40.6</x:v>
      </x:c>
      <x:c r="L1160" s="5" t="n">
        <x:v>2.26</x:v>
      </x:c>
      <x:c r="M1160" s="1" t="n">
        <x:v>1</x:v>
      </x:c>
      <x:c r="N1160" s="6" t="n">
        <x:v>1.009</x:v>
      </x:c>
      <x:c r="O1160" s="1" t="str">
        <x:v>불합격</x:v>
      </x:c>
      <x:c r="P1160" s="1" t="str">
        <x:v>작동불량</x:v>
      </x:c>
      <x:c r="Q1160" s="1" t="n">
        <x:v>48</x:v>
      </x:c>
      <x:c r="R1160" s="1" t="str">
        <x:v>Y</x:v>
      </x:c>
      <x:c r="S1160" s="1" t="n">
        <x:v>8</x:v>
      </x:c>
      <x:c r="T1160" s="1" t="str">
        <x:v>재작업후합격</x:v>
      </x:c>
    </x:row>
    <x:row r="1161" ht="22" customHeight="1">
      <x:c r="A1161" s="1" t="str">
        <x:v>R01160</x:v>
      </x:c>
      <x:c r="B1161" s="4" t="n">
        <x:v>46216.45748842593</x:v>
      </x:c>
      <x:c r="C1161" s="1" t="str">
        <x:v>주간</x:v>
      </x:c>
      <x:c r="D1161" s="1" t="str">
        <x:v>L1</x:v>
      </x:c>
      <x:c r="E1161" s="1" t="str">
        <x:v>P1</x:v>
      </x:c>
      <x:c r="F1161" s="1" t="str">
        <x:v>M03</x:v>
      </x:c>
      <x:c r="G1161" s="1" t="str">
        <x:v>G02</x:v>
      </x:c>
      <x:c r="H1161" s="5" t="n">
        <x:v>28.3</x:v>
      </x:c>
      <x:c r="I1161" s="5" t="n">
        <x:v>5.7</x:v>
      </x:c>
      <x:c r="J1161" s="5" t="n">
        <x:v>52.4</x:v>
      </x:c>
      <x:c r="K1161" s="5" t="n">
        <x:v>39</x:v>
      </x:c>
      <x:c r="L1161" s="5" t="n">
        <x:v>2.55</x:v>
      </x:c>
      <x:c r="M1161" s="1" t="n">
        <x:v>1</x:v>
      </x:c>
      <x:c r="N1161" s="6" t="n">
        <x:v>0.958</x:v>
      </x:c>
      <x:c r="O1161" s="1" t="str">
        <x:v>합격</x:v>
      </x:c>
      <x:c r="P1161" s="1"/>
      <x:c r="Q1161" s="1" t="n">
        <x:v>39</x:v>
      </x:c>
      <x:c r="R1161" s="1" t="str">
        <x:v>N</x:v>
      </x:c>
      <x:c r="S1161" s="1" t="n">
        <x:v>0</x:v>
      </x:c>
      <x:c r="T1161" s="1" t="str">
        <x:v>합격</x:v>
      </x:c>
    </x:row>
    <x:row r="1162" ht="22" customHeight="1">
      <x:c r="A1162" s="1" t="str">
        <x:v>R01161</x:v>
      </x:c>
      <x:c r="B1162" s="4" t="n">
        <x:v>46217.92934027778</x:v>
      </x:c>
      <x:c r="C1162" s="1" t="str">
        <x:v>야간</x:v>
      </x:c>
      <x:c r="D1162" s="1" t="str">
        <x:v>L1</x:v>
      </x:c>
      <x:c r="E1162" s="1" t="str">
        <x:v>P1</x:v>
      </x:c>
      <x:c r="F1162" s="1" t="str">
        <x:v>M03</x:v>
      </x:c>
      <x:c r="G1162" s="1" t="str">
        <x:v>G03</x:v>
      </x:c>
      <x:c r="H1162" s="5" t="n">
        <x:v>27.86</x:v>
      </x:c>
      <x:c r="I1162" s="5" t="n">
        <x:v>5.7</x:v>
      </x:c>
      <x:c r="J1162" s="5" t="n">
        <x:v>52.3</x:v>
      </x:c>
      <x:c r="K1162" s="5" t="n">
        <x:v>36.6</x:v>
      </x:c>
      <x:c r="L1162" s="5" t="n">
        <x:v>1.85</x:v>
      </x:c>
      <x:c r="M1162" s="1" t="n">
        <x:v>1</x:v>
      </x:c>
      <x:c r="N1162" s="6" t="n">
        <x:v>0.982</x:v>
      </x:c>
      <x:c r="O1162" s="1" t="str">
        <x:v>합격</x:v>
      </x:c>
      <x:c r="P1162" s="1"/>
      <x:c r="Q1162" s="1" t="n">
        <x:v>40</x:v>
      </x:c>
      <x:c r="R1162" s="1" t="str">
        <x:v>N</x:v>
      </x:c>
      <x:c r="S1162" s="1" t="n">
        <x:v>0</x:v>
      </x:c>
      <x:c r="T1162" s="1" t="str">
        <x:v>합격</x:v>
      </x:c>
    </x:row>
    <x:row r="1163" ht="22" customHeight="1">
      <x:c r="A1163" s="1" t="str">
        <x:v>R01162</x:v>
      </x:c>
      <x:c r="B1163" s="4" t="n">
        <x:v>46218.54424768518</x:v>
      </x:c>
      <x:c r="C1163" s="1" t="str">
        <x:v>주간</x:v>
      </x:c>
      <x:c r="D1163" s="1" t="str">
        <x:v>L1</x:v>
      </x:c>
      <x:c r="E1163" s="1" t="str">
        <x:v>P1</x:v>
      </x:c>
      <x:c r="F1163" s="1" t="str">
        <x:v>M03</x:v>
      </x:c>
      <x:c r="G1163" s="1" t="str">
        <x:v>G04</x:v>
      </x:c>
      <x:c r="H1163" s="5" t="n">
        <x:v>29.93</x:v>
      </x:c>
      <x:c r="I1163" s="5" t="n">
        <x:v>5.92</x:v>
      </x:c>
      <x:c r="J1163" s="5" t="n">
        <x:v>48.9</x:v>
      </x:c>
      <x:c r="K1163" s="5" t="n">
        <x:v>36</x:v>
      </x:c>
      <x:c r="L1163" s="5" t="n">
        <x:v>2.11</x:v>
      </x:c>
      <x:c r="M1163" s="1" t="n">
        <x:v>0</x:v>
      </x:c>
      <x:c r="N1163" s="6" t="n">
        <x:v>0.934</x:v>
      </x:c>
      <x:c r="O1163" s="1" t="str">
        <x:v>합격</x:v>
      </x:c>
      <x:c r="P1163" s="1"/>
      <x:c r="Q1163" s="1" t="n">
        <x:v>40</x:v>
      </x:c>
      <x:c r="R1163" s="1" t="str">
        <x:v>N</x:v>
      </x:c>
      <x:c r="S1163" s="1" t="n">
        <x:v>0</x:v>
      </x:c>
      <x:c r="T1163" s="1" t="str">
        <x:v>합격</x:v>
      </x:c>
    </x:row>
    <x:row r="1164" ht="22" customHeight="1">
      <x:c r="A1164" s="1" t="str">
        <x:v>R01163</x:v>
      </x:c>
      <x:c r="B1164" s="4" t="n">
        <x:v>46219.51300925926</x:v>
      </x:c>
      <x:c r="C1164" s="1" t="str">
        <x:v>주간</x:v>
      </x:c>
      <x:c r="D1164" s="1" t="str">
        <x:v>L2</x:v>
      </x:c>
      <x:c r="E1164" s="1" t="str">
        <x:v>P2</x:v>
      </x:c>
      <x:c r="F1164" s="1" t="str">
        <x:v>M04</x:v>
      </x:c>
      <x:c r="G1164" s="1" t="str">
        <x:v>G05</x:v>
      </x:c>
      <x:c r="H1164" s="5" t="n">
        <x:v>30.31</x:v>
      </x:c>
      <x:c r="I1164" s="5" t="n">
        <x:v>5.66</x:v>
      </x:c>
      <x:c r="J1164" s="5" t="n">
        <x:v>56.6</x:v>
      </x:c>
      <x:c r="K1164" s="5" t="n">
        <x:v>38.9</x:v>
      </x:c>
      <x:c r="L1164" s="5" t="n">
        <x:v>1.47</x:v>
      </x:c>
      <x:c r="M1164" s="1" t="n">
        <x:v>0</x:v>
      </x:c>
      <x:c r="N1164" s="6" t="n">
        <x:v>1.014</x:v>
      </x:c>
      <x:c r="O1164" s="1" t="str">
        <x:v>합격</x:v>
      </x:c>
      <x:c r="P1164" s="1"/>
      <x:c r="Q1164" s="1" t="n">
        <x:v>36</x:v>
      </x:c>
      <x:c r="R1164" s="1" t="str">
        <x:v>N</x:v>
      </x:c>
      <x:c r="S1164" s="1" t="n">
        <x:v>0</x:v>
      </x:c>
      <x:c r="T1164" s="1" t="str">
        <x:v>합격</x:v>
      </x:c>
    </x:row>
    <x:row r="1165" ht="22" customHeight="1">
      <x:c r="A1165" s="1" t="str">
        <x:v>R01164</x:v>
      </x:c>
      <x:c r="B1165" s="4" t="n">
        <x:v>46220.8465162037</x:v>
      </x:c>
      <x:c r="C1165" s="1" t="str">
        <x:v>야간</x:v>
      </x:c>
      <x:c r="D1165" s="1" t="str">
        <x:v>L1</x:v>
      </x:c>
      <x:c r="E1165" s="1" t="str">
        <x:v>P1</x:v>
      </x:c>
      <x:c r="F1165" s="1" t="str">
        <x:v>M03</x:v>
      </x:c>
      <x:c r="G1165" s="1" t="str">
        <x:v>G06</x:v>
      </x:c>
      <x:c r="H1165" s="5" t="n">
        <x:v>30.19</x:v>
      </x:c>
      <x:c r="I1165" s="5" t="n">
        <x:v>5.67</x:v>
      </x:c>
      <x:c r="J1165" s="5" t="n">
        <x:v>55.1</x:v>
      </x:c>
      <x:c r="K1165" s="5" t="n">
        <x:v>41.9</x:v>
      </x:c>
      <x:c r="L1165" s="5" t="n">
        <x:v>1.93</x:v>
      </x:c>
      <x:c r="M1165" s="1" t="n">
        <x:v>1</x:v>
      </x:c>
      <x:c r="N1165" s="6" t="n">
        <x:v>1.02</x:v>
      </x:c>
      <x:c r="O1165" s="1" t="str">
        <x:v>합격</x:v>
      </x:c>
      <x:c r="P1165" s="1"/>
      <x:c r="Q1165" s="1" t="n">
        <x:v>35</x:v>
      </x:c>
      <x:c r="R1165" s="1" t="str">
        <x:v>N</x:v>
      </x:c>
      <x:c r="S1165" s="1" t="n">
        <x:v>0</x:v>
      </x:c>
      <x:c r="T1165" s="1" t="str">
        <x:v>합격</x:v>
      </x:c>
    </x:row>
    <x:row r="1166" ht="22" customHeight="1">
      <x:c r="A1166" s="1" t="str">
        <x:v>R01165</x:v>
      </x:c>
      <x:c r="B1166" s="4" t="n">
        <x:v>46221.15820601852</x:v>
      </x:c>
      <x:c r="C1166" s="1" t="str">
        <x:v>야간</x:v>
      </x:c>
      <x:c r="D1166" s="1" t="str">
        <x:v>L2</x:v>
      </x:c>
      <x:c r="E1166" s="1" t="str">
        <x:v>P2</x:v>
      </x:c>
      <x:c r="F1166" s="1" t="str">
        <x:v>M02</x:v>
      </x:c>
      <x:c r="G1166" s="1" t="str">
        <x:v>G01</x:v>
      </x:c>
      <x:c r="H1166" s="5" t="n">
        <x:v>30.31</x:v>
      </x:c>
      <x:c r="I1166" s="5" t="n">
        <x:v>5.85</x:v>
      </x:c>
      <x:c r="J1166" s="5" t="n">
        <x:v>53.2</x:v>
      </x:c>
      <x:c r="K1166" s="5" t="n">
        <x:v>38.1</x:v>
      </x:c>
      <x:c r="L1166" s="5" t="n">
        <x:v>2.7</x:v>
      </x:c>
      <x:c r="M1166" s="1" t="n">
        <x:v>0</x:v>
      </x:c>
      <x:c r="N1166" s="6" t="n">
        <x:v>1.039</x:v>
      </x:c>
      <x:c r="O1166" s="1" t="str">
        <x:v>합격</x:v>
      </x:c>
      <x:c r="P1166" s="1"/>
      <x:c r="Q1166" s="1" t="n">
        <x:v>46</x:v>
      </x:c>
      <x:c r="R1166" s="1" t="str">
        <x:v>N</x:v>
      </x:c>
      <x:c r="S1166" s="1" t="n">
        <x:v>0</x:v>
      </x:c>
      <x:c r="T1166" s="1" t="str">
        <x:v>합격</x:v>
      </x:c>
    </x:row>
    <x:row r="1167" ht="22" customHeight="1">
      <x:c r="A1167" s="1" t="str">
        <x:v>R01166</x:v>
      </x:c>
      <x:c r="B1167" s="4" t="n">
        <x:v>46222.6562962963</x:v>
      </x:c>
      <x:c r="C1167" s="1" t="str">
        <x:v>주간</x:v>
      </x:c>
      <x:c r="D1167" s="1" t="str">
        <x:v>L2</x:v>
      </x:c>
      <x:c r="E1167" s="1" t="str">
        <x:v>P2</x:v>
      </x:c>
      <x:c r="F1167" s="1" t="str">
        <x:v>M02</x:v>
      </x:c>
      <x:c r="G1167" s="1" t="str">
        <x:v>G02</x:v>
      </x:c>
      <x:c r="H1167" s="5" t="n">
        <x:v>28.21</x:v>
      </x:c>
      <x:c r="I1167" s="5" t="n">
        <x:v>5.6</x:v>
      </x:c>
      <x:c r="J1167" s="5" t="n">
        <x:v>58</x:v>
      </x:c>
      <x:c r="K1167" s="5" t="n">
        <x:v>38</x:v>
      </x:c>
      <x:c r="L1167" s="5" t="n">
        <x:v>1.46</x:v>
      </x:c>
      <x:c r="M1167" s="1" t="n">
        <x:v>1</x:v>
      </x:c>
      <x:c r="N1167" s="6" t="n">
        <x:v>0.882</x:v>
      </x:c>
      <x:c r="O1167" s="1" t="str">
        <x:v>합격</x:v>
      </x:c>
      <x:c r="P1167" s="1"/>
      <x:c r="Q1167" s="1" t="n">
        <x:v>49</x:v>
      </x:c>
      <x:c r="R1167" s="1" t="str">
        <x:v>N</x:v>
      </x:c>
      <x:c r="S1167" s="1" t="n">
        <x:v>0</x:v>
      </x:c>
      <x:c r="T1167" s="1" t="str">
        <x:v>합격</x:v>
      </x:c>
    </x:row>
    <x:row r="1168" ht="22" customHeight="1">
      <x:c r="A1168" s="1" t="str">
        <x:v>R01167</x:v>
      </x:c>
      <x:c r="B1168" s="4" t="n">
        <x:v>46223.38619212963</x:v>
      </x:c>
      <x:c r="C1168" s="1" t="str">
        <x:v>주간</x:v>
      </x:c>
      <x:c r="D1168" s="1" t="str">
        <x:v>L2</x:v>
      </x:c>
      <x:c r="E1168" s="1" t="str">
        <x:v>P2</x:v>
      </x:c>
      <x:c r="F1168" s="1" t="str">
        <x:v>M02</x:v>
      </x:c>
      <x:c r="G1168" s="1" t="str">
        <x:v>G03</x:v>
      </x:c>
      <x:c r="H1168" s="5" t="n">
        <x:v>29.91</x:v>
      </x:c>
      <x:c r="I1168" s="5" t="n">
        <x:v>5.62</x:v>
      </x:c>
      <x:c r="J1168" s="5" t="n">
        <x:v>55.1</x:v>
      </x:c>
      <x:c r="K1168" s="5" t="n">
        <x:v>41.4</x:v>
      </x:c>
      <x:c r="L1168" s="5" t="n">
        <x:v>2.54</x:v>
      </x:c>
      <x:c r="M1168" s="1" t="n">
        <x:v>1</x:v>
      </x:c>
      <x:c r="N1168" s="6" t="n">
        <x:v>0.907</x:v>
      </x:c>
      <x:c r="O1168" s="1" t="str">
        <x:v>합격</x:v>
      </x:c>
      <x:c r="P1168" s="1"/>
      <x:c r="Q1168" s="1" t="n">
        <x:v>38</x:v>
      </x:c>
      <x:c r="R1168" s="1" t="str">
        <x:v>N</x:v>
      </x:c>
      <x:c r="S1168" s="1" t="n">
        <x:v>0</x:v>
      </x:c>
      <x:c r="T1168" s="1" t="str">
        <x:v>합격</x:v>
      </x:c>
    </x:row>
    <x:row r="1169" ht="22" customHeight="1">
      <x:c r="A1169" s="1" t="str">
        <x:v>R01168</x:v>
      </x:c>
      <x:c r="B1169" s="4" t="n">
        <x:v>46224.96486111111</x:v>
      </x:c>
      <x:c r="C1169" s="1" t="str">
        <x:v>야간</x:v>
      </x:c>
      <x:c r="D1169" s="1" t="str">
        <x:v>L1</x:v>
      </x:c>
      <x:c r="E1169" s="1" t="str">
        <x:v>P1</x:v>
      </x:c>
      <x:c r="F1169" s="1" t="str">
        <x:v>M03</x:v>
      </x:c>
      <x:c r="G1169" s="1" t="str">
        <x:v>G04</x:v>
      </x:c>
      <x:c r="H1169" s="5" t="n">
        <x:v>26.38</x:v>
      </x:c>
      <x:c r="I1169" s="5" t="n">
        <x:v>5.71</x:v>
      </x:c>
      <x:c r="J1169" s="5" t="n">
        <x:v>53.6</x:v>
      </x:c>
      <x:c r="K1169" s="5" t="n">
        <x:v>37.3</x:v>
      </x:c>
      <x:c r="L1169" s="5" t="n">
        <x:v>1.33</x:v>
      </x:c>
      <x:c r="M1169" s="1" t="n">
        <x:v>1</x:v>
      </x:c>
      <x:c r="N1169" s="6" t="n">
        <x:v>0.865</x:v>
      </x:c>
      <x:c r="O1169" s="1" t="str">
        <x:v>합격</x:v>
      </x:c>
      <x:c r="P1169" s="1"/>
      <x:c r="Q1169" s="1" t="n">
        <x:v>36</x:v>
      </x:c>
      <x:c r="R1169" s="1" t="str">
        <x:v>N</x:v>
      </x:c>
      <x:c r="S1169" s="1" t="n">
        <x:v>0</x:v>
      </x:c>
      <x:c r="T1169" s="1" t="str">
        <x:v>합격</x:v>
      </x:c>
    </x:row>
    <x:row r="1170" ht="22" customHeight="1">
      <x:c r="A1170" s="1" t="str">
        <x:v>R01169</x:v>
      </x:c>
      <x:c r="B1170" s="4" t="n">
        <x:v>46225.934224537035</x:v>
      </x:c>
      <x:c r="C1170" s="1" t="str">
        <x:v>야간</x:v>
      </x:c>
      <x:c r="D1170" s="1" t="str">
        <x:v>L1</x:v>
      </x:c>
      <x:c r="E1170" s="1" t="str">
        <x:v>P1</x:v>
      </x:c>
      <x:c r="F1170" s="1" t="str">
        <x:v>M03</x:v>
      </x:c>
      <x:c r="G1170" s="1" t="str">
        <x:v>G05</x:v>
      </x:c>
      <x:c r="H1170" s="5" t="n">
        <x:v>31.19</x:v>
      </x:c>
      <x:c r="I1170" s="5" t="n">
        <x:v>5.76</x:v>
      </x:c>
      <x:c r="J1170" s="5" t="n">
        <x:v>50.8</x:v>
      </x:c>
      <x:c r="K1170" s="5" t="n">
        <x:v>41.4</x:v>
      </x:c>
      <x:c r="L1170" s="5" t="n">
        <x:v>2.4</x:v>
      </x:c>
      <x:c r="M1170" s="1" t="n">
        <x:v>0</x:v>
      </x:c>
      <x:c r="N1170" s="6" t="n">
        <x:v>0.909</x:v>
      </x:c>
      <x:c r="O1170" s="1" t="str">
        <x:v>합격</x:v>
      </x:c>
      <x:c r="P1170" s="1"/>
      <x:c r="Q1170" s="1" t="n">
        <x:v>35</x:v>
      </x:c>
      <x:c r="R1170" s="1" t="str">
        <x:v>N</x:v>
      </x:c>
      <x:c r="S1170" s="1" t="n">
        <x:v>0</x:v>
      </x:c>
      <x:c r="T1170" s="1" t="str">
        <x:v>합격</x:v>
      </x:c>
    </x:row>
    <x:row r="1171" ht="22" customHeight="1">
      <x:c r="A1171" s="1" t="str">
        <x:v>R01170</x:v>
      </x:c>
      <x:c r="B1171" s="4" t="n">
        <x:v>46226.656435185185</x:v>
      </x:c>
      <x:c r="C1171" s="1" t="str">
        <x:v>주간</x:v>
      </x:c>
      <x:c r="D1171" s="1" t="str">
        <x:v>L2</x:v>
      </x:c>
      <x:c r="E1171" s="1" t="str">
        <x:v>P2</x:v>
      </x:c>
      <x:c r="F1171" s="1" t="str">
        <x:v>M02</x:v>
      </x:c>
      <x:c r="G1171" s="1" t="str">
        <x:v>G06</x:v>
      </x:c>
      <x:c r="H1171" s="5" t="n">
        <x:v>31.63</x:v>
      </x:c>
      <x:c r="I1171" s="5" t="n">
        <x:v>5.75</x:v>
      </x:c>
      <x:c r="J1171" s="5" t="n">
        <x:v>55.7</x:v>
      </x:c>
      <x:c r="K1171" s="5" t="n">
        <x:v>38</x:v>
      </x:c>
      <x:c r="L1171" s="5" t="n">
        <x:v>2.35</x:v>
      </x:c>
      <x:c r="M1171" s="1" t="n">
        <x:v>1</x:v>
      </x:c>
      <x:c r="N1171" s="6" t="n">
        <x:v>1.005</x:v>
      </x:c>
      <x:c r="O1171" s="1" t="str">
        <x:v>합격</x:v>
      </x:c>
      <x:c r="P1171" s="1"/>
      <x:c r="Q1171" s="1" t="n">
        <x:v>47</x:v>
      </x:c>
      <x:c r="R1171" s="1" t="str">
        <x:v>N</x:v>
      </x:c>
      <x:c r="S1171" s="1" t="n">
        <x:v>0</x:v>
      </x:c>
      <x:c r="T1171" s="1" t="str">
        <x:v>합격</x:v>
      </x:c>
    </x:row>
    <x:row r="1172" ht="22" customHeight="1">
      <x:c r="A1172" s="1" t="str">
        <x:v>R01171</x:v>
      </x:c>
      <x:c r="B1172" s="4" t="n">
        <x:v>46227.60238425926</x:v>
      </x:c>
      <x:c r="C1172" s="1" t="str">
        <x:v>주간</x:v>
      </x:c>
      <x:c r="D1172" s="1" t="str">
        <x:v>L1</x:v>
      </x:c>
      <x:c r="E1172" s="1" t="str">
        <x:v>P1</x:v>
      </x:c>
      <x:c r="F1172" s="1" t="str">
        <x:v>M01</x:v>
      </x:c>
      <x:c r="G1172" s="1" t="str">
        <x:v>G01</x:v>
      </x:c>
      <x:c r="H1172" s="5" t="n">
        <x:v>31.8</x:v>
      </x:c>
      <x:c r="I1172" s="5" t="n">
        <x:v>5.69</x:v>
      </x:c>
      <x:c r="J1172" s="5" t="n">
        <x:v>50.7</x:v>
      </x:c>
      <x:c r="K1172" s="5" t="n">
        <x:v>39.2</x:v>
      </x:c>
      <x:c r="L1172" s="5" t="n">
        <x:v>2.08</x:v>
      </x:c>
      <x:c r="M1172" s="1" t="n">
        <x:v>1</x:v>
      </x:c>
      <x:c r="N1172" s="6" t="n">
        <x:v>0.857</x:v>
      </x:c>
      <x:c r="O1172" s="1" t="str">
        <x:v>합격</x:v>
      </x:c>
      <x:c r="P1172" s="1"/>
      <x:c r="Q1172" s="1" t="n">
        <x:v>39</x:v>
      </x:c>
      <x:c r="R1172" s="1" t="str">
        <x:v>N</x:v>
      </x:c>
      <x:c r="S1172" s="1" t="n">
        <x:v>0</x:v>
      </x:c>
      <x:c r="T1172" s="1" t="str">
        <x:v>합격</x:v>
      </x:c>
    </x:row>
    <x:row r="1173" ht="22" customHeight="1">
      <x:c r="A1173" s="1" t="str">
        <x:v>R01172</x:v>
      </x:c>
      <x:c r="B1173" s="4" t="n">
        <x:v>46228.41322916667</x:v>
      </x:c>
      <x:c r="C1173" s="1" t="str">
        <x:v>주간</x:v>
      </x:c>
      <x:c r="D1173" s="1" t="str">
        <x:v>L2</x:v>
      </x:c>
      <x:c r="E1173" s="1" t="str">
        <x:v>P2</x:v>
      </x:c>
      <x:c r="F1173" s="1" t="str">
        <x:v>M02</x:v>
      </x:c>
      <x:c r="G1173" s="1" t="str">
        <x:v>G02</x:v>
      </x:c>
      <x:c r="H1173" s="5" t="n">
        <x:v>31.09</x:v>
      </x:c>
      <x:c r="I1173" s="5" t="n">
        <x:v>5.64</x:v>
      </x:c>
      <x:c r="J1173" s="5" t="n">
        <x:v>54.4</x:v>
      </x:c>
      <x:c r="K1173" s="5" t="n">
        <x:v>41.1</x:v>
      </x:c>
      <x:c r="L1173" s="5" t="n">
        <x:v>1.53</x:v>
      </x:c>
      <x:c r="M1173" s="1" t="n">
        <x:v>0</x:v>
      </x:c>
      <x:c r="N1173" s="6" t="n">
        <x:v>0.919</x:v>
      </x:c>
      <x:c r="O1173" s="1" t="str">
        <x:v>합격</x:v>
      </x:c>
      <x:c r="P1173" s="1"/>
      <x:c r="Q1173" s="1" t="n">
        <x:v>36</x:v>
      </x:c>
      <x:c r="R1173" s="1" t="str">
        <x:v>N</x:v>
      </x:c>
      <x:c r="S1173" s="1" t="n">
        <x:v>0</x:v>
      </x:c>
      <x:c r="T1173" s="1" t="str">
        <x:v>합격</x:v>
      </x:c>
    </x:row>
    <x:row r="1174" ht="22" customHeight="1">
      <x:c r="A1174" s="1" t="str">
        <x:v>R01173</x:v>
      </x:c>
      <x:c r="B1174" s="4" t="n">
        <x:v>46229.97719907408</x:v>
      </x:c>
      <x:c r="C1174" s="1" t="str">
        <x:v>야간</x:v>
      </x:c>
      <x:c r="D1174" s="1" t="str">
        <x:v>L2</x:v>
      </x:c>
      <x:c r="E1174" s="1" t="str">
        <x:v>P2</x:v>
      </x:c>
      <x:c r="F1174" s="1" t="str">
        <x:v>M02</x:v>
      </x:c>
      <x:c r="G1174" s="1" t="str">
        <x:v>G03</x:v>
      </x:c>
      <x:c r="H1174" s="5" t="n">
        <x:v>31.74</x:v>
      </x:c>
      <x:c r="I1174" s="5" t="n">
        <x:v>5.73</x:v>
      </x:c>
      <x:c r="J1174" s="5" t="n">
        <x:v>52.6</x:v>
      </x:c>
      <x:c r="K1174" s="5" t="n">
        <x:v>40.7</x:v>
      </x:c>
      <x:c r="L1174" s="5" t="n">
        <x:v>2.58</x:v>
      </x:c>
      <x:c r="M1174" s="1" t="n">
        <x:v>1</x:v>
      </x:c>
      <x:c r="N1174" s="6" t="n">
        <x:v>0.961</x:v>
      </x:c>
      <x:c r="O1174" s="1" t="str">
        <x:v>합격</x:v>
      </x:c>
      <x:c r="P1174" s="1"/>
      <x:c r="Q1174" s="1" t="n">
        <x:v>44</x:v>
      </x:c>
      <x:c r="R1174" s="1" t="str">
        <x:v>N</x:v>
      </x:c>
      <x:c r="S1174" s="1" t="n">
        <x:v>0</x:v>
      </x:c>
      <x:c r="T1174" s="1" t="str">
        <x:v>합격</x:v>
      </x:c>
    </x:row>
    <x:row r="1175" ht="22" customHeight="1">
      <x:c r="A1175" s="1" t="str">
        <x:v>R01174</x:v>
      </x:c>
      <x:c r="B1175" s="4" t="n">
        <x:v>46230.920439814814</x:v>
      </x:c>
      <x:c r="C1175" s="1" t="str">
        <x:v>야간</x:v>
      </x:c>
      <x:c r="D1175" s="1" t="str">
        <x:v>L1</x:v>
      </x:c>
      <x:c r="E1175" s="1" t="str">
        <x:v>P1</x:v>
      </x:c>
      <x:c r="F1175" s="1" t="str">
        <x:v>M04</x:v>
      </x:c>
      <x:c r="G1175" s="1" t="str">
        <x:v>G04</x:v>
      </x:c>
      <x:c r="H1175" s="5" t="n">
        <x:v>27.65</x:v>
      </x:c>
      <x:c r="I1175" s="5" t="n">
        <x:v>5.68</x:v>
      </x:c>
      <x:c r="J1175" s="5" t="n">
        <x:v>54.8</x:v>
      </x:c>
      <x:c r="K1175" s="5" t="n">
        <x:v>39.7</x:v>
      </x:c>
      <x:c r="L1175" s="5" t="n">
        <x:v>1.77</x:v>
      </x:c>
      <x:c r="M1175" s="1" t="n">
        <x:v>1</x:v>
      </x:c>
      <x:c r="N1175" s="6" t="n">
        <x:v>0.911</x:v>
      </x:c>
      <x:c r="O1175" s="1" t="str">
        <x:v>합격</x:v>
      </x:c>
      <x:c r="P1175" s="1"/>
      <x:c r="Q1175" s="1" t="n">
        <x:v>38</x:v>
      </x:c>
      <x:c r="R1175" s="1" t="str">
        <x:v>N</x:v>
      </x:c>
      <x:c r="S1175" s="1" t="n">
        <x:v>0</x:v>
      </x:c>
      <x:c r="T1175" s="1" t="str">
        <x:v>합격</x:v>
      </x:c>
    </x:row>
    <x:row r="1176" ht="22" customHeight="1">
      <x:c r="A1176" s="1" t="str">
        <x:v>R01175</x:v>
      </x:c>
      <x:c r="B1176" s="4" t="n">
        <x:v>46231.94116898148</x:v>
      </x:c>
      <x:c r="C1176" s="1" t="str">
        <x:v>야간</x:v>
      </x:c>
      <x:c r="D1176" s="1" t="str">
        <x:v>L2</x:v>
      </x:c>
      <x:c r="E1176" s="1" t="str">
        <x:v>P2</x:v>
      </x:c>
      <x:c r="F1176" s="1" t="str">
        <x:v>M01</x:v>
      </x:c>
      <x:c r="G1176" s="1" t="str">
        <x:v>G05</x:v>
      </x:c>
      <x:c r="H1176" s="5" t="n">
        <x:v>29.95</x:v>
      </x:c>
      <x:c r="I1176" s="5" t="n">
        <x:v>5.83</x:v>
      </x:c>
      <x:c r="J1176" s="5" t="n">
        <x:v>53.8</x:v>
      </x:c>
      <x:c r="K1176" s="5" t="n">
        <x:v>35.8</x:v>
      </x:c>
      <x:c r="L1176" s="5" t="n">
        <x:v>2.38</x:v>
      </x:c>
      <x:c r="M1176" s="1" t="n">
        <x:v>0</x:v>
      </x:c>
      <x:c r="N1176" s="6" t="n">
        <x:v>1.047</x:v>
      </x:c>
      <x:c r="O1176" s="1" t="str">
        <x:v>불합격</x:v>
      </x:c>
      <x:c r="P1176" s="1" t="str">
        <x:v>작동불량</x:v>
      </x:c>
      <x:c r="Q1176" s="1" t="n">
        <x:v>44</x:v>
      </x:c>
      <x:c r="R1176" s="1" t="str">
        <x:v>Y</x:v>
      </x:c>
      <x:c r="S1176" s="1" t="n">
        <x:v>8</x:v>
      </x:c>
      <x:c r="T1176" s="1" t="str">
        <x:v>재작업후합격</x:v>
      </x:c>
    </x:row>
    <x:row r="1177" ht="22" customHeight="1">
      <x:c r="A1177" s="1" t="str">
        <x:v>R01176</x:v>
      </x:c>
      <x:c r="B1177" s="4" t="n">
        <x:v>46232.36246527778</x:v>
      </x:c>
      <x:c r="C1177" s="1" t="str">
        <x:v>주간</x:v>
      </x:c>
      <x:c r="D1177" s="1" t="str">
        <x:v>L1</x:v>
      </x:c>
      <x:c r="E1177" s="1" t="str">
        <x:v>P1</x:v>
      </x:c>
      <x:c r="F1177" s="1" t="str">
        <x:v>M01</x:v>
      </x:c>
      <x:c r="G1177" s="1" t="str">
        <x:v>G06</x:v>
      </x:c>
      <x:c r="H1177" s="5" t="n">
        <x:v>29.63</x:v>
      </x:c>
      <x:c r="I1177" s="5" t="n">
        <x:v>5.93</x:v>
      </x:c>
      <x:c r="J1177" s="5" t="n">
        <x:v>51</x:v>
      </x:c>
      <x:c r="K1177" s="5" t="n">
        <x:v>37.6</x:v>
      </x:c>
      <x:c r="L1177" s="5" t="n">
        <x:v>2.26</x:v>
      </x:c>
      <x:c r="M1177" s="1" t="n">
        <x:v>0</x:v>
      </x:c>
      <x:c r="N1177" s="6" t="n">
        <x:v>0.914</x:v>
      </x:c>
      <x:c r="O1177" s="1" t="str">
        <x:v>합격</x:v>
      </x:c>
      <x:c r="P1177" s="1"/>
      <x:c r="Q1177" s="1" t="n">
        <x:v>46</x:v>
      </x:c>
      <x:c r="R1177" s="1" t="str">
        <x:v>N</x:v>
      </x:c>
      <x:c r="S1177" s="1" t="n">
        <x:v>0</x:v>
      </x:c>
      <x:c r="T1177" s="1" t="str">
        <x:v>합격</x:v>
      </x:c>
    </x:row>
    <x:row r="1178" ht="22" customHeight="1">
      <x:c r="A1178" s="1" t="str">
        <x:v>R01177</x:v>
      </x:c>
      <x:c r="B1178" s="4" t="n">
        <x:v>46233.447962962964</x:v>
      </x:c>
      <x:c r="C1178" s="1" t="str">
        <x:v>주간</x:v>
      </x:c>
      <x:c r="D1178" s="1" t="str">
        <x:v>L2</x:v>
      </x:c>
      <x:c r="E1178" s="1" t="str">
        <x:v>P2</x:v>
      </x:c>
      <x:c r="F1178" s="1" t="str">
        <x:v>M02</x:v>
      </x:c>
      <x:c r="G1178" s="1" t="str">
        <x:v>G01</x:v>
      </x:c>
      <x:c r="H1178" s="5" t="n">
        <x:v>32.67</x:v>
      </x:c>
      <x:c r="I1178" s="5" t="n">
        <x:v>6</x:v>
      </x:c>
      <x:c r="J1178" s="5" t="n">
        <x:v>51.4</x:v>
      </x:c>
      <x:c r="K1178" s="5" t="n">
        <x:v>35.2</x:v>
      </x:c>
      <x:c r="L1178" s="5" t="n">
        <x:v>1.88</x:v>
      </x:c>
      <x:c r="M1178" s="1" t="n">
        <x:v>0</x:v>
      </x:c>
      <x:c r="N1178" s="6" t="n">
        <x:v>1.021</x:v>
      </x:c>
      <x:c r="O1178" s="1" t="str">
        <x:v>합격</x:v>
      </x:c>
      <x:c r="P1178" s="1"/>
      <x:c r="Q1178" s="1" t="n">
        <x:v>46</x:v>
      </x:c>
      <x:c r="R1178" s="1" t="str">
        <x:v>N</x:v>
      </x:c>
      <x:c r="S1178" s="1" t="n">
        <x:v>0</x:v>
      </x:c>
      <x:c r="T1178" s="1" t="str">
        <x:v>합격</x:v>
      </x:c>
    </x:row>
    <x:row r="1179" ht="22" customHeight="1">
      <x:c r="A1179" s="1" t="str">
        <x:v>R01178</x:v>
      </x:c>
      <x:c r="B1179" s="4" t="n">
        <x:v>46234.50931712963</x:v>
      </x:c>
      <x:c r="C1179" s="1" t="str">
        <x:v>주간</x:v>
      </x:c>
      <x:c r="D1179" s="1" t="str">
        <x:v>L1</x:v>
      </x:c>
      <x:c r="E1179" s="1" t="str">
        <x:v>P1</x:v>
      </x:c>
      <x:c r="F1179" s="1" t="str">
        <x:v>M03</x:v>
      </x:c>
      <x:c r="G1179" s="1" t="str">
        <x:v>G02</x:v>
      </x:c>
      <x:c r="H1179" s="5" t="n">
        <x:v>29.01</x:v>
      </x:c>
      <x:c r="I1179" s="5" t="n">
        <x:v>5.94</x:v>
      </x:c>
      <x:c r="J1179" s="5" t="n">
        <x:v>49.6</x:v>
      </x:c>
      <x:c r="K1179" s="5" t="n">
        <x:v>38.2</x:v>
      </x:c>
      <x:c r="L1179" s="5" t="n">
        <x:v>2.69</x:v>
      </x:c>
      <x:c r="M1179" s="1" t="n">
        <x:v>1</x:v>
      </x:c>
      <x:c r="N1179" s="6" t="n">
        <x:v>1.03</x:v>
      </x:c>
      <x:c r="O1179" s="1" t="str">
        <x:v>합격</x:v>
      </x:c>
      <x:c r="P1179" s="1"/>
      <x:c r="Q1179" s="1" t="n">
        <x:v>36</x:v>
      </x:c>
      <x:c r="R1179" s="1" t="str">
        <x:v>N</x:v>
      </x:c>
      <x:c r="S1179" s="1" t="n">
        <x:v>0</x:v>
      </x:c>
      <x:c r="T1179" s="1" t="str">
        <x:v>합격</x:v>
      </x:c>
    </x:row>
    <x:row r="1180" ht="22" customHeight="1">
      <x:c r="A1180" s="1" t="str">
        <x:v>R01179</x:v>
      </x:c>
      <x:c r="B1180" s="4" t="n">
        <x:v>46204.35851851852</x:v>
      </x:c>
      <x:c r="C1180" s="1" t="str">
        <x:v>주간</x:v>
      </x:c>
      <x:c r="D1180" s="1" t="str">
        <x:v>L1</x:v>
      </x:c>
      <x:c r="E1180" s="1" t="str">
        <x:v>P1</x:v>
      </x:c>
      <x:c r="F1180" s="1" t="str">
        <x:v>M01</x:v>
      </x:c>
      <x:c r="G1180" s="1" t="str">
        <x:v>G03</x:v>
      </x:c>
      <x:c r="H1180" s="5" t="n">
        <x:v>27.82</x:v>
      </x:c>
      <x:c r="I1180" s="5" t="n">
        <x:v>5.8</x:v>
      </x:c>
      <x:c r="J1180" s="5" t="n">
        <x:v>57.9</x:v>
      </x:c>
      <x:c r="K1180" s="5" t="n">
        <x:v>36.7</x:v>
      </x:c>
      <x:c r="L1180" s="5" t="n">
        <x:v>1.98</x:v>
      </x:c>
      <x:c r="M1180" s="1" t="n">
        <x:v>0</x:v>
      </x:c>
      <x:c r="N1180" s="6" t="n">
        <x:v>0.998</x:v>
      </x:c>
      <x:c r="O1180" s="1" t="str">
        <x:v>합격</x:v>
      </x:c>
      <x:c r="P1180" s="1"/>
      <x:c r="Q1180" s="1" t="n">
        <x:v>35</x:v>
      </x:c>
      <x:c r="R1180" s="1" t="str">
        <x:v>N</x:v>
      </x:c>
      <x:c r="S1180" s="1" t="n">
        <x:v>0</x:v>
      </x:c>
      <x:c r="T1180" s="1" t="str">
        <x:v>합격</x:v>
      </x:c>
    </x:row>
    <x:row r="1181" ht="22" customHeight="1">
      <x:c r="A1181" s="1" t="str">
        <x:v>R01180</x:v>
      </x:c>
      <x:c r="B1181" s="4" t="n">
        <x:v>46205.053194444445</x:v>
      </x:c>
      <x:c r="C1181" s="1" t="str">
        <x:v>야간</x:v>
      </x:c>
      <x:c r="D1181" s="1" t="str">
        <x:v>L2</x:v>
      </x:c>
      <x:c r="E1181" s="1" t="str">
        <x:v>P2</x:v>
      </x:c>
      <x:c r="F1181" s="1" t="str">
        <x:v>M02</x:v>
      </x:c>
      <x:c r="G1181" s="1" t="str">
        <x:v>G04</x:v>
      </x:c>
      <x:c r="H1181" s="5" t="n">
        <x:v>29.55</x:v>
      </x:c>
      <x:c r="I1181" s="5" t="n">
        <x:v>5.69</x:v>
      </x:c>
      <x:c r="J1181" s="5" t="n">
        <x:v>54</x:v>
      </x:c>
      <x:c r="K1181" s="5" t="n">
        <x:v>35.2</x:v>
      </x:c>
      <x:c r="L1181" s="5" t="n">
        <x:v>2.33</x:v>
      </x:c>
      <x:c r="M1181" s="1" t="n">
        <x:v>0</x:v>
      </x:c>
      <x:c r="N1181" s="6" t="n">
        <x:v>1.002</x:v>
      </x:c>
      <x:c r="O1181" s="1" t="str">
        <x:v>합격</x:v>
      </x:c>
      <x:c r="P1181" s="1"/>
      <x:c r="Q1181" s="1" t="n">
        <x:v>48</x:v>
      </x:c>
      <x:c r="R1181" s="1" t="str">
        <x:v>N</x:v>
      </x:c>
      <x:c r="S1181" s="1" t="n">
        <x:v>0</x:v>
      </x:c>
      <x:c r="T1181" s="1" t="str">
        <x:v>합격</x:v>
      </x:c>
    </x:row>
    <x:row r="1182" ht="22" customHeight="1">
      <x:c r="A1182" s="1" t="str">
        <x:v>R01181</x:v>
      </x:c>
      <x:c r="B1182" s="4" t="n">
        <x:v>46206.852118055554</x:v>
      </x:c>
      <x:c r="C1182" s="1" t="str">
        <x:v>야간</x:v>
      </x:c>
      <x:c r="D1182" s="1" t="str">
        <x:v>L2</x:v>
      </x:c>
      <x:c r="E1182" s="1" t="str">
        <x:v>P2</x:v>
      </x:c>
      <x:c r="F1182" s="1" t="str">
        <x:v>M01</x:v>
      </x:c>
      <x:c r="G1182" s="1" t="str">
        <x:v>G05</x:v>
      </x:c>
      <x:c r="H1182" s="5" t="n">
        <x:v>29.09</x:v>
      </x:c>
      <x:c r="I1182" s="5" t="n">
        <x:v>5.67</x:v>
      </x:c>
      <x:c r="J1182" s="5" t="n">
        <x:v>56.3</x:v>
      </x:c>
      <x:c r="K1182" s="5" t="n">
        <x:v>41.5</x:v>
      </x:c>
      <x:c r="L1182" s="5" t="n">
        <x:v>2.66</x:v>
      </x:c>
      <x:c r="M1182" s="1" t="n">
        <x:v>0</x:v>
      </x:c>
      <x:c r="N1182" s="6" t="n">
        <x:v>0.86</x:v>
      </x:c>
      <x:c r="O1182" s="1" t="str">
        <x:v>합격</x:v>
      </x:c>
      <x:c r="P1182" s="1"/>
      <x:c r="Q1182" s="1" t="n">
        <x:v>48</x:v>
      </x:c>
      <x:c r="R1182" s="1" t="str">
        <x:v>N</x:v>
      </x:c>
      <x:c r="S1182" s="1" t="n">
        <x:v>0</x:v>
      </x:c>
      <x:c r="T1182" s="1" t="str">
        <x:v>합격</x:v>
      </x:c>
    </x:row>
    <x:row r="1183" ht="22" customHeight="1">
      <x:c r="A1183" s="1" t="str">
        <x:v>R01182</x:v>
      </x:c>
      <x:c r="B1183" s="4" t="n">
        <x:v>46207.00635416667</x:v>
      </x:c>
      <x:c r="C1183" s="1" t="str">
        <x:v>야간</x:v>
      </x:c>
      <x:c r="D1183" s="1" t="str">
        <x:v>L1</x:v>
      </x:c>
      <x:c r="E1183" s="1" t="str">
        <x:v>P1</x:v>
      </x:c>
      <x:c r="F1183" s="1" t="str">
        <x:v>M04</x:v>
      </x:c>
      <x:c r="G1183" s="1" t="str">
        <x:v>G06</x:v>
      </x:c>
      <x:c r="H1183" s="5" t="n">
        <x:v>29.04</x:v>
      </x:c>
      <x:c r="I1183" s="5" t="n">
        <x:v>5.62</x:v>
      </x:c>
      <x:c r="J1183" s="5" t="n">
        <x:v>49.3</x:v>
      </x:c>
      <x:c r="K1183" s="5" t="n">
        <x:v>35.8</x:v>
      </x:c>
      <x:c r="L1183" s="5" t="n">
        <x:v>2.35</x:v>
      </x:c>
      <x:c r="M1183" s="1" t="n">
        <x:v>1</x:v>
      </x:c>
      <x:c r="N1183" s="6" t="n">
        <x:v>0.991</x:v>
      </x:c>
      <x:c r="O1183" s="1" t="str">
        <x:v>합격</x:v>
      </x:c>
      <x:c r="P1183" s="1"/>
      <x:c r="Q1183" s="1" t="n">
        <x:v>42</x:v>
      </x:c>
      <x:c r="R1183" s="1" t="str">
        <x:v>N</x:v>
      </x:c>
      <x:c r="S1183" s="1" t="n">
        <x:v>0</x:v>
      </x:c>
      <x:c r="T1183" s="1" t="str">
        <x:v>합격</x:v>
      </x:c>
    </x:row>
    <x:row r="1184" ht="22" customHeight="1">
      <x:c r="A1184" s="1" t="str">
        <x:v>R01183</x:v>
      </x:c>
      <x:c r="B1184" s="4" t="n">
        <x:v>46208.42664351852</x:v>
      </x:c>
      <x:c r="C1184" s="1" t="str">
        <x:v>주간</x:v>
      </x:c>
      <x:c r="D1184" s="1" t="str">
        <x:v>L1</x:v>
      </x:c>
      <x:c r="E1184" s="1" t="str">
        <x:v>P1</x:v>
      </x:c>
      <x:c r="F1184" s="1" t="str">
        <x:v>M01</x:v>
      </x:c>
      <x:c r="G1184" s="1" t="str">
        <x:v>G01</x:v>
      </x:c>
      <x:c r="H1184" s="5" t="n">
        <x:v>31.7</x:v>
      </x:c>
      <x:c r="I1184" s="5" t="n">
        <x:v>5.89</x:v>
      </x:c>
      <x:c r="J1184" s="5" t="n">
        <x:v>48.7</x:v>
      </x:c>
      <x:c r="K1184" s="5" t="n">
        <x:v>38</x:v>
      </x:c>
      <x:c r="L1184" s="5" t="n">
        <x:v>2.64</x:v>
      </x:c>
      <x:c r="M1184" s="1" t="n">
        <x:v>0</x:v>
      </x:c>
      <x:c r="N1184" s="6" t="n">
        <x:v>0.894</x:v>
      </x:c>
      <x:c r="O1184" s="1" t="str">
        <x:v>합격</x:v>
      </x:c>
      <x:c r="P1184" s="1"/>
      <x:c r="Q1184" s="1" t="n">
        <x:v>42</x:v>
      </x:c>
      <x:c r="R1184" s="1" t="str">
        <x:v>N</x:v>
      </x:c>
      <x:c r="S1184" s="1" t="n">
        <x:v>0</x:v>
      </x:c>
      <x:c r="T1184" s="1" t="str">
        <x:v>합격</x:v>
      </x:c>
    </x:row>
    <x:row r="1185" ht="22" customHeight="1">
      <x:c r="A1185" s="1" t="str">
        <x:v>R01184</x:v>
      </x:c>
      <x:c r="B1185" s="4" t="n">
        <x:v>46209.53696759259</x:v>
      </x:c>
      <x:c r="C1185" s="1" t="str">
        <x:v>주간</x:v>
      </x:c>
      <x:c r="D1185" s="1" t="str">
        <x:v>L2</x:v>
      </x:c>
      <x:c r="E1185" s="1" t="str">
        <x:v>P2</x:v>
      </x:c>
      <x:c r="F1185" s="1" t="str">
        <x:v>M04</x:v>
      </x:c>
      <x:c r="G1185" s="1" t="str">
        <x:v>G02</x:v>
      </x:c>
      <x:c r="H1185" s="5" t="n">
        <x:v>27.94</x:v>
      </x:c>
      <x:c r="I1185" s="5" t="n">
        <x:v>5.6</x:v>
      </x:c>
      <x:c r="J1185" s="5" t="n">
        <x:v>49.7</x:v>
      </x:c>
      <x:c r="K1185" s="5" t="n">
        <x:v>35.3</x:v>
      </x:c>
      <x:c r="L1185" s="5" t="n">
        <x:v>1.44</x:v>
      </x:c>
      <x:c r="M1185" s="1" t="n">
        <x:v>1</x:v>
      </x:c>
      <x:c r="N1185" s="6" t="n">
        <x:v>0.892</x:v>
      </x:c>
      <x:c r="O1185" s="1" t="str">
        <x:v>합격</x:v>
      </x:c>
      <x:c r="P1185" s="1"/>
      <x:c r="Q1185" s="1" t="n">
        <x:v>46</x:v>
      </x:c>
      <x:c r="R1185" s="1" t="str">
        <x:v>N</x:v>
      </x:c>
      <x:c r="S1185" s="1" t="n">
        <x:v>0</x:v>
      </x:c>
      <x:c r="T1185" s="1" t="str">
        <x:v>합격</x:v>
      </x:c>
    </x:row>
    <x:row r="1186" ht="22" customHeight="1">
      <x:c r="A1186" s="1" t="str">
        <x:v>R01185</x:v>
      </x:c>
      <x:c r="B1186" s="4" t="n">
        <x:v>46210.53009259259</x:v>
      </x:c>
      <x:c r="C1186" s="1" t="str">
        <x:v>주간</x:v>
      </x:c>
      <x:c r="D1186" s="1" t="str">
        <x:v>L1</x:v>
      </x:c>
      <x:c r="E1186" s="1" t="str">
        <x:v>P1</x:v>
      </x:c>
      <x:c r="F1186" s="1" t="str">
        <x:v>M03</x:v>
      </x:c>
      <x:c r="G1186" s="1" t="str">
        <x:v>G03</x:v>
      </x:c>
      <x:c r="H1186" s="5" t="n">
        <x:v>31.15</x:v>
      </x:c>
      <x:c r="I1186" s="5" t="n">
        <x:v>5.73</x:v>
      </x:c>
      <x:c r="J1186" s="5" t="n">
        <x:v>53.9</x:v>
      </x:c>
      <x:c r="K1186" s="5" t="n">
        <x:v>38.2</x:v>
      </x:c>
      <x:c r="L1186" s="5" t="n">
        <x:v>1.53</x:v>
      </x:c>
      <x:c r="M1186" s="1" t="n">
        <x:v>0</x:v>
      </x:c>
      <x:c r="N1186" s="6" t="n">
        <x:v>1.011</x:v>
      </x:c>
      <x:c r="O1186" s="1" t="str">
        <x:v>합격</x:v>
      </x:c>
      <x:c r="P1186" s="1"/>
      <x:c r="Q1186" s="1" t="n">
        <x:v>42</x:v>
      </x:c>
      <x:c r="R1186" s="1" t="str">
        <x:v>N</x:v>
      </x:c>
      <x:c r="S1186" s="1" t="n">
        <x:v>0</x:v>
      </x:c>
      <x:c r="T1186" s="1" t="str">
        <x:v>합격</x:v>
      </x:c>
    </x:row>
    <x:row r="1187" ht="22" customHeight="1">
      <x:c r="A1187" s="1" t="str">
        <x:v>R01186</x:v>
      </x:c>
      <x:c r="B1187" s="4" t="n">
        <x:v>46211.977847222224</x:v>
      </x:c>
      <x:c r="C1187" s="1" t="str">
        <x:v>야간</x:v>
      </x:c>
      <x:c r="D1187" s="1" t="str">
        <x:v>L2</x:v>
      </x:c>
      <x:c r="E1187" s="1" t="str">
        <x:v>P2</x:v>
      </x:c>
      <x:c r="F1187" s="1" t="str">
        <x:v>M01</x:v>
      </x:c>
      <x:c r="G1187" s="1" t="str">
        <x:v>G04</x:v>
      </x:c>
      <x:c r="H1187" s="5" t="n">
        <x:v>27.76</x:v>
      </x:c>
      <x:c r="I1187" s="5" t="n">
        <x:v>6</x:v>
      </x:c>
      <x:c r="J1187" s="5" t="n">
        <x:v>49.3</x:v>
      </x:c>
      <x:c r="K1187" s="5" t="n">
        <x:v>41.8</x:v>
      </x:c>
      <x:c r="L1187" s="5" t="n">
        <x:v>1.92</x:v>
      </x:c>
      <x:c r="M1187" s="1" t="n">
        <x:v>0</x:v>
      </x:c>
      <x:c r="N1187" s="6" t="n">
        <x:v>1.041</x:v>
      </x:c>
      <x:c r="O1187" s="1" t="str">
        <x:v>합격</x:v>
      </x:c>
      <x:c r="P1187" s="1"/>
      <x:c r="Q1187" s="1" t="n">
        <x:v>39</x:v>
      </x:c>
      <x:c r="R1187" s="1" t="str">
        <x:v>N</x:v>
      </x:c>
      <x:c r="S1187" s="1" t="n">
        <x:v>0</x:v>
      </x:c>
      <x:c r="T1187" s="1" t="str">
        <x:v>합격</x:v>
      </x:c>
    </x:row>
    <x:row r="1188" ht="22" customHeight="1">
      <x:c r="A1188" s="1" t="str">
        <x:v>R01187</x:v>
      </x:c>
      <x:c r="B1188" s="4" t="n">
        <x:v>46212.12668981482</x:v>
      </x:c>
      <x:c r="C1188" s="1" t="str">
        <x:v>야간</x:v>
      </x:c>
      <x:c r="D1188" s="1" t="str">
        <x:v>L1</x:v>
      </x:c>
      <x:c r="E1188" s="1" t="str">
        <x:v>P1</x:v>
      </x:c>
      <x:c r="F1188" s="1" t="str">
        <x:v>M04</x:v>
      </x:c>
      <x:c r="G1188" s="1" t="str">
        <x:v>G05</x:v>
      </x:c>
      <x:c r="H1188" s="5" t="n">
        <x:v>30.44</x:v>
      </x:c>
      <x:c r="I1188" s="5" t="n">
        <x:v>5.83</x:v>
      </x:c>
      <x:c r="J1188" s="5" t="n">
        <x:v>55.6</x:v>
      </x:c>
      <x:c r="K1188" s="5" t="n">
        <x:v>36.8</x:v>
      </x:c>
      <x:c r="L1188" s="5" t="n">
        <x:v>1.63</x:v>
      </x:c>
      <x:c r="M1188" s="1" t="n">
        <x:v>0</x:v>
      </x:c>
      <x:c r="N1188" s="6" t="n">
        <x:v>1.034</x:v>
      </x:c>
      <x:c r="O1188" s="1" t="str">
        <x:v>합격</x:v>
      </x:c>
      <x:c r="P1188" s="1"/>
      <x:c r="Q1188" s="1" t="n">
        <x:v>39</x:v>
      </x:c>
      <x:c r="R1188" s="1" t="str">
        <x:v>N</x:v>
      </x:c>
      <x:c r="S1188" s="1" t="n">
        <x:v>0</x:v>
      </x:c>
      <x:c r="T1188" s="1" t="str">
        <x:v>합격</x:v>
      </x:c>
    </x:row>
    <x:row r="1189" ht="22" customHeight="1">
      <x:c r="A1189" s="1" t="str">
        <x:v>R01188</x:v>
      </x:c>
      <x:c r="B1189" s="4" t="n">
        <x:v>46213.59908564815</x:v>
      </x:c>
      <x:c r="C1189" s="1" t="str">
        <x:v>주간</x:v>
      </x:c>
      <x:c r="D1189" s="1" t="str">
        <x:v>L2</x:v>
      </x:c>
      <x:c r="E1189" s="1" t="str">
        <x:v>P2</x:v>
      </x:c>
      <x:c r="F1189" s="1" t="str">
        <x:v>M02</x:v>
      </x:c>
      <x:c r="G1189" s="1" t="str">
        <x:v>G06</x:v>
      </x:c>
      <x:c r="H1189" s="5" t="n">
        <x:v>28.02</x:v>
      </x:c>
      <x:c r="I1189" s="5" t="n">
        <x:v>5.73</x:v>
      </x:c>
      <x:c r="J1189" s="5" t="n">
        <x:v>48.6</x:v>
      </x:c>
      <x:c r="K1189" s="5" t="n">
        <x:v>38.2</x:v>
      </x:c>
      <x:c r="L1189" s="5" t="n">
        <x:v>2.49</x:v>
      </x:c>
      <x:c r="M1189" s="1" t="n">
        <x:v>0</x:v>
      </x:c>
      <x:c r="N1189" s="6" t="n">
        <x:v>1.005</x:v>
      </x:c>
      <x:c r="O1189" s="1" t="str">
        <x:v>합격</x:v>
      </x:c>
      <x:c r="P1189" s="1"/>
      <x:c r="Q1189" s="1" t="n">
        <x:v>40</x:v>
      </x:c>
      <x:c r="R1189" s="1" t="str">
        <x:v>N</x:v>
      </x:c>
      <x:c r="S1189" s="1" t="n">
        <x:v>0</x:v>
      </x:c>
      <x:c r="T1189" s="1" t="str">
        <x:v>합격</x:v>
      </x:c>
    </x:row>
    <x:row r="1190" ht="22" customHeight="1">
      <x:c r="A1190" s="1" t="str">
        <x:v>R01189</x:v>
      </x:c>
      <x:c r="B1190" s="4" t="n">
        <x:v>46214.57938657407</x:v>
      </x:c>
      <x:c r="C1190" s="1" t="str">
        <x:v>주간</x:v>
      </x:c>
      <x:c r="D1190" s="1" t="str">
        <x:v>L2</x:v>
      </x:c>
      <x:c r="E1190" s="1" t="str">
        <x:v>P2</x:v>
      </x:c>
      <x:c r="F1190" s="1" t="str">
        <x:v>M02</x:v>
      </x:c>
      <x:c r="G1190" s="1" t="str">
        <x:v>G01</x:v>
      </x:c>
      <x:c r="H1190" s="5" t="n">
        <x:v>30.96</x:v>
      </x:c>
      <x:c r="I1190" s="5" t="n">
        <x:v>5.62</x:v>
      </x:c>
      <x:c r="J1190" s="5" t="n">
        <x:v>49.1</x:v>
      </x:c>
      <x:c r="K1190" s="5" t="n">
        <x:v>40.5</x:v>
      </x:c>
      <x:c r="L1190" s="5" t="n">
        <x:v>1.5</x:v>
      </x:c>
      <x:c r="M1190" s="1" t="n">
        <x:v>0</x:v>
      </x:c>
      <x:c r="N1190" s="6" t="n">
        <x:v>0.985</x:v>
      </x:c>
      <x:c r="O1190" s="1" t="str">
        <x:v>합격</x:v>
      </x:c>
      <x:c r="P1190" s="1"/>
      <x:c r="Q1190" s="1" t="n">
        <x:v>49</x:v>
      </x:c>
      <x:c r="R1190" s="1" t="str">
        <x:v>N</x:v>
      </x:c>
      <x:c r="S1190" s="1" t="n">
        <x:v>0</x:v>
      </x:c>
      <x:c r="T1190" s="1" t="str">
        <x:v>합격</x:v>
      </x:c>
    </x:row>
    <x:row r="1191" ht="22" customHeight="1">
      <x:c r="A1191" s="1" t="str">
        <x:v>R01190</x:v>
      </x:c>
      <x:c r="B1191" s="4" t="n">
        <x:v>46215.927199074074</x:v>
      </x:c>
      <x:c r="C1191" s="1" t="str">
        <x:v>야간</x:v>
      </x:c>
      <x:c r="D1191" s="1" t="str">
        <x:v>L1</x:v>
      </x:c>
      <x:c r="E1191" s="1" t="str">
        <x:v>P1</x:v>
      </x:c>
      <x:c r="F1191" s="1" t="str">
        <x:v>M04</x:v>
      </x:c>
      <x:c r="G1191" s="1" t="str">
        <x:v>G02</x:v>
      </x:c>
      <x:c r="H1191" s="5" t="n">
        <x:v>27.52</x:v>
      </x:c>
      <x:c r="I1191" s="5" t="n">
        <x:v>5.76</x:v>
      </x:c>
      <x:c r="J1191" s="5" t="n">
        <x:v>50.8</x:v>
      </x:c>
      <x:c r="K1191" s="5" t="n">
        <x:v>40</x:v>
      </x:c>
      <x:c r="L1191" s="5" t="n">
        <x:v>2.24</x:v>
      </x:c>
      <x:c r="M1191" s="1" t="n">
        <x:v>0</x:v>
      </x:c>
      <x:c r="N1191" s="6" t="n">
        <x:v>0.913</x:v>
      </x:c>
      <x:c r="O1191" s="1" t="str">
        <x:v>합격</x:v>
      </x:c>
      <x:c r="P1191" s="1"/>
      <x:c r="Q1191" s="1" t="n">
        <x:v>49</x:v>
      </x:c>
      <x:c r="R1191" s="1" t="str">
        <x:v>N</x:v>
      </x:c>
      <x:c r="S1191" s="1" t="n">
        <x:v>0</x:v>
      </x:c>
      <x:c r="T1191" s="1" t="str">
        <x:v>합격</x:v>
      </x:c>
    </x:row>
    <x:row r="1192" ht="22" customHeight="1">
      <x:c r="A1192" s="1" t="str">
        <x:v>R01191</x:v>
      </x:c>
      <x:c r="B1192" s="4" t="n">
        <x:v>46216.43699074074</x:v>
      </x:c>
      <x:c r="C1192" s="1" t="str">
        <x:v>주간</x:v>
      </x:c>
      <x:c r="D1192" s="1" t="str">
        <x:v>L2</x:v>
      </x:c>
      <x:c r="E1192" s="1" t="str">
        <x:v>P2</x:v>
      </x:c>
      <x:c r="F1192" s="1" t="str">
        <x:v>M02</x:v>
      </x:c>
      <x:c r="G1192" s="1" t="str">
        <x:v>G03</x:v>
      </x:c>
      <x:c r="H1192" s="5" t="n">
        <x:v>28.8</x:v>
      </x:c>
      <x:c r="I1192" s="5" t="n">
        <x:v>5.97</x:v>
      </x:c>
      <x:c r="J1192" s="5" t="n">
        <x:v>52.8</x:v>
      </x:c>
      <x:c r="K1192" s="5" t="n">
        <x:v>36.4</x:v>
      </x:c>
      <x:c r="L1192" s="5" t="n">
        <x:v>2.57</x:v>
      </x:c>
      <x:c r="M1192" s="1" t="n">
        <x:v>0</x:v>
      </x:c>
      <x:c r="N1192" s="6" t="n">
        <x:v>0.874</x:v>
      </x:c>
      <x:c r="O1192" s="1" t="str">
        <x:v>합격</x:v>
      </x:c>
      <x:c r="P1192" s="1"/>
      <x:c r="Q1192" s="1" t="n">
        <x:v>36</x:v>
      </x:c>
      <x:c r="R1192" s="1" t="str">
        <x:v>N</x:v>
      </x:c>
      <x:c r="S1192" s="1" t="n">
        <x:v>0</x:v>
      </x:c>
      <x:c r="T1192" s="1" t="str">
        <x:v>합격</x:v>
      </x:c>
    </x:row>
    <x:row r="1193" ht="22" customHeight="1">
      <x:c r="A1193" s="1" t="str">
        <x:v>R01192</x:v>
      </x:c>
      <x:c r="B1193" s="4" t="n">
        <x:v>46217.8665625</x:v>
      </x:c>
      <x:c r="C1193" s="1" t="str">
        <x:v>야간</x:v>
      </x:c>
      <x:c r="D1193" s="1" t="str">
        <x:v>L2</x:v>
      </x:c>
      <x:c r="E1193" s="1" t="str">
        <x:v>P2</x:v>
      </x:c>
      <x:c r="F1193" s="1" t="str">
        <x:v>M01</x:v>
      </x:c>
      <x:c r="G1193" s="1" t="str">
        <x:v>G04</x:v>
      </x:c>
      <x:c r="H1193" s="5" t="n">
        <x:v>30.1</x:v>
      </x:c>
      <x:c r="I1193" s="5" t="n">
        <x:v>5.77</x:v>
      </x:c>
      <x:c r="J1193" s="5" t="n">
        <x:v>54.6</x:v>
      </x:c>
      <x:c r="K1193" s="5" t="n">
        <x:v>38.5</x:v>
      </x:c>
      <x:c r="L1193" s="5" t="n">
        <x:v>1.58</x:v>
      </x:c>
      <x:c r="M1193" s="1" t="n">
        <x:v>0</x:v>
      </x:c>
      <x:c r="N1193" s="6" t="n">
        <x:v>0.985</x:v>
      </x:c>
      <x:c r="O1193" s="1" t="str">
        <x:v>합격</x:v>
      </x:c>
      <x:c r="P1193" s="1"/>
      <x:c r="Q1193" s="1" t="n">
        <x:v>42</x:v>
      </x:c>
      <x:c r="R1193" s="1" t="str">
        <x:v>N</x:v>
      </x:c>
      <x:c r="S1193" s="1" t="n">
        <x:v>0</x:v>
      </x:c>
      <x:c r="T1193" s="1" t="str">
        <x:v>합격</x:v>
      </x:c>
    </x:row>
    <x:row r="1194" ht="22" customHeight="1">
      <x:c r="A1194" s="1" t="str">
        <x:v>R01193</x:v>
      </x:c>
      <x:c r="B1194" s="4" t="n">
        <x:v>46218.47443287037</x:v>
      </x:c>
      <x:c r="C1194" s="1" t="str">
        <x:v>주간</x:v>
      </x:c>
      <x:c r="D1194" s="1" t="str">
        <x:v>L2</x:v>
      </x:c>
      <x:c r="E1194" s="1" t="str">
        <x:v>P2</x:v>
      </x:c>
      <x:c r="F1194" s="1" t="str">
        <x:v>M02</x:v>
      </x:c>
      <x:c r="G1194" s="1" t="str">
        <x:v>G05</x:v>
      </x:c>
      <x:c r="H1194" s="5" t="n">
        <x:v>27.55</x:v>
      </x:c>
      <x:c r="I1194" s="5" t="n">
        <x:v>5.72</x:v>
      </x:c>
      <x:c r="J1194" s="5" t="n">
        <x:v>54.4</x:v>
      </x:c>
      <x:c r="K1194" s="5" t="n">
        <x:v>41.4</x:v>
      </x:c>
      <x:c r="L1194" s="5" t="n">
        <x:v>2.37</x:v>
      </x:c>
      <x:c r="M1194" s="1" t="n">
        <x:v>0</x:v>
      </x:c>
      <x:c r="N1194" s="6" t="n">
        <x:v>0.894</x:v>
      </x:c>
      <x:c r="O1194" s="1" t="str">
        <x:v>합격</x:v>
      </x:c>
      <x:c r="P1194" s="1"/>
      <x:c r="Q1194" s="1" t="n">
        <x:v>37</x:v>
      </x:c>
      <x:c r="R1194" s="1" t="str">
        <x:v>N</x:v>
      </x:c>
      <x:c r="S1194" s="1" t="n">
        <x:v>0</x:v>
      </x:c>
      <x:c r="T1194" s="1" t="str">
        <x:v>합격</x:v>
      </x:c>
    </x:row>
    <x:row r="1195" ht="22" customHeight="1">
      <x:c r="A1195" s="1" t="str">
        <x:v>R01194</x:v>
      </x:c>
      <x:c r="B1195" s="4" t="n">
        <x:v>46219.582233796296</x:v>
      </x:c>
      <x:c r="C1195" s="1" t="str">
        <x:v>주간</x:v>
      </x:c>
      <x:c r="D1195" s="1" t="str">
        <x:v>L1</x:v>
      </x:c>
      <x:c r="E1195" s="1" t="str">
        <x:v>P1</x:v>
      </x:c>
      <x:c r="F1195" s="1" t="str">
        <x:v>M01</x:v>
      </x:c>
      <x:c r="G1195" s="1" t="str">
        <x:v>G06</x:v>
      </x:c>
      <x:c r="H1195" s="5" t="n">
        <x:v>27.59</x:v>
      </x:c>
      <x:c r="I1195" s="5" t="n">
        <x:v>5.87</x:v>
      </x:c>
      <x:c r="J1195" s="5" t="n">
        <x:v>50.1</x:v>
      </x:c>
      <x:c r="K1195" s="5" t="n">
        <x:v>37.1</x:v>
      </x:c>
      <x:c r="L1195" s="5" t="n">
        <x:v>1.94</x:v>
      </x:c>
      <x:c r="M1195" s="1" t="n">
        <x:v>0</x:v>
      </x:c>
      <x:c r="N1195" s="6" t="n">
        <x:v>0.96</x:v>
      </x:c>
      <x:c r="O1195" s="1" t="str">
        <x:v>합격</x:v>
      </x:c>
      <x:c r="P1195" s="1"/>
      <x:c r="Q1195" s="1" t="n">
        <x:v>38</x:v>
      </x:c>
      <x:c r="R1195" s="1" t="str">
        <x:v>N</x:v>
      </x:c>
      <x:c r="S1195" s="1" t="n">
        <x:v>0</x:v>
      </x:c>
      <x:c r="T1195" s="1" t="str">
        <x:v>합격</x:v>
      </x:c>
    </x:row>
    <x:row r="1196" ht="22" customHeight="1">
      <x:c r="A1196" s="1" t="str">
        <x:v>R01195</x:v>
      </x:c>
      <x:c r="B1196" s="4" t="n">
        <x:v>46220.96420138889</x:v>
      </x:c>
      <x:c r="C1196" s="1" t="str">
        <x:v>야간</x:v>
      </x:c>
      <x:c r="D1196" s="1" t="str">
        <x:v>L1</x:v>
      </x:c>
      <x:c r="E1196" s="1" t="str">
        <x:v>P1</x:v>
      </x:c>
      <x:c r="F1196" s="1" t="str">
        <x:v>M03</x:v>
      </x:c>
      <x:c r="G1196" s="1" t="str">
        <x:v>G01</x:v>
      </x:c>
      <x:c r="H1196" s="5" t="n">
        <x:v>32.44</x:v>
      </x:c>
      <x:c r="I1196" s="5" t="n">
        <x:v>5.91</x:v>
      </x:c>
      <x:c r="J1196" s="5" t="n">
        <x:v>55.1</x:v>
      </x:c>
      <x:c r="K1196" s="5" t="n">
        <x:v>39</x:v>
      </x:c>
      <x:c r="L1196" s="5" t="n">
        <x:v>2.66</x:v>
      </x:c>
      <x:c r="M1196" s="1" t="n">
        <x:v>1</x:v>
      </x:c>
      <x:c r="N1196" s="6" t="n">
        <x:v>0.856</x:v>
      </x:c>
      <x:c r="O1196" s="1" t="str">
        <x:v>합격</x:v>
      </x:c>
      <x:c r="P1196" s="1"/>
      <x:c r="Q1196" s="1" t="n">
        <x:v>46</x:v>
      </x:c>
      <x:c r="R1196" s="1" t="str">
        <x:v>N</x:v>
      </x:c>
      <x:c r="S1196" s="1" t="n">
        <x:v>0</x:v>
      </x:c>
      <x:c r="T1196" s="1" t="str">
        <x:v>합격</x:v>
      </x:c>
    </x:row>
    <x:row r="1197" ht="22" customHeight="1">
      <x:c r="A1197" s="1" t="str">
        <x:v>R01196</x:v>
      </x:c>
      <x:c r="B1197" s="4" t="n">
        <x:v>46221.65329861111</x:v>
      </x:c>
      <x:c r="C1197" s="1" t="str">
        <x:v>주간</x:v>
      </x:c>
      <x:c r="D1197" s="1" t="str">
        <x:v>L1</x:v>
      </x:c>
      <x:c r="E1197" s="1" t="str">
        <x:v>P1</x:v>
      </x:c>
      <x:c r="F1197" s="1" t="str">
        <x:v>M01</x:v>
      </x:c>
      <x:c r="G1197" s="1" t="str">
        <x:v>G02</x:v>
      </x:c>
      <x:c r="H1197" s="5" t="n">
        <x:v>30.57</x:v>
      </x:c>
      <x:c r="I1197" s="5" t="n">
        <x:v>5.78</x:v>
      </x:c>
      <x:c r="J1197" s="5" t="n">
        <x:v>47.9</x:v>
      </x:c>
      <x:c r="K1197" s="5" t="n">
        <x:v>36.9</x:v>
      </x:c>
      <x:c r="L1197" s="5" t="n">
        <x:v>2.22</x:v>
      </x:c>
      <x:c r="M1197" s="1" t="n">
        <x:v>1</x:v>
      </x:c>
      <x:c r="N1197" s="6" t="n">
        <x:v>1.019</x:v>
      </x:c>
      <x:c r="O1197" s="1" t="str">
        <x:v>합격</x:v>
      </x:c>
      <x:c r="P1197" s="1"/>
      <x:c r="Q1197" s="1" t="n">
        <x:v>43</x:v>
      </x:c>
      <x:c r="R1197" s="1" t="str">
        <x:v>N</x:v>
      </x:c>
      <x:c r="S1197" s="1" t="n">
        <x:v>0</x:v>
      </x:c>
      <x:c r="T1197" s="1" t="str">
        <x:v>합격</x:v>
      </x:c>
    </x:row>
    <x:row r="1198" ht="22" customHeight="1">
      <x:c r="A1198" s="1" t="str">
        <x:v>R01197</x:v>
      </x:c>
      <x:c r="B1198" s="4" t="n">
        <x:v>46222.44966435185</x:v>
      </x:c>
      <x:c r="C1198" s="1" t="str">
        <x:v>주간</x:v>
      </x:c>
      <x:c r="D1198" s="1" t="str">
        <x:v>L2</x:v>
      </x:c>
      <x:c r="E1198" s="1" t="str">
        <x:v>P2</x:v>
      </x:c>
      <x:c r="F1198" s="1" t="str">
        <x:v>M02</x:v>
      </x:c>
      <x:c r="G1198" s="1" t="str">
        <x:v>G03</x:v>
      </x:c>
      <x:c r="H1198" s="5" t="n">
        <x:v>28.71</x:v>
      </x:c>
      <x:c r="I1198" s="5" t="n">
        <x:v>5.76</x:v>
      </x:c>
      <x:c r="J1198" s="5" t="n">
        <x:v>51.7</x:v>
      </x:c>
      <x:c r="K1198" s="5" t="n">
        <x:v>40</x:v>
      </x:c>
      <x:c r="L1198" s="5" t="n">
        <x:v>2.62</x:v>
      </x:c>
      <x:c r="M1198" s="1" t="n">
        <x:v>0</x:v>
      </x:c>
      <x:c r="N1198" s="6" t="n">
        <x:v>0.999</x:v>
      </x:c>
      <x:c r="O1198" s="1" t="str">
        <x:v>합격</x:v>
      </x:c>
      <x:c r="P1198" s="1"/>
      <x:c r="Q1198" s="1" t="n">
        <x:v>43</x:v>
      </x:c>
      <x:c r="R1198" s="1" t="str">
        <x:v>N</x:v>
      </x:c>
      <x:c r="S1198" s="1" t="n">
        <x:v>0</x:v>
      </x:c>
      <x:c r="T1198" s="1" t="str">
        <x:v>합격</x:v>
      </x:c>
    </x:row>
    <x:row r="1199" ht="22" customHeight="1">
      <x:c r="A1199" s="1" t="str">
        <x:v>R01198</x:v>
      </x:c>
      <x:c r="B1199" s="4" t="n">
        <x:v>46223.38164351852</x:v>
      </x:c>
      <x:c r="C1199" s="1" t="str">
        <x:v>주간</x:v>
      </x:c>
      <x:c r="D1199" s="1" t="str">
        <x:v>L1</x:v>
      </x:c>
      <x:c r="E1199" s="1" t="str">
        <x:v>P1</x:v>
      </x:c>
      <x:c r="F1199" s="1" t="str">
        <x:v>M03</x:v>
      </x:c>
      <x:c r="G1199" s="1" t="str">
        <x:v>G04</x:v>
      </x:c>
      <x:c r="H1199" s="5" t="n">
        <x:v>27.47</x:v>
      </x:c>
      <x:c r="I1199" s="5" t="n">
        <x:v>5.99</x:v>
      </x:c>
      <x:c r="J1199" s="5" t="n">
        <x:v>51</x:v>
      </x:c>
      <x:c r="K1199" s="5" t="n">
        <x:v>35.3</x:v>
      </x:c>
      <x:c r="L1199" s="5" t="n">
        <x:v>1.56</x:v>
      </x:c>
      <x:c r="M1199" s="1" t="n">
        <x:v>1</x:v>
      </x:c>
      <x:c r="N1199" s="6" t="n">
        <x:v>0.918</x:v>
      </x:c>
      <x:c r="O1199" s="1" t="str">
        <x:v>합격</x:v>
      </x:c>
      <x:c r="P1199" s="1"/>
      <x:c r="Q1199" s="1" t="n">
        <x:v>46</x:v>
      </x:c>
      <x:c r="R1199" s="1" t="str">
        <x:v>N</x:v>
      </x:c>
      <x:c r="S1199" s="1" t="n">
        <x:v>0</x:v>
      </x:c>
      <x:c r="T1199" s="1" t="str">
        <x:v>합격</x:v>
      </x:c>
    </x:row>
    <x:row r="1200" ht="22" customHeight="1">
      <x:c r="A1200" s="1" t="str">
        <x:v>R01199</x:v>
      </x:c>
      <x:c r="B1200" s="4" t="n">
        <x:v>46224.48189814815</x:v>
      </x:c>
      <x:c r="C1200" s="1" t="str">
        <x:v>주간</x:v>
      </x:c>
      <x:c r="D1200" s="1" t="str">
        <x:v>L2</x:v>
      </x:c>
      <x:c r="E1200" s="1" t="str">
        <x:v>P2</x:v>
      </x:c>
      <x:c r="F1200" s="1" t="str">
        <x:v>M04</x:v>
      </x:c>
      <x:c r="G1200" s="1" t="str">
        <x:v>G05</x:v>
      </x:c>
      <x:c r="H1200" s="5" t="n">
        <x:v>31.81</x:v>
      </x:c>
      <x:c r="I1200" s="5" t="n">
        <x:v>5.69</x:v>
      </x:c>
      <x:c r="J1200" s="5" t="n">
        <x:v>48.3</x:v>
      </x:c>
      <x:c r="K1200" s="5" t="n">
        <x:v>41</x:v>
      </x:c>
      <x:c r="L1200" s="5" t="n">
        <x:v>2.38</x:v>
      </x:c>
      <x:c r="M1200" s="1" t="n">
        <x:v>0</x:v>
      </x:c>
      <x:c r="N1200" s="6" t="n">
        <x:v>1.029</x:v>
      </x:c>
      <x:c r="O1200" s="1" t="str">
        <x:v>합격</x:v>
      </x:c>
      <x:c r="P1200" s="1"/>
      <x:c r="Q1200" s="1" t="n">
        <x:v>45</x:v>
      </x:c>
      <x:c r="R1200" s="1" t="str">
        <x:v>N</x:v>
      </x:c>
      <x:c r="S1200" s="1" t="n">
        <x:v>0</x:v>
      </x:c>
      <x:c r="T1200" s="1" t="str">
        <x:v>합격</x:v>
      </x:c>
    </x:row>
    <x:row r="1201" ht="22" customHeight="1">
      <x:c r="A1201" s="1" t="str">
        <x:v>R01200</x:v>
      </x:c>
      <x:c r="B1201" s="4" t="n">
        <x:v>46225.99010416667</x:v>
      </x:c>
      <x:c r="C1201" s="1" t="str">
        <x:v>야간</x:v>
      </x:c>
      <x:c r="D1201" s="1" t="str">
        <x:v>L1</x:v>
      </x:c>
      <x:c r="E1201" s="1" t="str">
        <x:v>P1</x:v>
      </x:c>
      <x:c r="F1201" s="1" t="str">
        <x:v>M04</x:v>
      </x:c>
      <x:c r="G1201" s="1" t="str">
        <x:v>G06</x:v>
      </x:c>
      <x:c r="H1201" s="5" t="n">
        <x:v>32.27</x:v>
      </x:c>
      <x:c r="I1201" s="5" t="n">
        <x:v>5.86</x:v>
      </x:c>
      <x:c r="J1201" s="5" t="n">
        <x:v>54.5</x:v>
      </x:c>
      <x:c r="K1201" s="5" t="n">
        <x:v>36.9</x:v>
      </x:c>
      <x:c r="L1201" s="5" t="n">
        <x:v>1.37</x:v>
      </x:c>
      <x:c r="M1201" s="1" t="n">
        <x:v>1</x:v>
      </x:c>
      <x:c r="N1201" s="6" t="n">
        <x:v>1.017</x:v>
      </x:c>
      <x:c r="O1201" s="1" t="str">
        <x:v>합격</x:v>
      </x:c>
      <x:c r="P1201" s="1"/>
      <x:c r="Q1201" s="1" t="n">
        <x:v>35</x:v>
      </x:c>
      <x:c r="R1201" s="1" t="str">
        <x:v>N</x:v>
      </x:c>
      <x:c r="S1201" s="1" t="n">
        <x:v>0</x:v>
      </x:c>
      <x:c r="T1201" s="1" t="str">
        <x:v>합격</x:v>
      </x:c>
    </x:row>
  </x:sheetData>
  <x:pageMargins left="0.7" right="0.7" top="0.75" bottom="0.75" header="0.3" footer="0.3"/>
  <x:tableParts count="1">
    <x:tablePart xmlns:r="http://schemas.openxmlformats.org/officeDocument/2006/relationships" r:id="Rec41f0bfa98f40e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65" hidden="0" customWidth="1"/>
  </x:cols>
  <x:sheetData>
    <x:row r="1" ht="30" customHeight="1">
      <x:c r="A1" s="3" t="str">
        <x:v>record_id</x:v>
      </x:c>
      <x:c r="B1" s="3" t="str">
        <x:v>timestamp</x:v>
      </x:c>
      <x:c r="C1" s="3" t="str">
        <x:v>torque_nm_restored</x:v>
      </x:c>
      <x:c r="D1" s="3" t="str">
        <x:v>근거</x:v>
      </x:c>
    </x:row>
    <x:row r="2" ht="22" customHeight="1">
      <x:c r="A2" s="1" t="str">
        <x:v>R00845</x:v>
      </x:c>
      <x:c r="B2" s="4" t="n">
        <x:v>46211.65122685185</x:v>
      </x:c>
      <x:c r="C2" s="1" t="n">
        <x:v>30.65</x:v>
      </x:c>
      <x:c r="D2" s="1" t="str">
        <x:v>교육용 합성 센서로그: 정상범위 복원 실습</x:v>
      </x:c>
    </x:row>
    <x:row r="3" ht="22" customHeight="1">
      <x:c r="A3" s="1" t="str">
        <x:v>R00268</x:v>
      </x:c>
      <x:c r="B3" s="4" t="n">
        <x:v>46223.406805555554</x:v>
      </x:c>
      <x:c r="C3" s="1" t="n">
        <x:v>31.59</x:v>
      </x:c>
      <x:c r="D3" s="1" t="str">
        <x:v>교육용 합성 센서로그: 정상범위 복원 실습</x:v>
      </x:c>
    </x:row>
    <x:row r="4" ht="22" customHeight="1">
      <x:c r="A4" s="1" t="str">
        <x:v>R00351</x:v>
      </x:c>
      <x:c r="B4" s="4" t="n">
        <x:v>46213.443125</x:v>
      </x:c>
      <x:c r="C4" s="1" t="n">
        <x:v>32.01</x:v>
      </x:c>
      <x:c r="D4" s="1" t="str">
        <x:v>교육용 합성 센서로그: 정상범위 복원 실습</x:v>
      </x:c>
    </x:row>
    <x:row r="5" ht="22" customHeight="1">
      <x:c r="A5" s="1" t="str">
        <x:v>R00740</x:v>
      </x:c>
      <x:c r="B5" s="4" t="n">
        <x:v>46230.449849537035</x:v>
      </x:c>
      <x:c r="C5" s="1" t="n">
        <x:v>31.04</x:v>
      </x:c>
      <x:c r="D5" s="1" t="str">
        <x:v>교육용 합성 센서로그: 정상범위 복원 실습</x:v>
      </x:c>
    </x:row>
    <x:row r="6" ht="22" customHeight="1">
      <x:c r="A6" s="1" t="str">
        <x:v>R00655</x:v>
      </x:c>
      <x:c r="B6" s="4" t="n">
        <x:v>46207.59122685185</x:v>
      </x:c>
      <x:c r="C6" s="1" t="n">
        <x:v>30.45</x:v>
      </x:c>
      <x:c r="D6" s="1" t="str">
        <x:v>교육용 합성 센서로그: 정상범위 복원 실습</x:v>
      </x:c>
    </x:row>
    <x:row r="7" ht="22" customHeight="1">
      <x:c r="A7" s="1" t="str">
        <x:v>R00472</x:v>
      </x:c>
      <x:c r="B7" s="4" t="n">
        <x:v>46210.58456018518</x:v>
      </x:c>
      <x:c r="C7" s="1" t="n">
        <x:v>29.2</x:v>
      </x:c>
      <x:c r="D7" s="1" t="str">
        <x:v>교육용 합성 센서로그: 정상범위 복원 실습</x:v>
      </x:c>
    </x:row>
    <x:row r="8" ht="22" customHeight="1">
      <x:c r="A8" s="1" t="str">
        <x:v>R00892</x:v>
      </x:c>
      <x:c r="B8" s="4" t="n">
        <x:v>46227.33525462963</x:v>
      </x:c>
      <x:c r="C8" s="1" t="n">
        <x:v>31.96</x:v>
      </x:c>
      <x:c r="D8" s="1" t="str">
        <x:v>교육용 합성 센서로그: 정상범위 복원 실습</x:v>
      </x:c>
    </x:row>
    <x:row r="9" ht="22" customHeight="1">
      <x:c r="A9" s="1" t="str">
        <x:v>R00196</x:v>
      </x:c>
      <x:c r="B9" s="4" t="n">
        <x:v>46213.54331018519</x:v>
      </x:c>
      <x:c r="C9" s="1" t="n">
        <x:v>30.88</x:v>
      </x:c>
      <x:c r="D9" s="1" t="str">
        <x:v>교육용 합성 센서로그: 정상범위 복원 실습</x:v>
      </x:c>
    </x:row>
    <x:row r="10" ht="22" customHeight="1">
      <x:c r="A10" s="1" t="str">
        <x:v>R00349</x:v>
      </x:c>
      <x:c r="B10" s="4" t="n">
        <x:v>46211.564571759256</x:v>
      </x:c>
      <x:c r="C10" s="1" t="n">
        <x:v>31.76</x:v>
      </x:c>
      <x:c r="D10" s="1" t="str">
        <x:v>교육용 합성 센서로그: 정상범위 복원 실습</x:v>
      </x:c>
    </x:row>
    <x:row r="11" ht="22" customHeight="1">
      <x:c r="A11" s="1" t="str">
        <x:v>R00290</x:v>
      </x:c>
      <x:c r="B11" s="4" t="n">
        <x:v>46214.616006944445</x:v>
      </x:c>
      <x:c r="C11" s="1" t="n">
        <x:v>30.65</x:v>
      </x:c>
      <x:c r="D11" s="1" t="str">
        <x:v>교육용 합성 센서로그: 정상범위 복원 실습</x:v>
      </x:c>
    </x:row>
    <x:row r="12" ht="22" customHeight="1">
      <x:c r="A12" s="1" t="str">
        <x:v>R00613</x:v>
      </x:c>
      <x:c r="B12" s="4" t="n">
        <x:v>46227.59946759259</x:v>
      </x:c>
      <x:c r="C12" s="1" t="n">
        <x:v>30.33</x:v>
      </x:c>
      <x:c r="D12" s="1" t="str">
        <x:v>교육용 합성 센서로그: 정상범위 복원 실습</x:v>
      </x:c>
    </x:row>
    <x:row r="13" ht="22" customHeight="1">
      <x:c r="A13" s="1" t="str">
        <x:v>R00951</x:v>
      </x:c>
      <x:c r="B13" s="4" t="n">
        <x:v>46224.538773148146</x:v>
      </x:c>
      <x:c r="C13" s="1" t="n">
        <x:v>31.54</x:v>
      </x:c>
      <x:c r="D13" s="1" t="str">
        <x:v>교육용 합성 센서로그: 정상범위 복원 실습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8" hidden="0" customWidth="1"/>
    <x:col min="7" max="7" width="48" hidden="0" customWidth="1"/>
  </x:cols>
  <x:sheetData>
    <x:row r="1" ht="42" customHeight="1">
      <x:c r="A1" s="7" t="str">
        <x:v>변수명</x:v>
      </x:c>
      <x:c r="B1" s="7" t="str">
        <x:v>한글명</x:v>
      </x:c>
      <x:c r="C1" s="7" t="str">
        <x:v>형식</x:v>
      </x:c>
      <x:c r="D1" s="7" t="str">
        <x:v>단위</x:v>
      </x:c>
      <x:c r="E1" s="7" t="str">
        <x:v>생성시점</x:v>
      </x:c>
      <x:c r="F1" s="7" t="str">
        <x:v>설명</x:v>
      </x:c>
      <x:c r="G1" s="7" t="str">
        <x:v>분석 시 주의</x:v>
      </x:c>
    </x:row>
    <x:row r="2" ht="42" customHeight="1">
      <x:c r="A2" s="8" t="str">
        <x:v>record_id</x:v>
      </x:c>
      <x:c r="B2" s="8" t="str">
        <x:v>기록 ID</x:v>
      </x:c>
      <x:c r="C2" s="8" t="str">
        <x:v>문자</x:v>
      </x:c>
      <x:c r="D2" s="8" t="str">
        <x:v>없음</x:v>
      </x:c>
      <x:c r="E2" s="8" t="str">
        <x:v>공정 시작</x:v>
      </x:c>
      <x:c r="F2" s="8" t="str">
        <x:v>제품 1대의 고유 식별자</x:v>
      </x:c>
      <x:c r="G2" s="8" t="str">
        <x:v>모델 입력 제외</x:v>
      </x:c>
    </x:row>
    <x:row r="3" ht="42" customHeight="1">
      <x:c r="A3" s="8" t="str">
        <x:v>timestamp</x:v>
      </x:c>
      <x:c r="B3" s="8" t="str">
        <x:v>기록시각</x:v>
      </x:c>
      <x:c r="C3" s="8" t="str">
        <x:v>일시</x:v>
      </x:c>
      <x:c r="D3" s="8" t="str">
        <x:v>년월일 시분</x:v>
      </x:c>
      <x:c r="E3" s="8" t="str">
        <x:v>공정 중</x:v>
      </x:c>
      <x:c r="F3" s="8" t="str">
        <x:v>공정 기록 시각</x:v>
      </x:c>
      <x:c r="G3" s="8" t="str">
        <x:v>시간 순서와 기간 확인</x:v>
      </x:c>
    </x:row>
    <x:row r="4" ht="42" customHeight="1">
      <x:c r="A4" s="8" t="str">
        <x:v>shift</x:v>
      </x:c>
      <x:c r="B4" s="8" t="str">
        <x:v>근무조</x:v>
      </x:c>
      <x:c r="C4" s="8" t="str">
        <x:v>범주</x:v>
      </x:c>
      <x:c r="D4" s="8" t="str">
        <x:v>없음</x:v>
      </x:c>
      <x:c r="E4" s="8" t="str">
        <x:v>공정 전</x:v>
      </x:c>
      <x:c r="F4" s="8" t="str">
        <x:v>주간 또는 야간</x:v>
      </x:c>
      <x:c r="G4" s="8" t="str">
        <x:v>원인으로 단정하지 않음</x:v>
      </x:c>
    </x:row>
    <x:row r="5" ht="42" customHeight="1">
      <x:c r="A5" s="8" t="str">
        <x:v>line_id</x:v>
      </x:c>
      <x:c r="B5" s="8" t="str">
        <x:v>라인</x:v>
      </x:c>
      <x:c r="C5" s="8" t="str">
        <x:v>범주</x:v>
      </x:c>
      <x:c r="D5" s="8" t="str">
        <x:v>없음</x:v>
      </x:c>
      <x:c r="E5" s="8" t="str">
        <x:v>공정 전</x:v>
      </x:c>
      <x:c r="F5" s="8" t="str">
        <x:v>L1 또는 L2</x:v>
      </x:c>
      <x:c r="G5" s="8" t="str">
        <x:v>라인별 제품구성 확인</x:v>
      </x:c>
    </x:row>
    <x:row r="6" ht="42" customHeight="1">
      <x:c r="A6" s="8" t="str">
        <x:v>product_model</x:v>
      </x:c>
      <x:c r="B6" s="8" t="str">
        <x:v>제품모델</x:v>
      </x:c>
      <x:c r="C6" s="8" t="str">
        <x:v>범주</x:v>
      </x:c>
      <x:c r="D6" s="8" t="str">
        <x:v>없음</x:v>
      </x:c>
      <x:c r="E6" s="8" t="str">
        <x:v>공정 전</x:v>
      </x:c>
      <x:c r="F6" s="8" t="str">
        <x:v>P1 또는 P2</x:v>
      </x:c>
      <x:c r="G6" s="8" t="str">
        <x:v>그룹 비교 조건</x:v>
      </x:c>
    </x:row>
    <x:row r="7" ht="42" customHeight="1">
      <x:c r="A7" s="8" t="str">
        <x:v>equipment_id</x:v>
      </x:c>
      <x:c r="B7" s="8" t="str">
        <x:v>설비 ID</x:v>
      </x:c>
      <x:c r="C7" s="8" t="str">
        <x:v>범주</x:v>
      </x:c>
      <x:c r="D7" s="8" t="str">
        <x:v>없음</x:v>
      </x:c>
      <x:c r="E7" s="8" t="str">
        <x:v>공정 전</x:v>
      </x:c>
      <x:c r="F7" s="8" t="str">
        <x:v>M01~M04</x:v>
      </x:c>
      <x:c r="G7" s="8" t="str">
        <x:v>설비팀 핵심 분석단위</x:v>
      </x:c>
    </x:row>
    <x:row r="8" ht="42" customHeight="1">
      <x:c r="A8" s="8" t="str">
        <x:v>operator_group</x:v>
      </x:c>
      <x:c r="B8" s="8" t="str">
        <x:v>작업그룹</x:v>
      </x:c>
      <x:c r="C8" s="8" t="str">
        <x:v>범주</x:v>
      </x:c>
      <x:c r="D8" s="8" t="str">
        <x:v>없음</x:v>
      </x:c>
      <x:c r="E8" s="8" t="str">
        <x:v>공정 전</x:v>
      </x:c>
      <x:c r="F8" s="8" t="str">
        <x:v>G01~G06</x:v>
      </x:c>
      <x:c r="G8" s="8" t="str">
        <x:v>개인 책임 추론 금지</x:v>
      </x:c>
    </x:row>
    <x:row r="9" ht="42" customHeight="1">
      <x:c r="A9" s="8" t="str">
        <x:v>torque_nm</x:v>
      </x:c>
      <x:c r="B9" s="8" t="str">
        <x:v>체결토크</x:v>
      </x:c>
      <x:c r="C9" s="8" t="str">
        <x:v>수치</x:v>
      </x:c>
      <x:c r="D9" s="8" t="str">
        <x:v>N·m</x:v>
      </x:c>
      <x:c r="E9" s="8" t="str">
        <x:v>공정 중</x:v>
      </x:c>
      <x:c r="F9" s="8" t="str">
        <x:v>체결공정 실측값</x:v>
      </x:c>
      <x:c r="G9" s="8" t="str">
        <x:v>결측 12건 포함</x:v>
      </x:c>
    </x:row>
    <x:row r="10" ht="42" customHeight="1">
      <x:c r="A10" s="8" t="str">
        <x:v>pressure_bar</x:v>
      </x:c>
      <x:c r="B10" s="8" t="str">
        <x:v>공정압력</x:v>
      </x:c>
      <x:c r="C10" s="8" t="str">
        <x:v>수치</x:v>
      </x:c>
      <x:c r="D10" s="8" t="str">
        <x:v>bar</x:v>
      </x:c>
      <x:c r="E10" s="8" t="str">
        <x:v>공정 중</x:v>
      </x:c>
      <x:c r="F10" s="8" t="str">
        <x:v>공정 압력 실측값</x:v>
      </x:c>
      <x:c r="G10" s="8" t="str">
        <x:v>범위 확인</x:v>
      </x:c>
    </x:row>
    <x:row r="11" ht="42" customHeight="1">
      <x:c r="A11" s="8" t="str">
        <x:v>cycle_time_sec</x:v>
      </x:c>
      <x:c r="B11" s="8" t="str">
        <x:v>사이클타임</x:v>
      </x:c>
      <x:c r="C11" s="8" t="str">
        <x:v>수치</x:v>
      </x:c>
      <x:c r="D11" s="8" t="str">
        <x:v>초</x:v>
      </x:c>
      <x:c r="E11" s="8" t="str">
        <x:v>공정 완료</x:v>
      </x:c>
      <x:c r="F11" s="8" t="str">
        <x:v>제품 1대 처리시간</x:v>
      </x:c>
      <x:c r="G11" s="8" t="str">
        <x:v>중앙값과 P90 비교</x:v>
      </x:c>
    </x:row>
    <x:row r="12" ht="42" customHeight="1">
      <x:c r="A12" s="8" t="str">
        <x:v>temperature_c</x:v>
      </x:c>
      <x:c r="B12" s="8" t="str">
        <x:v>설비온도</x:v>
      </x:c>
      <x:c r="C12" s="8" t="str">
        <x:v>수치</x:v>
      </x:c>
      <x:c r="D12" s="8" t="str">
        <x:v>°C</x:v>
      </x:c>
      <x:c r="E12" s="8" t="str">
        <x:v>공정 중</x:v>
      </x:c>
      <x:c r="F12" s="8" t="str">
        <x:v>설비 온도</x:v>
      </x:c>
      <x:c r="G12" s="8" t="str">
        <x:v>설비별 기준 필요</x:v>
      </x:c>
    </x:row>
    <x:row r="13" ht="42" customHeight="1">
      <x:c r="A13" s="8" t="str">
        <x:v>vibration_mm_s</x:v>
      </x:c>
      <x:c r="B13" s="8" t="str">
        <x:v>진동</x:v>
      </x:c>
      <x:c r="C13" s="8" t="str">
        <x:v>수치</x:v>
      </x:c>
      <x:c r="D13" s="8" t="str">
        <x:v>mm/s</x:v>
      </x:c>
      <x:c r="E13" s="8" t="str">
        <x:v>공정 중</x:v>
      </x:c>
      <x:c r="F13" s="8" t="str">
        <x:v>설비 진동</x:v>
      </x:c>
      <x:c r="G13" s="8" t="str">
        <x:v>결측 18건 포함</x:v>
      </x:c>
    </x:row>
    <x:row r="14" ht="42" customHeight="1">
      <x:c r="A14" s="8" t="str">
        <x:v>downtime_min</x:v>
      </x:c>
      <x:c r="B14" s="8" t="str">
        <x:v>정지시간</x:v>
      </x:c>
      <x:c r="C14" s="8" t="str">
        <x:v>수치</x:v>
      </x:c>
      <x:c r="D14" s="8" t="str">
        <x:v>분</x:v>
      </x:c>
      <x:c r="E14" s="8" t="str">
        <x:v>공정 중</x:v>
      </x:c>
      <x:c r="F14" s="8" t="str">
        <x:v>해당 기록 시점의 정지시간</x:v>
      </x:c>
      <x:c r="G14" s="8" t="str">
        <x:v>합계와 빈도 구분</x:v>
      </x:c>
    </x:row>
    <x:row r="15" ht="42" customHeight="1">
      <x:c r="A15" s="8" t="str">
        <x:v>energy_kwh</x:v>
      </x:c>
      <x:c r="B15" s="8" t="str">
        <x:v>에너지사용량</x:v>
      </x:c>
      <x:c r="C15" s="8" t="str">
        <x:v>수치</x:v>
      </x:c>
      <x:c r="D15" s="8" t="str">
        <x:v>kWh</x:v>
      </x:c>
      <x:c r="E15" s="8" t="str">
        <x:v>공정 완료</x:v>
      </x:c>
      <x:c r="F15" s="8" t="str">
        <x:v>제품 1대 관련 사용량</x:v>
      </x:c>
      <x:c r="G15" s="8" t="str">
        <x:v>설비·사이클 영향 확인</x:v>
      </x:c>
    </x:row>
    <x:row r="16" ht="42" customHeight="1">
      <x:c r="A16" s="8" t="str">
        <x:v>inspection_result</x:v>
      </x:c>
      <x:c r="B16" s="8" t="str">
        <x:v>검사결과</x:v>
      </x:c>
      <x:c r="C16" s="8" t="str">
        <x:v>범주</x:v>
      </x:c>
      <x:c r="D16" s="8" t="str">
        <x:v>없음</x:v>
      </x:c>
      <x:c r="E16" s="8" t="str">
        <x:v>최종검사</x:v>
      </x:c>
      <x:c r="F16" s="8" t="str">
        <x:v>합격 또는 불합격</x:v>
      </x:c>
      <x:c r="G16" s="8" t="str">
        <x:v>품질 예측의 목표변수</x:v>
      </x:c>
    </x:row>
    <x:row r="17" ht="42" customHeight="1">
      <x:c r="A17" s="8" t="str">
        <x:v>defect_type</x:v>
      </x:c>
      <x:c r="B17" s="8" t="str">
        <x:v>불량유형</x:v>
      </x:c>
      <x:c r="C17" s="8" t="str">
        <x:v>범주</x:v>
      </x:c>
      <x:c r="D17" s="8" t="str">
        <x:v>없음</x:v>
      </x:c>
      <x:c r="E17" s="8" t="str">
        <x:v>검사 후</x:v>
      </x:c>
      <x:c r="F17" s="8" t="str">
        <x:v>불합격 유형</x:v>
      </x:c>
      <x:c r="G17" s="8" t="str">
        <x:v>검사 전 모델 입력 금지</x:v>
      </x:c>
    </x:row>
    <x:row r="18" ht="42" customHeight="1">
      <x:c r="A18" s="8" t="str">
        <x:v>inspection_time_sec</x:v>
      </x:c>
      <x:c r="B18" s="8" t="str">
        <x:v>검사시간</x:v>
      </x:c>
      <x:c r="C18" s="8" t="str">
        <x:v>수치</x:v>
      </x:c>
      <x:c r="D18" s="8" t="str">
        <x:v>초</x:v>
      </x:c>
      <x:c r="E18" s="8" t="str">
        <x:v>검사 후</x:v>
      </x:c>
      <x:c r="F18" s="8" t="str">
        <x:v>검사 소요시간</x:v>
      </x:c>
      <x:c r="G18" s="8" t="str">
        <x:v>원가팀 분석 가능</x:v>
      </x:c>
    </x:row>
    <x:row r="19" ht="42" customHeight="1">
      <x:c r="A19" s="8" t="str">
        <x:v>rework_flag</x:v>
      </x:c>
      <x:c r="B19" s="8" t="str">
        <x:v>재작업 여부</x:v>
      </x:c>
      <x:c r="C19" s="8" t="str">
        <x:v>범주</x:v>
      </x:c>
      <x:c r="D19" s="8" t="str">
        <x:v>없음</x:v>
      </x:c>
      <x:c r="E19" s="8" t="str">
        <x:v>검사 후</x:v>
      </x:c>
      <x:c r="F19" s="8" t="str">
        <x:v>Y 또는 N</x:v>
      </x:c>
      <x:c r="G19" s="8" t="str">
        <x:v>검사 전 모델 입력 금지</x:v>
      </x:c>
    </x:row>
    <x:row r="20" ht="42" customHeight="1">
      <x:c r="A20" s="8" t="str">
        <x:v>rework_time_min</x:v>
      </x:c>
      <x:c r="B20" s="8" t="str">
        <x:v>재작업시간</x:v>
      </x:c>
      <x:c r="C20" s="8" t="str">
        <x:v>수치</x:v>
      </x:c>
      <x:c r="D20" s="8" t="str">
        <x:v>분</x:v>
      </x:c>
      <x:c r="E20" s="8" t="str">
        <x:v>재작업 후</x:v>
      </x:c>
      <x:c r="F20" s="8" t="str">
        <x:v>재작업 소요시간</x:v>
      </x:c>
      <x:c r="G20" s="8" t="str">
        <x:v>비용 추정 가정 필요</x:v>
      </x:c>
    </x:row>
    <x:row r="21" ht="42" customHeight="1">
      <x:c r="A21" s="8" t="str">
        <x:v>final_disposition</x:v>
      </x:c>
      <x:c r="B21" s="8" t="str">
        <x:v>최종처분</x:v>
      </x:c>
      <x:c r="C21" s="8" t="str">
        <x:v>범주</x:v>
      </x:c>
      <x:c r="D21" s="8" t="str">
        <x:v>없음</x:v>
      </x:c>
      <x:c r="E21" s="8" t="str">
        <x:v>검사 후</x:v>
      </x:c>
      <x:c r="F21" s="8" t="str">
        <x:v>합격·재작업후합격·폐기</x:v>
      </x:c>
      <x:c r="G21" s="8" t="str">
        <x:v>검사 전 모델 입력 금지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</x:cols>
  <x:sheetData>
    <x:row r="1" ht="30" customHeight="1">
      <x:c r="A1" s="3" t="str">
        <x:v>검사항목</x:v>
      </x:c>
      <x:c r="B1" s="3" t="str">
        <x:v>설계 기준</x:v>
      </x:c>
      <x:c r="C1" s="3" t="str">
        <x:v>실제 계산</x:v>
      </x:c>
      <x:c r="D1" s="3" t="str">
        <x:v>판정</x:v>
      </x:c>
      <x:c r="E1" s="3" t="str">
        <x:v>강의안 위치</x:v>
      </x:c>
    </x:row>
    <x:row r="2" ht="22" customHeight="1">
      <x:c r="A2" s="1" t="str">
        <x:v>전체 기록</x:v>
      </x:c>
      <x:c r="B2" s="1" t="n">
        <x:v>1200</x:v>
      </x:c>
      <x:c r="C2" s="1" t="n">
        <x:f>COUNTA(MiniCase_Data!$A$2:$A$1201)</x:f>
        <x:v>1200</x:v>
      </x:c>
      <x:c r="D2" s="1" t="str">
        <x:f>IF(B2=C2,"일치","불일치")</x:f>
        <x:v>일치</x:v>
      </x:c>
      <x:c r="E2" s="1" t="str">
        <x:v>1회차 7쪽 / 2회차 9쪽</x:v>
      </x:c>
    </x:row>
    <x:row r="3" ht="22" customHeight="1">
      <x:c r="A3" s="1" t="str">
        <x:v>변수 개수</x:v>
      </x:c>
      <x:c r="B3" s="1" t="n">
        <x:v>20</x:v>
      </x:c>
      <x:c r="C3" s="1" t="n">
        <x:f>COLUMNS(MiniCase_Data!A1:T1)</x:f>
        <x:v>20</x:v>
      </x:c>
      <x:c r="D3" s="1" t="str">
        <x:f>IF(B3=C3,"일치","불일치")</x:f>
        <x:v>일치</x:v>
      </x:c>
      <x:c r="E3" s="1" t="str">
        <x:v>동일</x:v>
      </x:c>
    </x:row>
    <x:row r="4" ht="22" customHeight="1">
      <x:c r="A4" s="1" t="str">
        <x:v>전체 불합격</x:v>
      </x:c>
      <x:c r="B4" s="1" t="n">
        <x:v>48</x:v>
      </x:c>
      <x:c r="C4" s="1" t="n">
        <x:f>COUNTIF(MiniCase_Data!$O$2:$O$1201,"불합격")</x:f>
        <x:v>48</x:v>
      </x:c>
      <x:c r="D4" s="1" t="str">
        <x:f>IF(B4=C4,"일치","불일치")</x:f>
        <x:v>일치</x:v>
      </x:c>
      <x:c r="E4" s="1" t="str">
        <x:v>동일</x:v>
      </x:c>
    </x:row>
    <x:row r="5" ht="22" customHeight="1">
      <x:c r="A5" s="1" t="str">
        <x:v>주간P1 기록</x:v>
      </x:c>
      <x:c r="B5" s="1" t="n">
        <x:v>340</x:v>
      </x:c>
      <x:c r="C5" s="1" t="n">
        <x:f>COUNTIFS(MiniCase_Data!$C$2:$C$1201,"주간",MiniCase_Data!$E$2:$E$1201,"P1")</x:f>
        <x:v>340</x:v>
      </x:c>
      <x:c r="D5" s="1" t="str">
        <x:f>IF(B5=C5,"일치","불일치")</x:f>
        <x:v>일치</x:v>
      </x:c>
      <x:c r="E5" s="1" t="str">
        <x:v>2회차 17쪽</x:v>
      </x:c>
    </x:row>
    <x:row r="6" ht="22" customHeight="1">
      <x:c r="A6" s="1" t="str">
        <x:v>주간P1 불합격</x:v>
      </x:c>
      <x:c r="B6" s="1" t="n">
        <x:v>8</x:v>
      </x:c>
      <x:c r="C6" s="1" t="n">
        <x:f>COUNTIFS(MiniCase_Data!$C$2:$C$1201,"주간",MiniCase_Data!$E$2:$E$1201,"P1",MiniCase_Data!$O$2:$O$1201,"불합격")</x:f>
        <x:v>8</x:v>
      </x:c>
      <x:c r="D6" s="1" t="str">
        <x:f>IF(B6=C6,"일치","불일치")</x:f>
        <x:v>일치</x:v>
      </x:c>
      <x:c r="E6" s="1" t="str">
        <x:v>2회차 17쪽</x:v>
      </x:c>
    </x:row>
    <x:row r="7" ht="22" customHeight="1">
      <x:c r="A7" s="1" t="str">
        <x:v>주간P2 기록</x:v>
      </x:c>
      <x:c r="B7" s="1" t="n">
        <x:v>300</x:v>
      </x:c>
      <x:c r="C7" s="1" t="n">
        <x:f>COUNTIFS(MiniCase_Data!$C$2:$C$1201,"주간",MiniCase_Data!$E$2:$E$1201,"P2")</x:f>
        <x:v>300</x:v>
      </x:c>
      <x:c r="D7" s="1" t="str">
        <x:f>IF(B7=C7,"일치","불일치")</x:f>
        <x:v>일치</x:v>
      </x:c>
      <x:c r="E7" s="1" t="str">
        <x:v>2회차 17쪽</x:v>
      </x:c>
    </x:row>
    <x:row r="8" ht="22" customHeight="1">
      <x:c r="A8" s="1" t="str">
        <x:v>주간P2 불합격</x:v>
      </x:c>
      <x:c r="B8" s="1" t="n">
        <x:v>10</x:v>
      </x:c>
      <x:c r="C8" s="1" t="n">
        <x:f>COUNTIFS(MiniCase_Data!$C$2:$C$1201,"주간",MiniCase_Data!$E$2:$E$1201,"P2",MiniCase_Data!$O$2:$O$1201,"불합격")</x:f>
        <x:v>10</x:v>
      </x:c>
      <x:c r="D8" s="1" t="str">
        <x:f>IF(B8=C8,"일치","불일치")</x:f>
        <x:v>일치</x:v>
      </x:c>
      <x:c r="E8" s="1" t="str">
        <x:v>2회차 17쪽</x:v>
      </x:c>
    </x:row>
    <x:row r="9" ht="22" customHeight="1">
      <x:c r="A9" s="1" t="str">
        <x:v>야간P1 기록</x:v>
      </x:c>
      <x:c r="B9" s="1" t="n">
        <x:v>310</x:v>
      </x:c>
      <x:c r="C9" s="1" t="n">
        <x:f>COUNTIFS(MiniCase_Data!$C$2:$C$1201,"야간",MiniCase_Data!$E$2:$E$1201,"P1")</x:f>
        <x:v>310</x:v>
      </x:c>
      <x:c r="D9" s="1" t="str">
        <x:f>IF(B9=C9,"일치","불일치")</x:f>
        <x:v>일치</x:v>
      </x:c>
      <x:c r="E9" s="1" t="str">
        <x:v>2회차 17쪽</x:v>
      </x:c>
    </x:row>
    <x:row r="10" ht="22" customHeight="1">
      <x:c r="A10" s="1" t="str">
        <x:v>야간P1 불합격</x:v>
      </x:c>
      <x:c r="B10" s="1" t="n">
        <x:v>12</x:v>
      </x:c>
      <x:c r="C10" s="1" t="n">
        <x:f>COUNTIFS(MiniCase_Data!$C$2:$C$1201,"야간",MiniCase_Data!$E$2:$E$1201,"P1",MiniCase_Data!$O$2:$O$1201,"불합격")</x:f>
        <x:v>12</x:v>
      </x:c>
      <x:c r="D10" s="1" t="str">
        <x:f>IF(B10=C10,"일치","불일치")</x:f>
        <x:v>일치</x:v>
      </x:c>
      <x:c r="E10" s="1" t="str">
        <x:v>2회차 17쪽</x:v>
      </x:c>
    </x:row>
    <x:row r="11" ht="22" customHeight="1">
      <x:c r="A11" s="1" t="str">
        <x:v>야간P2 기록</x:v>
      </x:c>
      <x:c r="B11" s="1" t="n">
        <x:v>250</x:v>
      </x:c>
      <x:c r="C11" s="1" t="n">
        <x:f>COUNTIFS(MiniCase_Data!$C$2:$C$1201,"야간",MiniCase_Data!$E$2:$E$1201,"P2")</x:f>
        <x:v>250</x:v>
      </x:c>
      <x:c r="D11" s="1" t="str">
        <x:f>IF(B11=C11,"일치","불일치")</x:f>
        <x:v>일치</x:v>
      </x:c>
      <x:c r="E11" s="1" t="str">
        <x:v>2회차 17쪽</x:v>
      </x:c>
    </x:row>
    <x:row r="12" ht="22" customHeight="1">
      <x:c r="A12" s="1" t="str">
        <x:v>야간P2 불합격</x:v>
      </x:c>
      <x:c r="B12" s="1" t="n">
        <x:v>18</x:v>
      </x:c>
      <x:c r="C12" s="1" t="n">
        <x:f>COUNTIFS(MiniCase_Data!$C$2:$C$1201,"야간",MiniCase_Data!$E$2:$E$1201,"P2",MiniCase_Data!$O$2:$O$1201,"불합격")</x:f>
        <x:v>18</x:v>
      </x:c>
      <x:c r="D12" s="1" t="str">
        <x:f>IF(B12=C12,"일치","불일치")</x:f>
        <x:v>일치</x:v>
      </x:c>
      <x:c r="E12" s="1" t="str">
        <x:v>2회차 17쪽</x:v>
      </x:c>
    </x:row>
    <x:row r="13" ht="22" customHeight="1">
      <x:c r="A13" s="1" t="str">
        <x:v>주간 기록</x:v>
      </x:c>
      <x:c r="B13" s="1" t="n">
        <x:v>640</x:v>
      </x:c>
      <x:c r="C13" s="1" t="n">
        <x:f>COUNTIF(MiniCase_Data!$C$2:$C$1201,"주간")</x:f>
        <x:v>640</x:v>
      </x:c>
      <x:c r="D13" s="1" t="str">
        <x:f>IF(B13=C13,"일치","불일치")</x:f>
        <x:v>일치</x:v>
      </x:c>
      <x:c r="E13" s="1" t="str">
        <x:v>1회차 17쪽</x:v>
      </x:c>
    </x:row>
    <x:row r="14" ht="22" customHeight="1">
      <x:c r="A14" s="1" t="str">
        <x:v>주간 불합격</x:v>
      </x:c>
      <x:c r="B14" s="1" t="n">
        <x:v>18</x:v>
      </x:c>
      <x:c r="C14" s="1" t="n">
        <x:f>COUNTIFS(MiniCase_Data!$C$2:$C$1201,"주간",MiniCase_Data!$O$2:$O$1201,"불합격")</x:f>
        <x:v>18</x:v>
      </x:c>
      <x:c r="D14" s="1" t="str">
        <x:f>IF(B14=C14,"일치","불일치")</x:f>
        <x:v>일치</x:v>
      </x:c>
      <x:c r="E14" s="1" t="str">
        <x:v>동일</x:v>
      </x:c>
    </x:row>
    <x:row r="15" ht="22" customHeight="1">
      <x:c r="A15" s="1" t="str">
        <x:v>야간 기록</x:v>
      </x:c>
      <x:c r="B15" s="1" t="n">
        <x:v>560</x:v>
      </x:c>
      <x:c r="C15" s="1" t="n">
        <x:f>COUNTIF(MiniCase_Data!$C$2:$C$1201,"야간")</x:f>
        <x:v>560</x:v>
      </x:c>
      <x:c r="D15" s="1" t="str">
        <x:f>IF(B15=C15,"일치","불일치")</x:f>
        <x:v>일치</x:v>
      </x:c>
      <x:c r="E15" s="1" t="str">
        <x:v>1회차 17쪽</x:v>
      </x:c>
    </x:row>
    <x:row r="16" ht="22" customHeight="1">
      <x:c r="A16" s="1" t="str">
        <x:v>야간 불합격</x:v>
      </x:c>
      <x:c r="B16" s="1" t="n">
        <x:v>30</x:v>
      </x:c>
      <x:c r="C16" s="1" t="n">
        <x:f>COUNTIFS(MiniCase_Data!$C$2:$C$1201,"야간",MiniCase_Data!$O$2:$O$1201,"불합격")</x:f>
        <x:v>30</x:v>
      </x:c>
      <x:c r="D16" s="1" t="str">
        <x:f>IF(B16=C16,"일치","불일치")</x:f>
        <x:v>일치</x:v>
      </x:c>
      <x:c r="E16" s="1" t="str">
        <x:v>동일</x:v>
      </x:c>
    </x:row>
    <x:row r="17" ht="22" customHeight="1">
      <x:c r="A17" s="1" t="str">
        <x:v>M01 기록</x:v>
      </x:c>
      <x:c r="B17" s="1" t="n">
        <x:v>300</x:v>
      </x:c>
      <x:c r="C17" s="1" t="n">
        <x:f>COUNTIF(MiniCase_Data!$F$2:$F$1201,"M01")</x:f>
        <x:v>300</x:v>
      </x:c>
      <x:c r="D17" s="1" t="str">
        <x:f>IF(B17=C17,"일치","불일치")</x:f>
        <x:v>일치</x:v>
      </x:c>
      <x:c r="E17" s="1" t="str">
        <x:v>2회차 18쪽</x:v>
      </x:c>
    </x:row>
    <x:row r="18" ht="22" customHeight="1">
      <x:c r="A18" s="1" t="str">
        <x:v>M01 불합격</x:v>
      </x:c>
      <x:c r="B18" s="1" t="n">
        <x:v>8</x:v>
      </x:c>
      <x:c r="C18" s="1" t="n">
        <x:f>COUNTIFS(MiniCase_Data!$F$2:$F$1201,"M01",MiniCase_Data!$O$2:$O$1201,"불합격")</x:f>
        <x:v>8</x:v>
      </x:c>
      <x:c r="D18" s="1" t="str">
        <x:f>IF(B18=C18,"일치","불일치")</x:f>
        <x:v>일치</x:v>
      </x:c>
      <x:c r="E18" s="1" t="str">
        <x:v>동일</x:v>
      </x:c>
    </x:row>
    <x:row r="19" ht="22" customHeight="1">
      <x:c r="A19" s="1" t="str">
        <x:v>M01 정지시간</x:v>
      </x:c>
      <x:c r="B19" s="1" t="n">
        <x:v>120</x:v>
      </x:c>
      <x:c r="C19" s="1" t="n">
        <x:f>SUMIF(MiniCase_Data!$F$2:$F$1201,"M01",MiniCase_Data!$M$2:$M$1201)</x:f>
        <x:v>120</x:v>
      </x:c>
      <x:c r="D19" s="1" t="str">
        <x:f>IF(B19=C19,"일치","불일치")</x:f>
        <x:v>일치</x:v>
      </x:c>
      <x:c r="E19" s="1" t="str">
        <x:v>기존 엑셀 검산표</x:v>
      </x:c>
    </x:row>
    <x:row r="20" ht="22" customHeight="1">
      <x:c r="A20" s="1" t="str">
        <x:v>M02 기록</x:v>
      </x:c>
      <x:c r="B20" s="1" t="n">
        <x:v>300</x:v>
      </x:c>
      <x:c r="C20" s="1" t="n">
        <x:f>COUNTIF(MiniCase_Data!$F$2:$F$1201,"M02")</x:f>
        <x:v>300</x:v>
      </x:c>
      <x:c r="D20" s="1" t="str">
        <x:f>IF(B20=C20,"일치","불일치")</x:f>
        <x:v>일치</x:v>
      </x:c>
      <x:c r="E20" s="1" t="str">
        <x:v>2회차 18쪽</x:v>
      </x:c>
    </x:row>
    <x:row r="21" ht="22" customHeight="1">
      <x:c r="A21" s="1" t="str">
        <x:v>M02 불합격</x:v>
      </x:c>
      <x:c r="B21" s="1" t="n">
        <x:v>9</x:v>
      </x:c>
      <x:c r="C21" s="1" t="n">
        <x:f>COUNTIFS(MiniCase_Data!$F$2:$F$1201,"M02",MiniCase_Data!$O$2:$O$1201,"불합격")</x:f>
        <x:v>9</x:v>
      </x:c>
      <x:c r="D21" s="1" t="str">
        <x:f>IF(B21=C21,"일치","불일치")</x:f>
        <x:v>일치</x:v>
      </x:c>
      <x:c r="E21" s="1" t="str">
        <x:v>동일</x:v>
      </x:c>
    </x:row>
    <x:row r="22" ht="22" customHeight="1">
      <x:c r="A22" s="1" t="str">
        <x:v>M02 정지시간</x:v>
      </x:c>
      <x:c r="B22" s="1" t="n">
        <x:v>145</x:v>
      </x:c>
      <x:c r="C22" s="1" t="n">
        <x:f>SUMIF(MiniCase_Data!$F$2:$F$1201,"M02",MiniCase_Data!$M$2:$M$1201)</x:f>
        <x:v>145</x:v>
      </x:c>
      <x:c r="D22" s="1" t="str">
        <x:f>IF(B22=C22,"일치","불일치")</x:f>
        <x:v>일치</x:v>
      </x:c>
      <x:c r="E22" s="1" t="str">
        <x:v>기존 엑셀 검산표</x:v>
      </x:c>
    </x:row>
    <x:row r="23" ht="22" customHeight="1">
      <x:c r="A23" s="1" t="str">
        <x:v>M03 기록</x:v>
      </x:c>
      <x:c r="B23" s="1" t="n">
        <x:v>300</x:v>
      </x:c>
      <x:c r="C23" s="1" t="n">
        <x:f>COUNTIF(MiniCase_Data!$F$2:$F$1201,"M03")</x:f>
        <x:v>300</x:v>
      </x:c>
      <x:c r="D23" s="1" t="str">
        <x:f>IF(B23=C23,"일치","불일치")</x:f>
        <x:v>일치</x:v>
      </x:c>
      <x:c r="E23" s="1" t="str">
        <x:v>2회차 18쪽</x:v>
      </x:c>
    </x:row>
    <x:row r="24" ht="22" customHeight="1">
      <x:c r="A24" s="1" t="str">
        <x:v>M03 불합격</x:v>
      </x:c>
      <x:c r="B24" s="1" t="n">
        <x:v>22</x:v>
      </x:c>
      <x:c r="C24" s="1" t="n">
        <x:f>COUNTIFS(MiniCase_Data!$F$2:$F$1201,"M03",MiniCase_Data!$O$2:$O$1201,"불합격")</x:f>
        <x:v>22</x:v>
      </x:c>
      <x:c r="D24" s="1" t="str">
        <x:f>IF(B24=C24,"일치","불일치")</x:f>
        <x:v>일치</x:v>
      </x:c>
      <x:c r="E24" s="1" t="str">
        <x:v>동일</x:v>
      </x:c>
    </x:row>
    <x:row r="25" ht="22" customHeight="1">
      <x:c r="A25" s="1" t="str">
        <x:v>M03 정지시간</x:v>
      </x:c>
      <x:c r="B25" s="1" t="n">
        <x:v>210</x:v>
      </x:c>
      <x:c r="C25" s="1" t="n">
        <x:f>SUMIF(MiniCase_Data!$F$2:$F$1201,"M03",MiniCase_Data!$M$2:$M$1201)</x:f>
        <x:v>210</x:v>
      </x:c>
      <x:c r="D25" s="1" t="str">
        <x:f>IF(B25=C25,"일치","불일치")</x:f>
        <x:v>일치</x:v>
      </x:c>
      <x:c r="E25" s="1" t="str">
        <x:v>기존 엑셀 검산표</x:v>
      </x:c>
    </x:row>
    <x:row r="26" ht="22" customHeight="1">
      <x:c r="A26" s="1" t="str">
        <x:v>M04 기록</x:v>
      </x:c>
      <x:c r="B26" s="1" t="n">
        <x:v>300</x:v>
      </x:c>
      <x:c r="C26" s="1" t="n">
        <x:f>COUNTIF(MiniCase_Data!$F$2:$F$1201,"M04")</x:f>
        <x:v>300</x:v>
      </x:c>
      <x:c r="D26" s="1" t="str">
        <x:f>IF(B26=C26,"일치","불일치")</x:f>
        <x:v>일치</x:v>
      </x:c>
      <x:c r="E26" s="1" t="str">
        <x:v>2회차 18쪽</x:v>
      </x:c>
    </x:row>
    <x:row r="27" ht="22" customHeight="1">
      <x:c r="A27" s="1" t="str">
        <x:v>M04 불합격</x:v>
      </x:c>
      <x:c r="B27" s="1" t="n">
        <x:v>9</x:v>
      </x:c>
      <x:c r="C27" s="1" t="n">
        <x:f>COUNTIFS(MiniCase_Data!$F$2:$F$1201,"M04",MiniCase_Data!$O$2:$O$1201,"불합격")</x:f>
        <x:v>9</x:v>
      </x:c>
      <x:c r="D27" s="1" t="str">
        <x:f>IF(B27=C27,"일치","불일치")</x:f>
        <x:v>일치</x:v>
      </x:c>
      <x:c r="E27" s="1" t="str">
        <x:v>동일</x:v>
      </x:c>
    </x:row>
    <x:row r="28" ht="22" customHeight="1">
      <x:c r="A28" s="1" t="str">
        <x:v>M04 정지시간</x:v>
      </x:c>
      <x:c r="B28" s="1" t="n">
        <x:v>135</x:v>
      </x:c>
      <x:c r="C28" s="1" t="n">
        <x:f>SUMIF(MiniCase_Data!$F$2:$F$1201,"M04",MiniCase_Data!$M$2:$M$1201)</x:f>
        <x:v>135</x:v>
      </x:c>
      <x:c r="D28" s="1" t="str">
        <x:f>IF(B28=C28,"일치","불일치")</x:f>
        <x:v>일치</x:v>
      </x:c>
      <x:c r="E28" s="1" t="str">
        <x:v>기존 엑셀 검산표</x:v>
      </x:c>
    </x:row>
    <x:row r="29" ht="22" customHeight="1">
      <x:c r="A29" s="1" t="str">
        <x:v>야간 M03 기록</x:v>
      </x:c>
      <x:c r="B29" s="1" t="n">
        <x:v>140</x:v>
      </x:c>
      <x:c r="C29" s="1" t="n">
        <x:f>COUNTIF(Baseline_계산!$E$2:$E$1201,1)</x:f>
        <x:v>140</x:v>
      </x:c>
      <x:c r="D29" s="1" t="str">
        <x:f>IF(B29=C29,"일치","불일치")</x:f>
        <x:v>일치</x:v>
      </x:c>
      <x:c r="E29" s="1" t="str">
        <x:v>2회차 19쪽</x:v>
      </x:c>
    </x:row>
    <x:row r="30" ht="22" customHeight="1">
      <x:c r="A30" s="1" t="str">
        <x:v>야간 M03 불합격</x:v>
      </x:c>
      <x:c r="B30" s="1" t="n">
        <x:v>15</x:v>
      </x:c>
      <x:c r="C30" s="1" t="n">
        <x:f>COUNTIFS(Baseline_계산!$E$2:$E$1201,1,Baseline_계산!$B$2:$B$1201,1)</x:f>
        <x:v>15</x:v>
      </x:c>
      <x:c r="D30" s="1" t="str">
        <x:f>IF(B30=C30,"일치","불일치")</x:f>
        <x:v>일치</x:v>
      </x:c>
      <x:c r="E30" s="1" t="str">
        <x:v>동일</x:v>
      </x:c>
    </x:row>
    <x:row r="31" ht="22" customHeight="1">
      <x:c r="A31" s="1" t="str">
        <x:v>그 외 기록</x:v>
      </x:c>
      <x:c r="B31" s="1" t="n">
        <x:v>1060</x:v>
      </x:c>
      <x:c r="C31" s="1" t="n">
        <x:f>COUNTIF(Baseline_계산!$E$2:$E$1201,0)</x:f>
        <x:v>1060</x:v>
      </x:c>
      <x:c r="D31" s="1" t="str">
        <x:f>IF(B31=C31,"일치","불일치")</x:f>
        <x:v>일치</x:v>
      </x:c>
      <x:c r="E31" s="1" t="str">
        <x:v>동일</x:v>
      </x:c>
    </x:row>
    <x:row r="32" ht="22" customHeight="1">
      <x:c r="A32" s="1" t="str">
        <x:v>그 외 불합격</x:v>
      </x:c>
      <x:c r="B32" s="1" t="n">
        <x:v>33</x:v>
      </x:c>
      <x:c r="C32" s="1" t="n">
        <x:f>COUNTIFS(Baseline_계산!$E$2:$E$1201,0,Baseline_계산!$B$2:$B$1201,1)</x:f>
        <x:v>33</x:v>
      </x:c>
      <x:c r="D32" s="1" t="str">
        <x:f>IF(B32=C32,"일치","불일치")</x:f>
        <x:v>일치</x:v>
      </x:c>
      <x:c r="E32" s="1" t="str">
        <x:v>동일</x:v>
      </x:c>
    </x:row>
    <x:row r="33" ht="22" customHeight="1">
      <x:c r="A33" s="1" t="str">
        <x:v>토크 결측</x:v>
      </x:c>
      <x:c r="B33" s="1" t="n">
        <x:v>12</x:v>
      </x:c>
      <x:c r="C33" s="1" t="n">
        <x:f>COUNTBLANK(MiniCase_Data!$H$2:$H$1201)</x:f>
        <x:v>12</x:v>
      </x:c>
      <x:c r="D33" s="1" t="str">
        <x:f>IF(B33=C33,"일치","불일치")</x:f>
        <x:v>일치</x:v>
      </x:c>
      <x:c r="E33" s="1" t="str">
        <x:v>1회차 23쪽</x:v>
      </x:c>
    </x:row>
    <x:row r="34" ht="22" customHeight="1">
      <x:c r="A34" s="1" t="str">
        <x:v>진동 결측</x:v>
      </x:c>
      <x:c r="B34" s="1" t="n">
        <x:v>18</x:v>
      </x:c>
      <x:c r="C34" s="1" t="n">
        <x:f>COUNTBLANK(MiniCase_Data!$L$2:$L$1201)</x:f>
        <x:v>18</x:v>
      </x:c>
      <x:c r="D34" s="1" t="str">
        <x:f>IF(B34=C34,"일치","불일치")</x:f>
        <x:v>일치</x:v>
      </x:c>
      <x:c r="E34" s="1" t="str">
        <x:v>동일</x:v>
      </x:c>
    </x:row>
    <x:row r="35" ht="22" customHeight="1">
      <x:c r="A35" s="1" t="str">
        <x:v>토크 기준 안 원자료</x:v>
      </x:c>
      <x:c r="B35" s="1" t="n">
        <x:v>1088</x:v>
      </x:c>
      <x:c r="C35" s="1" t="n">
        <x:f>COUNTIF(Baseline_계산!$C$2:$C$1201,"안")</x:f>
        <x:v>1088</x:v>
      </x:c>
      <x:c r="D35" s="1" t="str">
        <x:f>IF(B35=C35,"일치","불일치")</x:f>
        <x:v>일치</x:v>
      </x:c>
      <x:c r="E35" s="1" t="str">
        <x:v>1회차 29쪽</x:v>
      </x:c>
    </x:row>
    <x:row r="36" ht="22" customHeight="1">
      <x:c r="A36" s="1" t="str">
        <x:v>토크 기준 안 복원 후</x:v>
      </x:c>
      <x:c r="B36" s="1" t="n">
        <x:v>1100</x:v>
      </x:c>
      <x:c r="C36" s="1" t="n">
        <x:f>COUNTIFS(Baseline_계산!$D$2:$D$1201,"&gt;=27",Baseline_계산!$D$2:$D$1201,"&lt;=33")</x:f>
        <x:v>1100</x:v>
      </x:c>
      <x:c r="D36" s="1" t="str">
        <x:f>IF(B36=C36,"일치","불일치")</x:f>
        <x:v>일치</x:v>
      </x:c>
      <x:c r="E36" s="1" t="str">
        <x:v>동일</x:v>
      </x:c>
    </x:row>
    <x:row r="37" ht="22" customHeight="1">
      <x:c r="A37" s="1" t="str">
        <x:v>7월 범위 밖 기록</x:v>
      </x:c>
      <x:c r="B37" s="1" t="n">
        <x:v>0</x:v>
      </x:c>
      <x:c r="C37" s="1" t="n">
        <x:f>COUNTIF(MiniCase_Data!$B$2:$B$1201,"&lt;"&amp;DATE(2026,7,1))+COUNTIF(MiniCase_Data!$B$2:$B$1201,"&gt;="&amp;DATE(2026,8,1))</x:f>
        <x:v>0</x:v>
      </x:c>
      <x:c r="D37" s="1" t="str">
        <x:f>IF(B37=C37,"일치","불일치")</x:f>
        <x:v>일치</x:v>
      </x:c>
      <x:c r="E37" s="1" t="str">
        <x:v>1회차 23쪽</x:v>
      </x:c>
    </x:row>
    <x:row r="38" ht="22" customHeight="1">
      <x:c r="A38" s="1" t="str">
        <x:v>P1 재작업시간</x:v>
      </x:c>
      <x:c r="B38" s="1" t="n">
        <x:v>142</x:v>
      </x:c>
      <x:c r="C38" s="1" t="n">
        <x:f>SUMIF(MiniCase_Data!$E$2:$E$1201,"P1",MiniCase_Data!$S$2:$S$1201)</x:f>
        <x:v>142</x:v>
      </x:c>
      <x:c r="D38" s="1" t="str">
        <x:f>IF(B38=C38,"일치","불일치")</x:f>
        <x:v>일치</x:v>
      </x:c>
      <x:c r="E38" s="1" t="str">
        <x:v>기존 엑셀 검산표</x:v>
      </x:c>
    </x:row>
    <x:row r="39" ht="22" customHeight="1">
      <x:c r="A39" s="1" t="str">
        <x:v>P2 재작업시간</x:v>
      </x:c>
      <x:c r="B39" s="1" t="n">
        <x:v>244</x:v>
      </x:c>
      <x:c r="C39" s="1" t="n">
        <x:f>SUMIF(MiniCase_Data!$E$2:$E$1201,"P2",MiniCase_Data!$S$2:$S$1201)</x:f>
        <x:v>244</x:v>
      </x:c>
      <x:c r="D39" s="1" t="str">
        <x:f>IF(B39=C39,"일치","불일치")</x:f>
        <x:v>일치</x:v>
      </x:c>
      <x:c r="E39" s="1" t="str">
        <x:v>기존 엑셀 검산표</x:v>
      </x:c>
    </x:row>
    <x:row r="40" ht="22" customHeight="1">
      <x:c r="A40" s="1" t="str">
        <x:v>v0 TP</x:v>
      </x:c>
      <x:c r="B40" s="1" t="n">
        <x:v>20</x:v>
      </x:c>
      <x:c r="C40" s="1" t="n">
        <x:f>COUNTIF(Baseline_계산!$H$2:$H$1201,"TP")</x:f>
        <x:v>20</x:v>
      </x:c>
      <x:c r="D40" s="1" t="str">
        <x:f>IF(B40=C40,"일치","불일치")</x:f>
        <x:v>일치</x:v>
      </x:c>
      <x:c r="E40" s="1" t="str">
        <x:v>1회차 33쪽</x:v>
      </x:c>
    </x:row>
    <x:row r="41" ht="22" customHeight="1">
      <x:c r="A41" s="1" t="str">
        <x:v>v0 FN</x:v>
      </x:c>
      <x:c r="B41" s="1" t="n">
        <x:v>28</x:v>
      </x:c>
      <x:c r="C41" s="1" t="n">
        <x:f>COUNTIF(Baseline_계산!$H$2:$H$1201,"FN")</x:f>
        <x:v>28</x:v>
      </x:c>
      <x:c r="D41" s="1" t="str">
        <x:f>IF(B41=C41,"일치","불일치")</x:f>
        <x:v>일치</x:v>
      </x:c>
      <x:c r="E41" s="1" t="str">
        <x:v>1회차 33쪽</x:v>
      </x:c>
    </x:row>
    <x:row r="42" ht="22" customHeight="1">
      <x:c r="A42" s="1" t="str">
        <x:v>v0 FP</x:v>
      </x:c>
      <x:c r="B42" s="1" t="n">
        <x:v>80</x:v>
      </x:c>
      <x:c r="C42" s="1" t="n">
        <x:f>COUNTIF(Baseline_계산!$H$2:$H$1201,"FP")</x:f>
        <x:v>80</x:v>
      </x:c>
      <x:c r="D42" s="1" t="str">
        <x:f>IF(B42=C42,"일치","불일치")</x:f>
        <x:v>일치</x:v>
      </x:c>
      <x:c r="E42" s="1" t="str">
        <x:v>1회차 33쪽</x:v>
      </x:c>
    </x:row>
    <x:row r="43" ht="22" customHeight="1">
      <x:c r="A43" s="1" t="str">
        <x:v>v0 TN</x:v>
      </x:c>
      <x:c r="B43" s="1" t="n">
        <x:v>1072</x:v>
      </x:c>
      <x:c r="C43" s="1" t="n">
        <x:f>COUNTIF(Baseline_계산!$H$2:$H$1201,"TN")</x:f>
        <x:v>1072</x:v>
      </x:c>
      <x:c r="D43" s="1" t="str">
        <x:f>IF(B43=C43,"일치","불일치")</x:f>
        <x:v>일치</x:v>
      </x:c>
      <x:c r="E43" s="1" t="str">
        <x:v>1회차 33쪽</x:v>
      </x:c>
    </x:row>
    <x:row r="44" ht="22" customHeight="1">
      <x:c r="A44" s="1" t="str">
        <x:v>v1 TP</x:v>
      </x:c>
      <x:c r="B44" s="1" t="n">
        <x:v>35</x:v>
      </x:c>
      <x:c r="C44" s="1" t="n">
        <x:f>COUNTIF(Baseline_계산!$I$2:$I$1201,"TP")</x:f>
        <x:v>35</x:v>
      </x:c>
      <x:c r="D44" s="1" t="str">
        <x:f>IF(B44=C44,"일치","불일치")</x:f>
        <x:v>일치</x:v>
      </x:c>
      <x:c r="E44" s="1" t="str">
        <x:v>2회차 수정 필요</x:v>
      </x:c>
    </x:row>
    <x:row r="45" ht="22" customHeight="1">
      <x:c r="A45" s="1" t="str">
        <x:v>v1 FN</x:v>
      </x:c>
      <x:c r="B45" s="1" t="n">
        <x:v>13</x:v>
      </x:c>
      <x:c r="C45" s="1" t="n">
        <x:f>COUNTIF(Baseline_계산!$I$2:$I$1201,"FN")</x:f>
        <x:v>13</x:v>
      </x:c>
      <x:c r="D45" s="1" t="str">
        <x:f>IF(B45=C45,"일치","불일치")</x:f>
        <x:v>일치</x:v>
      </x:c>
      <x:c r="E45" s="1" t="str">
        <x:v>2회차 수정 필요</x:v>
      </x:c>
    </x:row>
    <x:row r="46" ht="22" customHeight="1">
      <x:c r="A46" s="1" t="str">
        <x:v>v1 FP</x:v>
      </x:c>
      <x:c r="B46" s="1" t="n">
        <x:v>125</x:v>
      </x:c>
      <x:c r="C46" s="1" t="n">
        <x:f>COUNTIF(Baseline_계산!$I$2:$I$1201,"FP")</x:f>
        <x:v>125</x:v>
      </x:c>
      <x:c r="D46" s="1" t="str">
        <x:f>IF(B46=C46,"일치","불일치")</x:f>
        <x:v>일치</x:v>
      </x:c>
      <x:c r="E46" s="1" t="str">
        <x:v>2회차 수정 필요</x:v>
      </x:c>
    </x:row>
    <x:row r="47" ht="22" customHeight="1">
      <x:c r="A47" s="1" t="str">
        <x:v>v1 TN</x:v>
      </x:c>
      <x:c r="B47" s="1" t="n">
        <x:v>1027</x:v>
      </x:c>
      <x:c r="C47" s="1" t="n">
        <x:f>COUNTIF(Baseline_계산!$I$2:$I$1201,"TN")</x:f>
        <x:v>1027</x:v>
      </x:c>
      <x:c r="D47" s="1" t="str">
        <x:f>IF(B47=C47,"일치","불일치")</x:f>
        <x:v>일치</x:v>
      </x:c>
      <x:c r="E47" s="1" t="str">
        <x:v>2회차 수정 필요</x:v>
      </x:c>
    </x:row>
    <x:row r="50">
      <x:c r="A50" t="str">
        <x:v>v1 성능</x:v>
      </x:c>
      <x:c r="B50" t="str">
        <x:v>계산 결과</x:v>
      </x:c>
      <x:c r="C50" t="str">
        <x:v>단위</x:v>
      </x:c>
      <x:c r="D50" t="str">
        <x:v>설명</x:v>
      </x:c>
      <x:c r="E50"/>
    </x:row>
    <x:row r="51">
      <x:c r="A51" t="str">
        <x:v>Recall</x:v>
      </x:c>
      <x:c r="B51" s="9" t="n">
        <x:f>COUNTIF(Baseline_계산!$I$2:$I$1201,"TP")/COUNTIF(Baseline_계산!$B$2:$B$1201,1)</x:f>
        <x:v>0.7291666666666666</x:v>
      </x:c>
      <x:c r="C51" t="str">
        <x:v>비율</x:v>
      </x:c>
      <x:c r="D51" t="str">
        <x:v>35/48</x:v>
      </x:c>
      <x:c r="E51"/>
    </x:row>
    <x:row r="52">
      <x:c r="A52" t="str">
        <x:v>Precision</x:v>
      </x:c>
      <x:c r="B52" s="9" t="n">
        <x:f>COUNTIF(Baseline_계산!$I$2:$I$1201,"TP")/SUM(Baseline_계산!$G$2:$G$1201)</x:f>
        <x:v>0.21875</x:v>
      </x:c>
      <x:c r="C52" t="str">
        <x:v>비율</x:v>
      </x:c>
      <x:c r="D52" t="str">
        <x:v>35/160</x:v>
      </x:c>
      <x:c r="E52"/>
    </x:row>
    <x:row r="53">
      <x:c r="A53" t="str">
        <x:v>Accuracy</x:v>
      </x:c>
      <x:c r="B53" s="9" t="n">
        <x:f>(COUNTIF(Baseline_계산!$I$2:$I$1201,"TP")+COUNTIF(Baseline_계산!$I$2:$I$1201,"TN"))/COUNTA(MiniCase_Data!$A$2:$A$1201)</x:f>
        <x:v>0.885</x:v>
      </x:c>
      <x:c r="C53" t="str">
        <x:v>비율</x:v>
      </x:c>
      <x:c r="D53" t="str">
        <x:v>(35+1027)/1200</x:v>
      </x:c>
      <x:c r="E53"/>
    </x:row>
    <x:row r="54">
      <x:c r="A54" t="str">
        <x:v>경보</x:v>
      </x:c>
      <x:c r="B54" t="n">
        <x:f>SUM(Baseline_계산!$G$2:$G$1201)</x:f>
        <x:v>160</x:v>
      </x:c>
      <x:c r="C54" t="str">
        <x:v>건</x:v>
      </x:c>
      <x:c r="D54" t="str">
        <x:v>TP+FP</x:v>
      </x:c>
      <x:c r="E54"/>
    </x:row>
    <x:row r="55">
      <x:c r="A55" t="str">
        <x:v>추가확인 증가</x:v>
      </x:c>
      <x:c r="B55" t="n">
        <x:f>SUM(Baseline_계산!$G$2:$G$1201)-SUM(Baseline_계산!$F$2:$F$1201)</x:f>
        <x:v>60</x:v>
      </x:c>
      <x:c r="C55" t="str">
        <x:v>건</x:v>
      </x:c>
      <x:c r="D55" t="str">
        <x:v>v1-v0</x:v>
      </x:c>
      <x:c r="E55"/>
    </x:row>
    <x:row r="56">
      <x:c r="A56" t="str">
        <x:v>추가검사 시간</x:v>
      </x:c>
      <x:c r="B56" t="n">
        <x:f>SUM(Baseline_계산!$G$2:$G$1201)*3</x:f>
        <x:v>480</x:v>
      </x:c>
      <x:c r="C56" t="str">
        <x:v>분</x:v>
      </x:c>
      <x:c r="D56" t="str">
        <x:v>건당 3분 가정</x:v>
      </x:c>
      <x:c r="E56"/>
    </x:row>
    <x:row r="57">
      <x:c r="A57" t="str">
        <x:v>센서로그 복원 건수</x:v>
      </x:c>
      <x:c r="B57" t="n">
        <x:f>COUNTA(센서로그!A2:A13)</x:f>
        <x:v>12</x:v>
      </x:c>
      <x:c r="C57" t="str">
        <x:v>건</x:v>
      </x:c>
      <x:c r="D57" t="str">
        <x:v>교육용 합성 복원자료</x:v>
      </x:c>
      <x:c r="E57"/>
    </x:row>
    <x:row r="58">
      <x:c r="A58" t="str">
        <x:v>중복 record_id</x:v>
      </x:c>
      <x:c r="B58" t="n">
        <x:v>0</x:v>
      </x:c>
      <x:c r="C58" t="str">
        <x:v>건</x:v>
      </x:c>
      <x:c r="D58" t="str">
        <x:v>독립 검산 결과</x:v>
      </x:c>
      <x:c r="E58"/>
    </x:row>
  </x:sheetData>
  <x:conditionalFormatting sqref="D2:D47">
    <x:cfRule type="containsText" dxfId="0" priority="1" operator="containsText" text="불일치"/>
  </x:conditionalFormatting>
  <x:pageMargins left="0.7" right="0.7" top="0.75" bottom="0.75" header="0.3" footer="0.3"/>
</x:worksheet>
</file>